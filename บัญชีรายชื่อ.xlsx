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USO(SHF) Project\บัญชีรายชื่อ\"/>
    </mc:Choice>
  </mc:AlternateContent>
  <xr:revisionPtr revIDLastSave="0" documentId="13_ncr:1_{041A4E2E-DE1C-4B4A-977A-827F424C9123}" xr6:coauthVersionLast="47" xr6:coauthVersionMax="47" xr10:uidLastSave="{00000000-0000-0000-0000-000000000000}"/>
  <bookViews>
    <workbookView xWindow="2282" yWindow="0" windowWidth="18055" windowHeight="14047" firstSheet="3" activeTab="3" xr2:uid="{1FD5A216-F24F-4167-B215-6FE131017521}"/>
  </bookViews>
  <sheets>
    <sheet name="ภาพรวม" sheetId="11" state="hidden" r:id="rId1"/>
    <sheet name="เสา 60" sheetId="10" state="hidden" r:id="rId2"/>
    <sheet name="เสา 9,18,30" sheetId="3" state="hidden" r:id="rId3"/>
    <sheet name="รายชื่อเสา 60 ม" sheetId="14" r:id="rId4"/>
    <sheet name="รายชื่อเสา 9,18,30" sheetId="15" r:id="rId5"/>
  </sheets>
  <externalReferences>
    <externalReference r:id="rId6"/>
  </externalReferences>
  <definedNames>
    <definedName name="_xlnm._FilterDatabase" localSheetId="3" hidden="1">'รายชื่อเสา 60 ม'!$A$7:$K$23</definedName>
    <definedName name="_xlnm._FilterDatabase" localSheetId="4" hidden="1">'รายชื่อเสา 9,18,30'!$C$7:$K$188</definedName>
    <definedName name="_xlnm._FilterDatabase" localSheetId="1" hidden="1">'เสา 60'!$A$7:$S$23</definedName>
    <definedName name="_xlnm._FilterDatabase" localSheetId="2" hidden="1">'เสา 9,18,30'!$A$9:$BM$190</definedName>
    <definedName name="average">'[1]Sub Contact'!#REF!</definedName>
    <definedName name="IP_PBX">#REF!</definedName>
    <definedName name="OLE_LINK1">#REF!</definedName>
    <definedName name="_xlnm.Print_Area" localSheetId="0">ภาพรวม!$A$1:$S$37</definedName>
    <definedName name="_xlnm.Print_Area" localSheetId="3">'รายชื่อเสา 60 ม'!$A$1:$K$25</definedName>
    <definedName name="_xlnm.Print_Area" localSheetId="1">'เสา 60'!$A$1:$S$25</definedName>
    <definedName name="_xlnm.Print_Area" localSheetId="2">'เสา 9,18,30'!$A$1:$AZ$191</definedName>
    <definedName name="_xlnm.Print_Titles" localSheetId="3">'รายชื่อเสา 60 ม'!$5:$6</definedName>
    <definedName name="_xlnm.Print_Titles" localSheetId="4">'รายชื่อเสา 9,18,30'!$5:$6</definedName>
    <definedName name="_xlnm.Print_Titles" localSheetId="1">'เสา 60'!$5:$6</definedName>
    <definedName name="_xlnm.Print_Titles" localSheetId="2">'เสา 9,18,30'!$5:$8</definedName>
    <definedName name="Type">#REF!</definedName>
    <definedName name="ตารางวางบิล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2" i="15" l="1"/>
  <c r="AG162" i="15"/>
  <c r="AD162" i="15"/>
  <c r="AA162" i="15"/>
  <c r="V162" i="15"/>
  <c r="R162" i="15"/>
  <c r="N162" i="15"/>
  <c r="AO161" i="15"/>
  <c r="AG161" i="15"/>
  <c r="AD161" i="15"/>
  <c r="AA161" i="15"/>
  <c r="V161" i="15"/>
  <c r="R161" i="15"/>
  <c r="N161" i="15"/>
  <c r="AO160" i="15"/>
  <c r="AG160" i="15"/>
  <c r="AD160" i="15"/>
  <c r="AA160" i="15"/>
  <c r="V160" i="15"/>
  <c r="R160" i="15"/>
  <c r="N160" i="15"/>
  <c r="AO159" i="15"/>
  <c r="AG159" i="15"/>
  <c r="AD159" i="15"/>
  <c r="AA159" i="15"/>
  <c r="V159" i="15"/>
  <c r="R159" i="15"/>
  <c r="N159" i="15"/>
  <c r="AO158" i="15"/>
  <c r="AG158" i="15"/>
  <c r="AD158" i="15"/>
  <c r="AA158" i="15"/>
  <c r="V158" i="15"/>
  <c r="R158" i="15"/>
  <c r="N158" i="15"/>
  <c r="AO157" i="15"/>
  <c r="AG157" i="15"/>
  <c r="AD157" i="15"/>
  <c r="AA157" i="15"/>
  <c r="V157" i="15"/>
  <c r="R157" i="15"/>
  <c r="N157" i="15"/>
  <c r="AO156" i="15"/>
  <c r="AG156" i="15"/>
  <c r="AD156" i="15"/>
  <c r="AA156" i="15"/>
  <c r="V156" i="15"/>
  <c r="R156" i="15"/>
  <c r="N156" i="15"/>
  <c r="AO153" i="15"/>
  <c r="AG153" i="15"/>
  <c r="AD153" i="15"/>
  <c r="AA153" i="15"/>
  <c r="V153" i="15"/>
  <c r="R153" i="15"/>
  <c r="N153" i="15"/>
  <c r="AO152" i="15"/>
  <c r="AG152" i="15"/>
  <c r="AD152" i="15"/>
  <c r="AA152" i="15"/>
  <c r="V152" i="15"/>
  <c r="R152" i="15"/>
  <c r="N152" i="15"/>
  <c r="AO151" i="15"/>
  <c r="AG151" i="15"/>
  <c r="AD151" i="15"/>
  <c r="AA151" i="15"/>
  <c r="V151" i="15"/>
  <c r="R151" i="15"/>
  <c r="N151" i="15"/>
  <c r="AO150" i="15"/>
  <c r="AG150" i="15"/>
  <c r="AD150" i="15"/>
  <c r="AA150" i="15"/>
  <c r="V150" i="15"/>
  <c r="R150" i="15"/>
  <c r="N150" i="15"/>
  <c r="AO149" i="15"/>
  <c r="AG149" i="15"/>
  <c r="AD149" i="15"/>
  <c r="AA149" i="15"/>
  <c r="V149" i="15"/>
  <c r="R149" i="15"/>
  <c r="N149" i="15"/>
  <c r="AO146" i="15"/>
  <c r="AG146" i="15"/>
  <c r="AD146" i="15"/>
  <c r="AA146" i="15"/>
  <c r="V146" i="15"/>
  <c r="R146" i="15"/>
  <c r="N146" i="15"/>
  <c r="AO145" i="15"/>
  <c r="AG145" i="15"/>
  <c r="AD145" i="15"/>
  <c r="AA145" i="15"/>
  <c r="V145" i="15"/>
  <c r="R145" i="15"/>
  <c r="N145" i="15"/>
  <c r="AO144" i="15"/>
  <c r="AG144" i="15"/>
  <c r="AD144" i="15"/>
  <c r="AA144" i="15"/>
  <c r="V144" i="15"/>
  <c r="R144" i="15"/>
  <c r="N144" i="15"/>
  <c r="AO143" i="15"/>
  <c r="AG143" i="15"/>
  <c r="AD143" i="15"/>
  <c r="AA143" i="15"/>
  <c r="V143" i="15"/>
  <c r="R143" i="15"/>
  <c r="N143" i="15"/>
  <c r="AO142" i="15"/>
  <c r="AG142" i="15"/>
  <c r="AD142" i="15"/>
  <c r="AA142" i="15"/>
  <c r="V142" i="15"/>
  <c r="R142" i="15"/>
  <c r="N142" i="15"/>
  <c r="AO141" i="15"/>
  <c r="AG141" i="15"/>
  <c r="AD141" i="15"/>
  <c r="AA141" i="15"/>
  <c r="V141" i="15"/>
  <c r="R141" i="15"/>
  <c r="N141" i="15"/>
  <c r="AO140" i="15"/>
  <c r="AG140" i="15"/>
  <c r="AD140" i="15"/>
  <c r="AA140" i="15"/>
  <c r="V140" i="15"/>
  <c r="R140" i="15"/>
  <c r="N140" i="15"/>
  <c r="AO139" i="15"/>
  <c r="AG139" i="15"/>
  <c r="AD139" i="15"/>
  <c r="AA139" i="15"/>
  <c r="V139" i="15"/>
  <c r="R139" i="15"/>
  <c r="N139" i="15"/>
  <c r="AO138" i="15"/>
  <c r="AG138" i="15"/>
  <c r="AD138" i="15"/>
  <c r="AA138" i="15"/>
  <c r="V138" i="15"/>
  <c r="R138" i="15"/>
  <c r="N138" i="15"/>
  <c r="AO100" i="15"/>
  <c r="AG100" i="15"/>
  <c r="AD100" i="15"/>
  <c r="AA100" i="15"/>
  <c r="V100" i="15"/>
  <c r="R100" i="15"/>
  <c r="N100" i="15"/>
  <c r="AO188" i="15"/>
  <c r="AG188" i="15"/>
  <c r="AD188" i="15"/>
  <c r="AA188" i="15"/>
  <c r="V188" i="15"/>
  <c r="R188" i="15"/>
  <c r="N188" i="15"/>
  <c r="AO187" i="15"/>
  <c r="AG187" i="15"/>
  <c r="AD187" i="15"/>
  <c r="AA187" i="15"/>
  <c r="V187" i="15"/>
  <c r="R187" i="15"/>
  <c r="N187" i="15"/>
  <c r="AO186" i="15"/>
  <c r="AG186" i="15"/>
  <c r="AD186" i="15"/>
  <c r="AA186" i="15"/>
  <c r="V186" i="15"/>
  <c r="R186" i="15"/>
  <c r="N186" i="15"/>
  <c r="AO185" i="15"/>
  <c r="AG185" i="15"/>
  <c r="AD185" i="15"/>
  <c r="AA185" i="15"/>
  <c r="V185" i="15"/>
  <c r="R185" i="15"/>
  <c r="N185" i="15"/>
  <c r="AO184" i="15"/>
  <c r="AG184" i="15"/>
  <c r="AD184" i="15"/>
  <c r="AA184" i="15"/>
  <c r="V184" i="15"/>
  <c r="R184" i="15"/>
  <c r="N184" i="15"/>
  <c r="AO183" i="15"/>
  <c r="AG183" i="15"/>
  <c r="AD183" i="15"/>
  <c r="AA183" i="15"/>
  <c r="V183" i="15"/>
  <c r="R183" i="15"/>
  <c r="N183" i="15"/>
  <c r="AO182" i="15"/>
  <c r="AG182" i="15"/>
  <c r="AD182" i="15"/>
  <c r="AA182" i="15"/>
  <c r="V182" i="15"/>
  <c r="R182" i="15"/>
  <c r="N182" i="15"/>
  <c r="AO181" i="15"/>
  <c r="AG181" i="15"/>
  <c r="AD181" i="15"/>
  <c r="AA181" i="15"/>
  <c r="V181" i="15"/>
  <c r="R181" i="15"/>
  <c r="N181" i="15"/>
  <c r="AO180" i="15"/>
  <c r="AG180" i="15"/>
  <c r="AD180" i="15"/>
  <c r="AA180" i="15"/>
  <c r="V180" i="15"/>
  <c r="R180" i="15"/>
  <c r="N180" i="15"/>
  <c r="AO179" i="15"/>
  <c r="AG179" i="15"/>
  <c r="AD179" i="15"/>
  <c r="AA179" i="15"/>
  <c r="V179" i="15"/>
  <c r="R179" i="15"/>
  <c r="N179" i="15"/>
  <c r="AO178" i="15"/>
  <c r="AG178" i="15"/>
  <c r="AD178" i="15"/>
  <c r="AA178" i="15"/>
  <c r="V178" i="15"/>
  <c r="R178" i="15"/>
  <c r="N178" i="15"/>
  <c r="AO177" i="15"/>
  <c r="AG177" i="15"/>
  <c r="AD177" i="15"/>
  <c r="AA177" i="15"/>
  <c r="V177" i="15"/>
  <c r="R177" i="15"/>
  <c r="N177" i="15"/>
  <c r="AO176" i="15"/>
  <c r="AG176" i="15"/>
  <c r="AD176" i="15"/>
  <c r="AA176" i="15"/>
  <c r="V176" i="15"/>
  <c r="R176" i="15"/>
  <c r="N176" i="15"/>
  <c r="AO175" i="15"/>
  <c r="AG175" i="15"/>
  <c r="AD175" i="15"/>
  <c r="AA175" i="15"/>
  <c r="V175" i="15"/>
  <c r="R175" i="15"/>
  <c r="N175" i="15"/>
  <c r="AO174" i="15"/>
  <c r="AG174" i="15"/>
  <c r="AD174" i="15"/>
  <c r="AA174" i="15"/>
  <c r="V174" i="15"/>
  <c r="R174" i="15"/>
  <c r="N174" i="15"/>
  <c r="AO173" i="15"/>
  <c r="AG173" i="15"/>
  <c r="AD173" i="15"/>
  <c r="AA173" i="15"/>
  <c r="V173" i="15"/>
  <c r="R173" i="15"/>
  <c r="N173" i="15"/>
  <c r="AO172" i="15"/>
  <c r="AG172" i="15"/>
  <c r="AD172" i="15"/>
  <c r="AA172" i="15"/>
  <c r="V172" i="15"/>
  <c r="R172" i="15"/>
  <c r="N172" i="15"/>
  <c r="AO171" i="15"/>
  <c r="AG171" i="15"/>
  <c r="AD171" i="15"/>
  <c r="AA171" i="15"/>
  <c r="V171" i="15"/>
  <c r="R171" i="15"/>
  <c r="N171" i="15"/>
  <c r="AO170" i="15"/>
  <c r="AG170" i="15"/>
  <c r="AD170" i="15"/>
  <c r="AA170" i="15"/>
  <c r="V170" i="15"/>
  <c r="R170" i="15"/>
  <c r="N170" i="15"/>
  <c r="AO169" i="15"/>
  <c r="AG169" i="15"/>
  <c r="AD169" i="15"/>
  <c r="AA169" i="15"/>
  <c r="V169" i="15"/>
  <c r="R169" i="15"/>
  <c r="N169" i="15"/>
  <c r="AO168" i="15"/>
  <c r="AG168" i="15"/>
  <c r="AD168" i="15"/>
  <c r="AA168" i="15"/>
  <c r="V168" i="15"/>
  <c r="R168" i="15"/>
  <c r="N168" i="15"/>
  <c r="AO167" i="15"/>
  <c r="AG167" i="15"/>
  <c r="AD167" i="15"/>
  <c r="AA167" i="15"/>
  <c r="V167" i="15"/>
  <c r="R167" i="15"/>
  <c r="N167" i="15"/>
  <c r="AO166" i="15"/>
  <c r="AG166" i="15"/>
  <c r="AD166" i="15"/>
  <c r="AA166" i="15"/>
  <c r="V166" i="15"/>
  <c r="R166" i="15"/>
  <c r="N166" i="15"/>
  <c r="AO165" i="15"/>
  <c r="AG165" i="15"/>
  <c r="AD165" i="15"/>
  <c r="AA165" i="15"/>
  <c r="V165" i="15"/>
  <c r="R165" i="15"/>
  <c r="N165" i="15"/>
  <c r="AO164" i="15"/>
  <c r="AG164" i="15"/>
  <c r="AD164" i="15"/>
  <c r="AA164" i="15"/>
  <c r="V164" i="15"/>
  <c r="R164" i="15"/>
  <c r="N164" i="15"/>
  <c r="AO163" i="15"/>
  <c r="AG163" i="15"/>
  <c r="AD163" i="15"/>
  <c r="AA163" i="15"/>
  <c r="V163" i="15"/>
  <c r="R163" i="15"/>
  <c r="N163" i="15"/>
  <c r="AO155" i="15"/>
  <c r="AG155" i="15"/>
  <c r="AD155" i="15"/>
  <c r="AA155" i="15"/>
  <c r="V155" i="15"/>
  <c r="R155" i="15"/>
  <c r="N155" i="15"/>
  <c r="AO154" i="15"/>
  <c r="AG154" i="15"/>
  <c r="AD154" i="15"/>
  <c r="AA154" i="15"/>
  <c r="V154" i="15"/>
  <c r="R154" i="15"/>
  <c r="N154" i="15"/>
  <c r="AO148" i="15"/>
  <c r="AG148" i="15"/>
  <c r="AD148" i="15"/>
  <c r="AA148" i="15"/>
  <c r="V148" i="15"/>
  <c r="R148" i="15"/>
  <c r="N148" i="15"/>
  <c r="AO147" i="15"/>
  <c r="AG147" i="15"/>
  <c r="AD147" i="15"/>
  <c r="AA147" i="15"/>
  <c r="V147" i="15"/>
  <c r="R147" i="15"/>
  <c r="N147" i="15"/>
  <c r="AO137" i="15"/>
  <c r="AG137" i="15"/>
  <c r="AD137" i="15"/>
  <c r="AA137" i="15"/>
  <c r="V137" i="15"/>
  <c r="R137" i="15"/>
  <c r="N137" i="15"/>
  <c r="AO136" i="15"/>
  <c r="AG136" i="15"/>
  <c r="AD136" i="15"/>
  <c r="AA136" i="15"/>
  <c r="V136" i="15"/>
  <c r="R136" i="15"/>
  <c r="N136" i="15"/>
  <c r="AO135" i="15"/>
  <c r="AG135" i="15"/>
  <c r="AD135" i="15"/>
  <c r="AA135" i="15"/>
  <c r="V135" i="15"/>
  <c r="R135" i="15"/>
  <c r="N135" i="15"/>
  <c r="AO134" i="15"/>
  <c r="AG134" i="15"/>
  <c r="AD134" i="15"/>
  <c r="AA134" i="15"/>
  <c r="V134" i="15"/>
  <c r="R134" i="15"/>
  <c r="N134" i="15"/>
  <c r="AO133" i="15"/>
  <c r="AG133" i="15"/>
  <c r="AD133" i="15"/>
  <c r="AA133" i="15"/>
  <c r="V133" i="15"/>
  <c r="R133" i="15"/>
  <c r="N133" i="15"/>
  <c r="AO132" i="15"/>
  <c r="AG132" i="15"/>
  <c r="AD132" i="15"/>
  <c r="AA132" i="15"/>
  <c r="V132" i="15"/>
  <c r="R132" i="15"/>
  <c r="N132" i="15"/>
  <c r="AO131" i="15"/>
  <c r="AG131" i="15"/>
  <c r="AD131" i="15"/>
  <c r="AA131" i="15"/>
  <c r="V131" i="15"/>
  <c r="R131" i="15"/>
  <c r="N131" i="15"/>
  <c r="AO130" i="15"/>
  <c r="AG130" i="15"/>
  <c r="AD130" i="15"/>
  <c r="AA130" i="15"/>
  <c r="V130" i="15"/>
  <c r="R130" i="15"/>
  <c r="N130" i="15"/>
  <c r="AO129" i="15"/>
  <c r="AG129" i="15"/>
  <c r="AD129" i="15"/>
  <c r="AA129" i="15"/>
  <c r="V129" i="15"/>
  <c r="R129" i="15"/>
  <c r="N129" i="15"/>
  <c r="AO128" i="15"/>
  <c r="AG128" i="15"/>
  <c r="AD128" i="15"/>
  <c r="AA128" i="15"/>
  <c r="V128" i="15"/>
  <c r="R128" i="15"/>
  <c r="N128" i="15"/>
  <c r="AO127" i="15"/>
  <c r="AG127" i="15"/>
  <c r="AD127" i="15"/>
  <c r="AA127" i="15"/>
  <c r="V127" i="15"/>
  <c r="R127" i="15"/>
  <c r="N127" i="15"/>
  <c r="AO126" i="15"/>
  <c r="AG126" i="15"/>
  <c r="AD126" i="15"/>
  <c r="AA126" i="15"/>
  <c r="V126" i="15"/>
  <c r="R126" i="15"/>
  <c r="N126" i="15"/>
  <c r="AO125" i="15"/>
  <c r="AG125" i="15"/>
  <c r="AD125" i="15"/>
  <c r="AA125" i="15"/>
  <c r="V125" i="15"/>
  <c r="R125" i="15"/>
  <c r="N125" i="15"/>
  <c r="AO124" i="15"/>
  <c r="AG124" i="15"/>
  <c r="AD124" i="15"/>
  <c r="AA124" i="15"/>
  <c r="V124" i="15"/>
  <c r="R124" i="15"/>
  <c r="N124" i="15"/>
  <c r="AO123" i="15"/>
  <c r="AG123" i="15"/>
  <c r="AD123" i="15"/>
  <c r="AA123" i="15"/>
  <c r="V123" i="15"/>
  <c r="R123" i="15"/>
  <c r="N123" i="15"/>
  <c r="AO122" i="15"/>
  <c r="AG122" i="15"/>
  <c r="AD122" i="15"/>
  <c r="AA122" i="15"/>
  <c r="V122" i="15"/>
  <c r="R122" i="15"/>
  <c r="N122" i="15"/>
  <c r="AO121" i="15"/>
  <c r="AG121" i="15"/>
  <c r="AD121" i="15"/>
  <c r="AA121" i="15"/>
  <c r="V121" i="15"/>
  <c r="R121" i="15"/>
  <c r="N121" i="15"/>
  <c r="AO120" i="15"/>
  <c r="AG120" i="15"/>
  <c r="AD120" i="15"/>
  <c r="AA120" i="15"/>
  <c r="V120" i="15"/>
  <c r="R120" i="15"/>
  <c r="N120" i="15"/>
  <c r="AO119" i="15"/>
  <c r="AG119" i="15"/>
  <c r="AD119" i="15"/>
  <c r="AA119" i="15"/>
  <c r="V119" i="15"/>
  <c r="R119" i="15"/>
  <c r="N119" i="15"/>
  <c r="AO118" i="15"/>
  <c r="AG118" i="15"/>
  <c r="AD118" i="15"/>
  <c r="AA118" i="15"/>
  <c r="V118" i="15"/>
  <c r="R118" i="15"/>
  <c r="N118" i="15"/>
  <c r="AO117" i="15"/>
  <c r="AG117" i="15"/>
  <c r="AD117" i="15"/>
  <c r="AA117" i="15"/>
  <c r="V117" i="15"/>
  <c r="R117" i="15"/>
  <c r="N117" i="15"/>
  <c r="AO116" i="15"/>
  <c r="AG116" i="15"/>
  <c r="AD116" i="15"/>
  <c r="AA116" i="15"/>
  <c r="V116" i="15"/>
  <c r="R116" i="15"/>
  <c r="N116" i="15"/>
  <c r="AO115" i="15"/>
  <c r="AG115" i="15"/>
  <c r="AD115" i="15"/>
  <c r="AA115" i="15"/>
  <c r="V115" i="15"/>
  <c r="R115" i="15"/>
  <c r="N115" i="15"/>
  <c r="AO114" i="15"/>
  <c r="AG114" i="15"/>
  <c r="AD114" i="15"/>
  <c r="AA114" i="15"/>
  <c r="V114" i="15"/>
  <c r="R114" i="15"/>
  <c r="N114" i="15"/>
  <c r="AO113" i="15"/>
  <c r="AG113" i="15"/>
  <c r="AD113" i="15"/>
  <c r="AA113" i="15"/>
  <c r="V113" i="15"/>
  <c r="R113" i="15"/>
  <c r="N113" i="15"/>
  <c r="AO112" i="15"/>
  <c r="AG112" i="15"/>
  <c r="AD112" i="15"/>
  <c r="AA112" i="15"/>
  <c r="V112" i="15"/>
  <c r="R112" i="15"/>
  <c r="N112" i="15"/>
  <c r="AO111" i="15"/>
  <c r="AG111" i="15"/>
  <c r="AD111" i="15"/>
  <c r="AA111" i="15"/>
  <c r="V111" i="15"/>
  <c r="R111" i="15"/>
  <c r="N111" i="15"/>
  <c r="AO110" i="15"/>
  <c r="AG110" i="15"/>
  <c r="AD110" i="15"/>
  <c r="AA110" i="15"/>
  <c r="V110" i="15"/>
  <c r="R110" i="15"/>
  <c r="N110" i="15"/>
  <c r="AO109" i="15"/>
  <c r="AG109" i="15"/>
  <c r="AD109" i="15"/>
  <c r="AA109" i="15"/>
  <c r="V109" i="15"/>
  <c r="R109" i="15"/>
  <c r="N109" i="15"/>
  <c r="AO108" i="15"/>
  <c r="AG108" i="15"/>
  <c r="AD108" i="15"/>
  <c r="AA108" i="15"/>
  <c r="V108" i="15"/>
  <c r="R108" i="15"/>
  <c r="N108" i="15"/>
  <c r="AO107" i="15"/>
  <c r="AG107" i="15"/>
  <c r="AD107" i="15"/>
  <c r="AA107" i="15"/>
  <c r="V107" i="15"/>
  <c r="R107" i="15"/>
  <c r="N107" i="15"/>
  <c r="AO106" i="15"/>
  <c r="AG106" i="15"/>
  <c r="AD106" i="15"/>
  <c r="AA106" i="15"/>
  <c r="V106" i="15"/>
  <c r="R106" i="15"/>
  <c r="N106" i="15"/>
  <c r="AO105" i="15"/>
  <c r="AG105" i="15"/>
  <c r="AD105" i="15"/>
  <c r="AA105" i="15"/>
  <c r="V105" i="15"/>
  <c r="R105" i="15"/>
  <c r="N105" i="15"/>
  <c r="AO104" i="15"/>
  <c r="AG104" i="15"/>
  <c r="AD104" i="15"/>
  <c r="AA104" i="15"/>
  <c r="V104" i="15"/>
  <c r="R104" i="15"/>
  <c r="N104" i="15"/>
  <c r="AO103" i="15"/>
  <c r="AG103" i="15"/>
  <c r="AD103" i="15"/>
  <c r="AA103" i="15"/>
  <c r="V103" i="15"/>
  <c r="R103" i="15"/>
  <c r="N103" i="15"/>
  <c r="AO102" i="15"/>
  <c r="AG102" i="15"/>
  <c r="AD102" i="15"/>
  <c r="AA102" i="15"/>
  <c r="V102" i="15"/>
  <c r="R102" i="15"/>
  <c r="N102" i="15"/>
  <c r="AO101" i="15"/>
  <c r="AG101" i="15"/>
  <c r="AD101" i="15"/>
  <c r="AA101" i="15"/>
  <c r="V101" i="15"/>
  <c r="R101" i="15"/>
  <c r="N101" i="15"/>
  <c r="AO99" i="15"/>
  <c r="AG99" i="15"/>
  <c r="AD99" i="15"/>
  <c r="AA99" i="15"/>
  <c r="V99" i="15"/>
  <c r="R99" i="15"/>
  <c r="N99" i="15"/>
  <c r="AO98" i="15"/>
  <c r="AG98" i="15"/>
  <c r="AD98" i="15"/>
  <c r="AA98" i="15"/>
  <c r="V98" i="15"/>
  <c r="R98" i="15"/>
  <c r="N98" i="15"/>
  <c r="AO97" i="15"/>
  <c r="AG97" i="15"/>
  <c r="AD97" i="15"/>
  <c r="AA97" i="15"/>
  <c r="V97" i="15"/>
  <c r="R97" i="15"/>
  <c r="N97" i="15"/>
  <c r="AO96" i="15"/>
  <c r="AG96" i="15"/>
  <c r="AD96" i="15"/>
  <c r="AA96" i="15"/>
  <c r="V96" i="15"/>
  <c r="R96" i="15"/>
  <c r="N96" i="15"/>
  <c r="AO95" i="15"/>
  <c r="AG95" i="15"/>
  <c r="AD95" i="15"/>
  <c r="AA95" i="15"/>
  <c r="V95" i="15"/>
  <c r="R95" i="15"/>
  <c r="N95" i="15"/>
  <c r="AO94" i="15"/>
  <c r="AG94" i="15"/>
  <c r="AD94" i="15"/>
  <c r="AA94" i="15"/>
  <c r="V94" i="15"/>
  <c r="R94" i="15"/>
  <c r="N94" i="15"/>
  <c r="AO93" i="15"/>
  <c r="AG93" i="15"/>
  <c r="AD93" i="15"/>
  <c r="AA93" i="15"/>
  <c r="V93" i="15"/>
  <c r="R93" i="15"/>
  <c r="N93" i="15"/>
  <c r="AO92" i="15"/>
  <c r="AG92" i="15"/>
  <c r="AD92" i="15"/>
  <c r="AA92" i="15"/>
  <c r="V92" i="15"/>
  <c r="R92" i="15"/>
  <c r="N92" i="15"/>
  <c r="AO91" i="15"/>
  <c r="AG91" i="15"/>
  <c r="AD91" i="15"/>
  <c r="AA91" i="15"/>
  <c r="V91" i="15"/>
  <c r="R91" i="15"/>
  <c r="N91" i="15"/>
  <c r="AO90" i="15"/>
  <c r="AG90" i="15"/>
  <c r="AD90" i="15"/>
  <c r="AA90" i="15"/>
  <c r="V90" i="15"/>
  <c r="R90" i="15"/>
  <c r="N90" i="15"/>
  <c r="AO89" i="15"/>
  <c r="AG89" i="15"/>
  <c r="AD89" i="15"/>
  <c r="AA89" i="15"/>
  <c r="V89" i="15"/>
  <c r="R89" i="15"/>
  <c r="N89" i="15"/>
  <c r="AO88" i="15"/>
  <c r="AG88" i="15"/>
  <c r="AD88" i="15"/>
  <c r="AA88" i="15"/>
  <c r="V88" i="15"/>
  <c r="R88" i="15"/>
  <c r="N88" i="15"/>
  <c r="AO87" i="15"/>
  <c r="AG87" i="15"/>
  <c r="AD87" i="15"/>
  <c r="AA87" i="15"/>
  <c r="V87" i="15"/>
  <c r="R87" i="15"/>
  <c r="N87" i="15"/>
  <c r="AO86" i="15"/>
  <c r="AG86" i="15"/>
  <c r="AD86" i="15"/>
  <c r="AA86" i="15"/>
  <c r="V86" i="15"/>
  <c r="R86" i="15"/>
  <c r="N86" i="15"/>
  <c r="AO85" i="15"/>
  <c r="AG85" i="15"/>
  <c r="AD85" i="15"/>
  <c r="AA85" i="15"/>
  <c r="V85" i="15"/>
  <c r="R85" i="15"/>
  <c r="N85" i="15"/>
  <c r="AO84" i="15"/>
  <c r="AG84" i="15"/>
  <c r="AD84" i="15"/>
  <c r="AA84" i="15"/>
  <c r="V84" i="15"/>
  <c r="R84" i="15"/>
  <c r="N84" i="15"/>
  <c r="AO83" i="15"/>
  <c r="AG83" i="15"/>
  <c r="AD83" i="15"/>
  <c r="AA83" i="15"/>
  <c r="V83" i="15"/>
  <c r="R83" i="15"/>
  <c r="N83" i="15"/>
  <c r="AO82" i="15"/>
  <c r="AG82" i="15"/>
  <c r="AD82" i="15"/>
  <c r="AA82" i="15"/>
  <c r="V82" i="15"/>
  <c r="R82" i="15"/>
  <c r="N82" i="15"/>
  <c r="AO81" i="15"/>
  <c r="AG81" i="15"/>
  <c r="AD81" i="15"/>
  <c r="AA81" i="15"/>
  <c r="V81" i="15"/>
  <c r="R81" i="15"/>
  <c r="N81" i="15"/>
  <c r="AO80" i="15"/>
  <c r="AG80" i="15"/>
  <c r="AD80" i="15"/>
  <c r="AA80" i="15"/>
  <c r="V80" i="15"/>
  <c r="R80" i="15"/>
  <c r="N80" i="15"/>
  <c r="AO79" i="15"/>
  <c r="AG79" i="15"/>
  <c r="AD79" i="15"/>
  <c r="AA79" i="15"/>
  <c r="V79" i="15"/>
  <c r="R79" i="15"/>
  <c r="N79" i="15"/>
  <c r="AO78" i="15"/>
  <c r="AG78" i="15"/>
  <c r="AD78" i="15"/>
  <c r="AA78" i="15"/>
  <c r="V78" i="15"/>
  <c r="R78" i="15"/>
  <c r="N78" i="15"/>
  <c r="AO77" i="15"/>
  <c r="AG77" i="15"/>
  <c r="AD77" i="15"/>
  <c r="AA77" i="15"/>
  <c r="V77" i="15"/>
  <c r="R77" i="15"/>
  <c r="N77" i="15"/>
  <c r="AO76" i="15"/>
  <c r="AG76" i="15"/>
  <c r="AD76" i="15"/>
  <c r="AA76" i="15"/>
  <c r="V76" i="15"/>
  <c r="R76" i="15"/>
  <c r="N76" i="15"/>
  <c r="AO75" i="15"/>
  <c r="AG75" i="15"/>
  <c r="AD75" i="15"/>
  <c r="AA75" i="15"/>
  <c r="V75" i="15"/>
  <c r="R75" i="15"/>
  <c r="N75" i="15"/>
  <c r="AO74" i="15"/>
  <c r="AG74" i="15"/>
  <c r="AD74" i="15"/>
  <c r="AA74" i="15"/>
  <c r="V74" i="15"/>
  <c r="R74" i="15"/>
  <c r="N74" i="15"/>
  <c r="AO73" i="15"/>
  <c r="AG73" i="15"/>
  <c r="AD73" i="15"/>
  <c r="AA73" i="15"/>
  <c r="V73" i="15"/>
  <c r="R73" i="15"/>
  <c r="N73" i="15"/>
  <c r="AO72" i="15"/>
  <c r="AG72" i="15"/>
  <c r="AD72" i="15"/>
  <c r="AA72" i="15"/>
  <c r="V72" i="15"/>
  <c r="R72" i="15"/>
  <c r="N72" i="15"/>
  <c r="AO71" i="15"/>
  <c r="AG71" i="15"/>
  <c r="AD71" i="15"/>
  <c r="AA71" i="15"/>
  <c r="V71" i="15"/>
  <c r="R71" i="15"/>
  <c r="N71" i="15"/>
  <c r="AO70" i="15"/>
  <c r="AG70" i="15"/>
  <c r="AD70" i="15"/>
  <c r="AA70" i="15"/>
  <c r="V70" i="15"/>
  <c r="R70" i="15"/>
  <c r="N70" i="15"/>
  <c r="AO69" i="15"/>
  <c r="AG69" i="15"/>
  <c r="AD69" i="15"/>
  <c r="AA69" i="15"/>
  <c r="V69" i="15"/>
  <c r="R69" i="15"/>
  <c r="N69" i="15"/>
  <c r="AO68" i="15"/>
  <c r="AG68" i="15"/>
  <c r="AD68" i="15"/>
  <c r="AA68" i="15"/>
  <c r="V68" i="15"/>
  <c r="R68" i="15"/>
  <c r="N68" i="15"/>
  <c r="AO67" i="15"/>
  <c r="AG67" i="15"/>
  <c r="AD67" i="15"/>
  <c r="AA67" i="15"/>
  <c r="V67" i="15"/>
  <c r="R67" i="15"/>
  <c r="N67" i="15"/>
  <c r="AO66" i="15"/>
  <c r="AG66" i="15"/>
  <c r="AD66" i="15"/>
  <c r="AA66" i="15"/>
  <c r="V66" i="15"/>
  <c r="R66" i="15"/>
  <c r="N66" i="15"/>
  <c r="AO65" i="15"/>
  <c r="AG65" i="15"/>
  <c r="AD65" i="15"/>
  <c r="AA65" i="15"/>
  <c r="V65" i="15"/>
  <c r="R65" i="15"/>
  <c r="N65" i="15"/>
  <c r="AO64" i="15"/>
  <c r="AG64" i="15"/>
  <c r="AD64" i="15"/>
  <c r="AA64" i="15"/>
  <c r="V64" i="15"/>
  <c r="R64" i="15"/>
  <c r="N64" i="15"/>
  <c r="AO63" i="15"/>
  <c r="AG63" i="15"/>
  <c r="AD63" i="15"/>
  <c r="AA63" i="15"/>
  <c r="V63" i="15"/>
  <c r="R63" i="15"/>
  <c r="N63" i="15"/>
  <c r="AO62" i="15"/>
  <c r="AG62" i="15"/>
  <c r="AD62" i="15"/>
  <c r="AA62" i="15"/>
  <c r="V62" i="15"/>
  <c r="R62" i="15"/>
  <c r="N62" i="15"/>
  <c r="AO61" i="15"/>
  <c r="AG61" i="15"/>
  <c r="AD61" i="15"/>
  <c r="AA61" i="15"/>
  <c r="V61" i="15"/>
  <c r="R61" i="15"/>
  <c r="N61" i="15"/>
  <c r="AO60" i="15"/>
  <c r="AG60" i="15"/>
  <c r="AD60" i="15"/>
  <c r="AA60" i="15"/>
  <c r="V60" i="15"/>
  <c r="R60" i="15"/>
  <c r="N60" i="15"/>
  <c r="AO59" i="15"/>
  <c r="AG59" i="15"/>
  <c r="AD59" i="15"/>
  <c r="AA59" i="15"/>
  <c r="V59" i="15"/>
  <c r="R59" i="15"/>
  <c r="N59" i="15"/>
  <c r="AO58" i="15"/>
  <c r="AG58" i="15"/>
  <c r="AD58" i="15"/>
  <c r="AA58" i="15"/>
  <c r="V58" i="15"/>
  <c r="R58" i="15"/>
  <c r="N58" i="15"/>
  <c r="AO57" i="15"/>
  <c r="AG57" i="15"/>
  <c r="AD57" i="15"/>
  <c r="AA57" i="15"/>
  <c r="V57" i="15"/>
  <c r="R57" i="15"/>
  <c r="N57" i="15"/>
  <c r="AO56" i="15"/>
  <c r="AG56" i="15"/>
  <c r="AD56" i="15"/>
  <c r="AA56" i="15"/>
  <c r="V56" i="15"/>
  <c r="R56" i="15"/>
  <c r="N56" i="15"/>
  <c r="AO55" i="15"/>
  <c r="AG55" i="15"/>
  <c r="AD55" i="15"/>
  <c r="AA55" i="15"/>
  <c r="V55" i="15"/>
  <c r="R55" i="15"/>
  <c r="N55" i="15"/>
  <c r="AO54" i="15"/>
  <c r="AG54" i="15"/>
  <c r="AD54" i="15"/>
  <c r="AA54" i="15"/>
  <c r="V54" i="15"/>
  <c r="R54" i="15"/>
  <c r="N54" i="15"/>
  <c r="AO53" i="15"/>
  <c r="AG53" i="15"/>
  <c r="AD53" i="15"/>
  <c r="AA53" i="15"/>
  <c r="V53" i="15"/>
  <c r="R53" i="15"/>
  <c r="N53" i="15"/>
  <c r="AO52" i="15"/>
  <c r="AG52" i="15"/>
  <c r="AD52" i="15"/>
  <c r="AA52" i="15"/>
  <c r="V52" i="15"/>
  <c r="R52" i="15"/>
  <c r="N52" i="15"/>
  <c r="AO51" i="15"/>
  <c r="AG51" i="15"/>
  <c r="AD51" i="15"/>
  <c r="AA51" i="15"/>
  <c r="V51" i="15"/>
  <c r="R51" i="15"/>
  <c r="N51" i="15"/>
  <c r="AO50" i="15"/>
  <c r="AG50" i="15"/>
  <c r="AD50" i="15"/>
  <c r="AA50" i="15"/>
  <c r="V50" i="15"/>
  <c r="R50" i="15"/>
  <c r="N50" i="15"/>
  <c r="AO49" i="15"/>
  <c r="AG49" i="15"/>
  <c r="AD49" i="15"/>
  <c r="AA49" i="15"/>
  <c r="V49" i="15"/>
  <c r="R49" i="15"/>
  <c r="N49" i="15"/>
  <c r="AO48" i="15"/>
  <c r="AG48" i="15"/>
  <c r="AD48" i="15"/>
  <c r="AA48" i="15"/>
  <c r="V48" i="15"/>
  <c r="R48" i="15"/>
  <c r="N48" i="15"/>
  <c r="AO47" i="15"/>
  <c r="AG47" i="15"/>
  <c r="AD47" i="15"/>
  <c r="AA47" i="15"/>
  <c r="V47" i="15"/>
  <c r="R47" i="15"/>
  <c r="N47" i="15"/>
  <c r="AO46" i="15"/>
  <c r="AG46" i="15"/>
  <c r="AD46" i="15"/>
  <c r="AA46" i="15"/>
  <c r="V46" i="15"/>
  <c r="R46" i="15"/>
  <c r="N46" i="15"/>
  <c r="AO45" i="15"/>
  <c r="AG45" i="15"/>
  <c r="AD45" i="15"/>
  <c r="AA45" i="15"/>
  <c r="V45" i="15"/>
  <c r="R45" i="15"/>
  <c r="N45" i="15"/>
  <c r="AO44" i="15"/>
  <c r="AG44" i="15"/>
  <c r="AD44" i="15"/>
  <c r="AA44" i="15"/>
  <c r="V44" i="15"/>
  <c r="R44" i="15"/>
  <c r="N44" i="15"/>
  <c r="AO43" i="15"/>
  <c r="AG43" i="15"/>
  <c r="AD43" i="15"/>
  <c r="AA43" i="15"/>
  <c r="V43" i="15"/>
  <c r="R43" i="15"/>
  <c r="N43" i="15"/>
  <c r="AO42" i="15"/>
  <c r="AG42" i="15"/>
  <c r="AD42" i="15"/>
  <c r="AA42" i="15"/>
  <c r="V42" i="15"/>
  <c r="R42" i="15"/>
  <c r="N42" i="15"/>
  <c r="AO41" i="15"/>
  <c r="AG41" i="15"/>
  <c r="AD41" i="15"/>
  <c r="AA41" i="15"/>
  <c r="V41" i="15"/>
  <c r="R41" i="15"/>
  <c r="N41" i="15"/>
  <c r="AO40" i="15"/>
  <c r="AG40" i="15"/>
  <c r="AD40" i="15"/>
  <c r="AA40" i="15"/>
  <c r="V40" i="15"/>
  <c r="R40" i="15"/>
  <c r="N40" i="15"/>
  <c r="AO39" i="15"/>
  <c r="AG39" i="15"/>
  <c r="AD39" i="15"/>
  <c r="AA39" i="15"/>
  <c r="V39" i="15"/>
  <c r="R39" i="15"/>
  <c r="N39" i="15"/>
  <c r="AO38" i="15"/>
  <c r="AG38" i="15"/>
  <c r="AD38" i="15"/>
  <c r="AA38" i="15"/>
  <c r="V38" i="15"/>
  <c r="R38" i="15"/>
  <c r="N38" i="15"/>
  <c r="AO37" i="15"/>
  <c r="AG37" i="15"/>
  <c r="AD37" i="15"/>
  <c r="AA37" i="15"/>
  <c r="V37" i="15"/>
  <c r="R37" i="15"/>
  <c r="N37" i="15"/>
  <c r="AO36" i="15"/>
  <c r="AG36" i="15"/>
  <c r="AD36" i="15"/>
  <c r="AA36" i="15"/>
  <c r="V36" i="15"/>
  <c r="R36" i="15"/>
  <c r="N36" i="15"/>
  <c r="AO35" i="15"/>
  <c r="AG35" i="15"/>
  <c r="AD35" i="15"/>
  <c r="AA35" i="15"/>
  <c r="V35" i="15"/>
  <c r="R35" i="15"/>
  <c r="N35" i="15"/>
  <c r="AO34" i="15"/>
  <c r="AG34" i="15"/>
  <c r="AD34" i="15"/>
  <c r="AA34" i="15"/>
  <c r="V34" i="15"/>
  <c r="R34" i="15"/>
  <c r="N34" i="15"/>
  <c r="AO33" i="15"/>
  <c r="AG33" i="15"/>
  <c r="AD33" i="15"/>
  <c r="AA33" i="15"/>
  <c r="V33" i="15"/>
  <c r="R33" i="15"/>
  <c r="N33" i="15"/>
  <c r="AO32" i="15"/>
  <c r="AG32" i="15"/>
  <c r="AD32" i="15"/>
  <c r="AA32" i="15"/>
  <c r="V32" i="15"/>
  <c r="R32" i="15"/>
  <c r="N32" i="15"/>
  <c r="AO31" i="15"/>
  <c r="AG31" i="15"/>
  <c r="AD31" i="15"/>
  <c r="AA31" i="15"/>
  <c r="V31" i="15"/>
  <c r="R31" i="15"/>
  <c r="N31" i="15"/>
  <c r="AO30" i="15"/>
  <c r="AG30" i="15"/>
  <c r="AD30" i="15"/>
  <c r="AA30" i="15"/>
  <c r="V30" i="15"/>
  <c r="R30" i="15"/>
  <c r="N30" i="15"/>
  <c r="AO29" i="15"/>
  <c r="AG29" i="15"/>
  <c r="AD29" i="15"/>
  <c r="AA29" i="15"/>
  <c r="V29" i="15"/>
  <c r="R29" i="15"/>
  <c r="N29" i="15"/>
  <c r="AO28" i="15"/>
  <c r="AG28" i="15"/>
  <c r="AD28" i="15"/>
  <c r="AA28" i="15"/>
  <c r="V28" i="15"/>
  <c r="R28" i="15"/>
  <c r="N28" i="15"/>
  <c r="AO27" i="15"/>
  <c r="AG27" i="15"/>
  <c r="AD27" i="15"/>
  <c r="AA27" i="15"/>
  <c r="V27" i="15"/>
  <c r="R27" i="15"/>
  <c r="N27" i="15"/>
  <c r="AO26" i="15"/>
  <c r="AG26" i="15"/>
  <c r="AD26" i="15"/>
  <c r="AA26" i="15"/>
  <c r="V26" i="15"/>
  <c r="R26" i="15"/>
  <c r="N26" i="15"/>
  <c r="AO25" i="15"/>
  <c r="AG25" i="15"/>
  <c r="AD25" i="15"/>
  <c r="AA25" i="15"/>
  <c r="V25" i="15"/>
  <c r="R25" i="15"/>
  <c r="N25" i="15"/>
  <c r="AO24" i="15"/>
  <c r="AG24" i="15"/>
  <c r="AD24" i="15"/>
  <c r="AA24" i="15"/>
  <c r="V24" i="15"/>
  <c r="R24" i="15"/>
  <c r="N24" i="15"/>
  <c r="AO23" i="15"/>
  <c r="AG23" i="15"/>
  <c r="AD23" i="15"/>
  <c r="AA23" i="15"/>
  <c r="V23" i="15"/>
  <c r="R23" i="15"/>
  <c r="N23" i="15"/>
  <c r="AO22" i="15"/>
  <c r="AG22" i="15"/>
  <c r="AD22" i="15"/>
  <c r="AA22" i="15"/>
  <c r="V22" i="15"/>
  <c r="R22" i="15"/>
  <c r="N22" i="15"/>
  <c r="AO21" i="15"/>
  <c r="AG21" i="15"/>
  <c r="AD21" i="15"/>
  <c r="AA21" i="15"/>
  <c r="V21" i="15"/>
  <c r="R21" i="15"/>
  <c r="N21" i="15"/>
  <c r="AO20" i="15"/>
  <c r="AG20" i="15"/>
  <c r="AD20" i="15"/>
  <c r="AA20" i="15"/>
  <c r="V20" i="15"/>
  <c r="R20" i="15"/>
  <c r="N20" i="15"/>
  <c r="AO19" i="15"/>
  <c r="AG19" i="15"/>
  <c r="AD19" i="15"/>
  <c r="AA19" i="15"/>
  <c r="V19" i="15"/>
  <c r="R19" i="15"/>
  <c r="N19" i="15"/>
  <c r="AO18" i="15"/>
  <c r="AG18" i="15"/>
  <c r="AD18" i="15"/>
  <c r="AA18" i="15"/>
  <c r="V18" i="15"/>
  <c r="R18" i="15"/>
  <c r="N18" i="15"/>
  <c r="AO17" i="15"/>
  <c r="AG17" i="15"/>
  <c r="AD17" i="15"/>
  <c r="AA17" i="15"/>
  <c r="V17" i="15"/>
  <c r="R17" i="15"/>
  <c r="N17" i="15"/>
  <c r="AO16" i="15"/>
  <c r="AG16" i="15"/>
  <c r="AD16" i="15"/>
  <c r="AA16" i="15"/>
  <c r="V16" i="15"/>
  <c r="R16" i="15"/>
  <c r="N16" i="15"/>
  <c r="AO15" i="15"/>
  <c r="AG15" i="15"/>
  <c r="AD15" i="15"/>
  <c r="AA15" i="15"/>
  <c r="V15" i="15"/>
  <c r="R15" i="15"/>
  <c r="N15" i="15"/>
  <c r="AO14" i="15"/>
  <c r="AG14" i="15"/>
  <c r="AD14" i="15"/>
  <c r="AA14" i="15"/>
  <c r="V14" i="15"/>
  <c r="R14" i="15"/>
  <c r="N14" i="15"/>
  <c r="AO13" i="15"/>
  <c r="AG13" i="15"/>
  <c r="AD13" i="15"/>
  <c r="AA13" i="15"/>
  <c r="V13" i="15"/>
  <c r="R13" i="15"/>
  <c r="N13" i="15"/>
  <c r="AO12" i="15"/>
  <c r="AG12" i="15"/>
  <c r="AD12" i="15"/>
  <c r="AA12" i="15"/>
  <c r="V12" i="15"/>
  <c r="R12" i="15"/>
  <c r="N12" i="15"/>
  <c r="AO11" i="15"/>
  <c r="AG11" i="15"/>
  <c r="AD11" i="15"/>
  <c r="AA11" i="15"/>
  <c r="V11" i="15"/>
  <c r="R11" i="15"/>
  <c r="N11" i="15"/>
  <c r="AO10" i="15"/>
  <c r="AG10" i="15"/>
  <c r="AD10" i="15"/>
  <c r="AA10" i="15"/>
  <c r="V10" i="15"/>
  <c r="R10" i="15"/>
  <c r="N10" i="15"/>
  <c r="AO9" i="15"/>
  <c r="AG9" i="15"/>
  <c r="AD9" i="15"/>
  <c r="AA9" i="15"/>
  <c r="V9" i="15"/>
  <c r="R9" i="15"/>
  <c r="N9" i="15"/>
  <c r="AO8" i="15"/>
  <c r="AG8" i="15"/>
  <c r="AD8" i="15"/>
  <c r="AA8" i="15"/>
  <c r="V8" i="15"/>
  <c r="R8" i="15"/>
  <c r="N8" i="15"/>
  <c r="K7" i="14"/>
  <c r="J7" i="14"/>
  <c r="I7" i="14"/>
  <c r="H7" i="14"/>
  <c r="G7" i="14"/>
  <c r="F7" i="14"/>
  <c r="E7" i="14"/>
  <c r="D7" i="14"/>
  <c r="C7" i="14"/>
  <c r="B7" i="14"/>
  <c r="AZ133" i="3"/>
  <c r="AZ115" i="3"/>
  <c r="Q21" i="11"/>
  <c r="O27" i="11"/>
  <c r="AZ108" i="3"/>
  <c r="AZ106" i="3"/>
  <c r="AZ77" i="3"/>
  <c r="AZ64" i="3"/>
  <c r="BM9" i="3"/>
  <c r="BL9" i="3"/>
  <c r="BK9" i="3"/>
  <c r="BJ9" i="3"/>
  <c r="BH9" i="3"/>
  <c r="BG9" i="3"/>
  <c r="BE9" i="3"/>
  <c r="BD9" i="3"/>
  <c r="BC9" i="3"/>
  <c r="BB9" i="3"/>
  <c r="BA9" i="3"/>
  <c r="AY9" i="3"/>
  <c r="AX9" i="3"/>
  <c r="AW9" i="3"/>
  <c r="AV9" i="3"/>
  <c r="AU9" i="3"/>
  <c r="AS9" i="3"/>
  <c r="AR9" i="3"/>
  <c r="AQ9" i="3"/>
  <c r="AP9" i="3"/>
  <c r="AO9" i="3"/>
  <c r="AN9" i="3"/>
  <c r="AM9" i="3"/>
  <c r="AK9" i="3"/>
  <c r="AJ9" i="3"/>
  <c r="AH9" i="3"/>
  <c r="AG9" i="3"/>
  <c r="AE9" i="3"/>
  <c r="AD9" i="3"/>
  <c r="AC9" i="3"/>
  <c r="AB9" i="3"/>
  <c r="Z9" i="3"/>
  <c r="Y9" i="3"/>
  <c r="X9" i="3"/>
  <c r="V9" i="3"/>
  <c r="U9" i="3"/>
  <c r="T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AZ148" i="3"/>
  <c r="AZ143" i="3"/>
  <c r="AZ145" i="3"/>
  <c r="AZ141" i="3"/>
  <c r="AZ146" i="3"/>
  <c r="AZ137" i="3"/>
  <c r="F36" i="11"/>
  <c r="E36" i="11"/>
  <c r="F35" i="11"/>
  <c r="E35" i="11"/>
  <c r="AZ151" i="3"/>
  <c r="AZ144" i="3"/>
  <c r="AZ140" i="3"/>
  <c r="AZ139" i="3"/>
  <c r="AZ138" i="3"/>
  <c r="AZ134" i="3"/>
  <c r="AZ63" i="3"/>
  <c r="AZ62" i="3"/>
  <c r="AZ58" i="3"/>
  <c r="AZ57" i="3"/>
  <c r="AZ56" i="3"/>
  <c r="AZ55" i="3"/>
  <c r="AZ54" i="3"/>
  <c r="AZ53" i="3"/>
  <c r="AZ184" i="3"/>
  <c r="AZ182" i="3"/>
  <c r="AZ178" i="3"/>
  <c r="AZ23" i="3"/>
  <c r="AZ17" i="3"/>
  <c r="AZ18" i="3"/>
  <c r="AZ16" i="3"/>
  <c r="AZ15" i="3"/>
  <c r="AZ14" i="3"/>
  <c r="AZ11" i="3"/>
  <c r="AZ12" i="3"/>
  <c r="AZ13" i="3"/>
  <c r="AZ10" i="3"/>
  <c r="S10" i="11" l="1"/>
  <c r="S11" i="11"/>
  <c r="S12" i="11"/>
  <c r="S13" i="11"/>
  <c r="S14" i="11"/>
  <c r="S15" i="11"/>
  <c r="S16" i="11"/>
  <c r="S17" i="11"/>
  <c r="S18" i="11"/>
  <c r="S9" i="11"/>
  <c r="P10" i="11"/>
  <c r="P11" i="11"/>
  <c r="P12" i="11"/>
  <c r="P13" i="11"/>
  <c r="P14" i="11"/>
  <c r="P15" i="11"/>
  <c r="P16" i="11"/>
  <c r="P17" i="11"/>
  <c r="P18" i="11"/>
  <c r="P9" i="11"/>
  <c r="M10" i="11"/>
  <c r="M11" i="11"/>
  <c r="M12" i="11"/>
  <c r="M13" i="11"/>
  <c r="M14" i="11"/>
  <c r="M15" i="11"/>
  <c r="M16" i="11"/>
  <c r="M17" i="11"/>
  <c r="M18" i="11"/>
  <c r="M9" i="11"/>
  <c r="J10" i="11"/>
  <c r="J11" i="11"/>
  <c r="J12" i="11"/>
  <c r="J13" i="11"/>
  <c r="J14" i="11"/>
  <c r="J15" i="11"/>
  <c r="J16" i="11"/>
  <c r="J17" i="11"/>
  <c r="J18" i="11"/>
  <c r="J9" i="11"/>
  <c r="G10" i="11"/>
  <c r="G11" i="11"/>
  <c r="G12" i="11"/>
  <c r="G13" i="11"/>
  <c r="G14" i="11"/>
  <c r="G15" i="11"/>
  <c r="G16" i="11"/>
  <c r="G17" i="11"/>
  <c r="G18" i="11"/>
  <c r="G9" i="11"/>
  <c r="AZ164" i="3" l="1"/>
  <c r="AZ165" i="3"/>
  <c r="AZ166" i="3"/>
  <c r="AZ159" i="3"/>
  <c r="AZ160" i="3"/>
  <c r="AZ161" i="3"/>
  <c r="AZ156" i="3"/>
  <c r="AZ157" i="3"/>
  <c r="AZ155" i="3"/>
  <c r="AZ127" i="3"/>
  <c r="AZ125" i="3"/>
  <c r="AZ100" i="3"/>
  <c r="I19" i="11"/>
  <c r="H19" i="11"/>
  <c r="C19" i="11"/>
  <c r="G19" i="11" l="1"/>
  <c r="F19" i="11"/>
  <c r="D19" i="11"/>
  <c r="E19" i="11"/>
  <c r="J19" i="11" l="1"/>
  <c r="P22" i="11" s="1"/>
  <c r="Q22" i="11" s="1"/>
  <c r="Q19" i="11" l="1"/>
  <c r="O19" i="11"/>
  <c r="S19" i="11"/>
  <c r="R19" i="11"/>
  <c r="L19" i="11"/>
  <c r="K19" i="11"/>
  <c r="P24" i="11" s="1"/>
  <c r="N19" i="11"/>
  <c r="Q24" i="11" l="1"/>
  <c r="P28" i="11"/>
  <c r="Q28" i="11" s="1"/>
  <c r="P23" i="11"/>
  <c r="P19" i="11"/>
  <c r="M19" i="11"/>
  <c r="P25" i="11" s="1"/>
  <c r="Q23" i="11" l="1"/>
  <c r="P27" i="11"/>
  <c r="Q27" i="11" s="1"/>
  <c r="Q25" i="11"/>
  <c r="P29" i="11"/>
  <c r="Q29" i="11" s="1"/>
  <c r="Q7" i="10"/>
  <c r="R7" i="10"/>
  <c r="S9" i="10"/>
  <c r="W30" i="3"/>
  <c r="W51" i="3"/>
  <c r="W68" i="3"/>
  <c r="W76" i="3"/>
  <c r="W91" i="3"/>
  <c r="W92" i="3"/>
  <c r="W99" i="3"/>
  <c r="W112" i="3"/>
  <c r="W117" i="3"/>
  <c r="W147" i="3"/>
  <c r="W153" i="3"/>
  <c r="W10" i="3"/>
  <c r="W176" i="3"/>
  <c r="S20" i="10" l="1"/>
  <c r="S19" i="10" l="1"/>
  <c r="S17" i="10" l="1"/>
  <c r="S8" i="10" l="1"/>
  <c r="S11" i="10"/>
  <c r="S14" i="10"/>
  <c r="S12" i="10"/>
  <c r="S16" i="10"/>
  <c r="S18" i="10"/>
  <c r="S22" i="10"/>
  <c r="S23" i="10"/>
  <c r="S21" i="10"/>
  <c r="S10" i="10"/>
  <c r="BI11" i="3"/>
  <c r="BI12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176" i="3"/>
  <c r="BI177" i="3"/>
  <c r="BI178" i="3"/>
  <c r="BI179" i="3"/>
  <c r="BI180" i="3"/>
  <c r="BI181" i="3"/>
  <c r="BI182" i="3"/>
  <c r="BI183" i="3"/>
  <c r="BI184" i="3"/>
  <c r="BI185" i="3"/>
  <c r="BI186" i="3"/>
  <c r="BI187" i="3"/>
  <c r="BI188" i="3"/>
  <c r="BI189" i="3"/>
  <c r="BI190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40" i="3"/>
  <c r="BI41" i="3"/>
  <c r="BI42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59" i="3"/>
  <c r="BI60" i="3"/>
  <c r="BI61" i="3"/>
  <c r="BI62" i="3"/>
  <c r="BI63" i="3"/>
  <c r="BI64" i="3"/>
  <c r="BI65" i="3"/>
  <c r="BI66" i="3"/>
  <c r="BI67" i="3"/>
  <c r="BI68" i="3"/>
  <c r="BI69" i="3"/>
  <c r="BI70" i="3"/>
  <c r="BI71" i="3"/>
  <c r="BI72" i="3"/>
  <c r="BI73" i="3"/>
  <c r="BI74" i="3"/>
  <c r="BI75" i="3"/>
  <c r="BI76" i="3"/>
  <c r="BI77" i="3"/>
  <c r="BI78" i="3"/>
  <c r="BI79" i="3"/>
  <c r="BI80" i="3"/>
  <c r="BI81" i="3"/>
  <c r="BI82" i="3"/>
  <c r="BI83" i="3"/>
  <c r="BI84" i="3"/>
  <c r="BI85" i="3"/>
  <c r="BI86" i="3"/>
  <c r="BI154" i="3"/>
  <c r="BI87" i="3"/>
  <c r="BI88" i="3"/>
  <c r="BI89" i="3"/>
  <c r="BI90" i="3"/>
  <c r="BI91" i="3"/>
  <c r="BI92" i="3"/>
  <c r="BI93" i="3"/>
  <c r="BI94" i="3"/>
  <c r="BI95" i="3"/>
  <c r="BI96" i="3"/>
  <c r="BI97" i="3"/>
  <c r="BI98" i="3"/>
  <c r="BI99" i="3"/>
  <c r="BI100" i="3"/>
  <c r="BI101" i="3"/>
  <c r="BI102" i="3"/>
  <c r="BI103" i="3"/>
  <c r="BI104" i="3"/>
  <c r="BI105" i="3"/>
  <c r="BI106" i="3"/>
  <c r="BI107" i="3"/>
  <c r="BI108" i="3"/>
  <c r="BI109" i="3"/>
  <c r="BI110" i="3"/>
  <c r="BI111" i="3"/>
  <c r="BI112" i="3"/>
  <c r="BI113" i="3"/>
  <c r="BI114" i="3"/>
  <c r="BI115" i="3"/>
  <c r="BI116" i="3"/>
  <c r="BI117" i="3"/>
  <c r="BI118" i="3"/>
  <c r="BI119" i="3"/>
  <c r="BI120" i="3"/>
  <c r="BI121" i="3"/>
  <c r="BI122" i="3"/>
  <c r="BI123" i="3"/>
  <c r="BI124" i="3"/>
  <c r="BI125" i="3"/>
  <c r="BI126" i="3"/>
  <c r="BI127" i="3"/>
  <c r="BI155" i="3"/>
  <c r="BI156" i="3"/>
  <c r="BI157" i="3"/>
  <c r="BI158" i="3"/>
  <c r="BI159" i="3"/>
  <c r="BI160" i="3"/>
  <c r="BI161" i="3"/>
  <c r="BI162" i="3"/>
  <c r="BI163" i="3"/>
  <c r="BI164" i="3"/>
  <c r="BI165" i="3"/>
  <c r="BI166" i="3"/>
  <c r="BI167" i="3"/>
  <c r="BI168" i="3"/>
  <c r="BI169" i="3"/>
  <c r="BI170" i="3"/>
  <c r="BI171" i="3"/>
  <c r="BI172" i="3"/>
  <c r="BI173" i="3"/>
  <c r="BI174" i="3"/>
  <c r="BI175" i="3"/>
  <c r="BI128" i="3"/>
  <c r="BI129" i="3"/>
  <c r="BI130" i="3"/>
  <c r="BI131" i="3"/>
  <c r="BI132" i="3"/>
  <c r="BI133" i="3"/>
  <c r="BI134" i="3"/>
  <c r="BI135" i="3"/>
  <c r="BI136" i="3"/>
  <c r="BI137" i="3"/>
  <c r="BI138" i="3"/>
  <c r="BI139" i="3"/>
  <c r="BI140" i="3"/>
  <c r="BI141" i="3"/>
  <c r="BI142" i="3"/>
  <c r="BI143" i="3"/>
  <c r="BI144" i="3"/>
  <c r="BI145" i="3"/>
  <c r="BI146" i="3"/>
  <c r="BI147" i="3"/>
  <c r="BI148" i="3"/>
  <c r="BI149" i="3"/>
  <c r="BI150" i="3"/>
  <c r="BI151" i="3"/>
  <c r="BI152" i="3"/>
  <c r="BI153" i="3"/>
  <c r="BI10" i="3"/>
  <c r="BF11" i="3"/>
  <c r="BF12" i="3"/>
  <c r="BF13" i="3"/>
  <c r="BF14" i="3"/>
  <c r="BF15" i="3"/>
  <c r="BF16" i="3"/>
  <c r="BF17" i="3"/>
  <c r="BF18" i="3"/>
  <c r="BF19" i="3"/>
  <c r="BF20" i="3"/>
  <c r="BF21" i="3"/>
  <c r="BF22" i="3"/>
  <c r="BF23" i="3"/>
  <c r="BF24" i="3"/>
  <c r="BF176" i="3"/>
  <c r="BF177" i="3"/>
  <c r="BF178" i="3"/>
  <c r="BF179" i="3"/>
  <c r="BF180" i="3"/>
  <c r="BF181" i="3"/>
  <c r="BF182" i="3"/>
  <c r="BF183" i="3"/>
  <c r="BF184" i="3"/>
  <c r="BF185" i="3"/>
  <c r="BF186" i="3"/>
  <c r="BF187" i="3"/>
  <c r="BF188" i="3"/>
  <c r="BF189" i="3"/>
  <c r="BF190" i="3"/>
  <c r="BF25" i="3"/>
  <c r="BF26" i="3"/>
  <c r="BF27" i="3"/>
  <c r="BF28" i="3"/>
  <c r="BF29" i="3"/>
  <c r="BF30" i="3"/>
  <c r="BF31" i="3"/>
  <c r="BF32" i="3"/>
  <c r="BF33" i="3"/>
  <c r="BF34" i="3"/>
  <c r="BF35" i="3"/>
  <c r="BF36" i="3"/>
  <c r="BF37" i="3"/>
  <c r="BF38" i="3"/>
  <c r="BF39" i="3"/>
  <c r="BF40" i="3"/>
  <c r="BF41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BF58" i="3"/>
  <c r="BF59" i="3"/>
  <c r="BF60" i="3"/>
  <c r="BF61" i="3"/>
  <c r="BF62" i="3"/>
  <c r="BF63" i="3"/>
  <c r="BF64" i="3"/>
  <c r="BF65" i="3"/>
  <c r="BF66" i="3"/>
  <c r="BF67" i="3"/>
  <c r="BF68" i="3"/>
  <c r="BF69" i="3"/>
  <c r="BF70" i="3"/>
  <c r="BF71" i="3"/>
  <c r="BF72" i="3"/>
  <c r="BF73" i="3"/>
  <c r="BF74" i="3"/>
  <c r="BF75" i="3"/>
  <c r="BF76" i="3"/>
  <c r="BF77" i="3"/>
  <c r="BF78" i="3"/>
  <c r="BF79" i="3"/>
  <c r="BF80" i="3"/>
  <c r="BF81" i="3"/>
  <c r="BF82" i="3"/>
  <c r="BF83" i="3"/>
  <c r="BF84" i="3"/>
  <c r="BF85" i="3"/>
  <c r="BF86" i="3"/>
  <c r="BF154" i="3"/>
  <c r="BF87" i="3"/>
  <c r="BF88" i="3"/>
  <c r="BF89" i="3"/>
  <c r="BF90" i="3"/>
  <c r="BF91" i="3"/>
  <c r="BF92" i="3"/>
  <c r="BF93" i="3"/>
  <c r="BF94" i="3"/>
  <c r="BF95" i="3"/>
  <c r="BF96" i="3"/>
  <c r="BF97" i="3"/>
  <c r="BF98" i="3"/>
  <c r="BF99" i="3"/>
  <c r="BF100" i="3"/>
  <c r="BF101" i="3"/>
  <c r="BF102" i="3"/>
  <c r="BF103" i="3"/>
  <c r="BF104" i="3"/>
  <c r="BF105" i="3"/>
  <c r="BF106" i="3"/>
  <c r="BF107" i="3"/>
  <c r="BF108" i="3"/>
  <c r="BF109" i="3"/>
  <c r="BF110" i="3"/>
  <c r="BF111" i="3"/>
  <c r="BF112" i="3"/>
  <c r="BF113" i="3"/>
  <c r="BF114" i="3"/>
  <c r="BF115" i="3"/>
  <c r="BF116" i="3"/>
  <c r="BF117" i="3"/>
  <c r="BF118" i="3"/>
  <c r="BF119" i="3"/>
  <c r="BF120" i="3"/>
  <c r="BF121" i="3"/>
  <c r="BF122" i="3"/>
  <c r="BF123" i="3"/>
  <c r="BF124" i="3"/>
  <c r="BF125" i="3"/>
  <c r="BF126" i="3"/>
  <c r="BF127" i="3"/>
  <c r="BF155" i="3"/>
  <c r="BF156" i="3"/>
  <c r="BF157" i="3"/>
  <c r="BF158" i="3"/>
  <c r="BF159" i="3"/>
  <c r="BF160" i="3"/>
  <c r="BF161" i="3"/>
  <c r="BF162" i="3"/>
  <c r="BF163" i="3"/>
  <c r="BF164" i="3"/>
  <c r="BF165" i="3"/>
  <c r="BF166" i="3"/>
  <c r="BF167" i="3"/>
  <c r="BF168" i="3"/>
  <c r="BF169" i="3"/>
  <c r="BF170" i="3"/>
  <c r="BF171" i="3"/>
  <c r="BF172" i="3"/>
  <c r="BF173" i="3"/>
  <c r="BF174" i="3"/>
  <c r="BF175" i="3"/>
  <c r="BF128" i="3"/>
  <c r="BF129" i="3"/>
  <c r="BF130" i="3"/>
  <c r="BF131" i="3"/>
  <c r="BF132" i="3"/>
  <c r="BF133" i="3"/>
  <c r="BF134" i="3"/>
  <c r="BF135" i="3"/>
  <c r="BF136" i="3"/>
  <c r="BF137" i="3"/>
  <c r="BF138" i="3"/>
  <c r="BF139" i="3"/>
  <c r="BF140" i="3"/>
  <c r="BF141" i="3"/>
  <c r="BF142" i="3"/>
  <c r="BF143" i="3"/>
  <c r="BF144" i="3"/>
  <c r="BF145" i="3"/>
  <c r="BF146" i="3"/>
  <c r="BF147" i="3"/>
  <c r="BF148" i="3"/>
  <c r="BF149" i="3"/>
  <c r="BF150" i="3"/>
  <c r="BF151" i="3"/>
  <c r="BF152" i="3"/>
  <c r="BF153" i="3"/>
  <c r="BF10" i="3"/>
  <c r="AZ19" i="3"/>
  <c r="AZ20" i="3"/>
  <c r="AZ21" i="3"/>
  <c r="AZ22" i="3"/>
  <c r="AZ24" i="3"/>
  <c r="AZ176" i="3"/>
  <c r="AZ177" i="3"/>
  <c r="AZ179" i="3"/>
  <c r="AZ180" i="3"/>
  <c r="AZ181" i="3"/>
  <c r="AZ183" i="3"/>
  <c r="AZ185" i="3"/>
  <c r="AZ186" i="3"/>
  <c r="AZ187" i="3"/>
  <c r="AZ188" i="3"/>
  <c r="AZ189" i="3"/>
  <c r="AZ190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9" i="3"/>
  <c r="AZ60" i="3"/>
  <c r="AZ61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1" i="3"/>
  <c r="AZ102" i="3"/>
  <c r="AZ103" i="3"/>
  <c r="AZ104" i="3"/>
  <c r="AZ105" i="3"/>
  <c r="AZ107" i="3"/>
  <c r="AZ109" i="3"/>
  <c r="AZ110" i="3"/>
  <c r="AZ111" i="3"/>
  <c r="AZ112" i="3"/>
  <c r="AZ113" i="3"/>
  <c r="AZ114" i="3"/>
  <c r="AZ116" i="3"/>
  <c r="AZ117" i="3"/>
  <c r="AZ118" i="3"/>
  <c r="AZ119" i="3"/>
  <c r="AZ120" i="3"/>
  <c r="AZ121" i="3"/>
  <c r="AZ122" i="3"/>
  <c r="AZ123" i="3"/>
  <c r="AZ124" i="3"/>
  <c r="AZ126" i="3"/>
  <c r="AZ158" i="3"/>
  <c r="AZ162" i="3"/>
  <c r="AZ163" i="3"/>
  <c r="AZ167" i="3"/>
  <c r="AZ168" i="3"/>
  <c r="AZ169" i="3"/>
  <c r="AZ170" i="3"/>
  <c r="AZ128" i="3"/>
  <c r="AZ129" i="3"/>
  <c r="AZ130" i="3"/>
  <c r="AZ131" i="3"/>
  <c r="AZ132" i="3"/>
  <c r="AZ135" i="3"/>
  <c r="AZ136" i="3"/>
  <c r="AZ142" i="3"/>
  <c r="AZ147" i="3"/>
  <c r="AZ149" i="3"/>
  <c r="AZ150" i="3"/>
  <c r="AZ152" i="3"/>
  <c r="AZ153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176" i="3"/>
  <c r="AT177" i="3"/>
  <c r="AT178" i="3"/>
  <c r="AT179" i="3"/>
  <c r="AT180" i="3"/>
  <c r="AT181" i="3"/>
  <c r="AT182" i="3"/>
  <c r="AT183" i="3"/>
  <c r="AT184" i="3"/>
  <c r="AT185" i="3"/>
  <c r="AT186" i="3"/>
  <c r="AT187" i="3"/>
  <c r="AT188" i="3"/>
  <c r="AT189" i="3"/>
  <c r="AT190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66" i="3"/>
  <c r="AT67" i="3"/>
  <c r="AT68" i="3"/>
  <c r="AT69" i="3"/>
  <c r="AT70" i="3"/>
  <c r="AT71" i="3"/>
  <c r="AT72" i="3"/>
  <c r="AT73" i="3"/>
  <c r="AT74" i="3"/>
  <c r="AT75" i="3"/>
  <c r="AT76" i="3"/>
  <c r="AT77" i="3"/>
  <c r="AT78" i="3"/>
  <c r="AT79" i="3"/>
  <c r="AT80" i="3"/>
  <c r="AT81" i="3"/>
  <c r="AT82" i="3"/>
  <c r="AT83" i="3"/>
  <c r="AT84" i="3"/>
  <c r="AT85" i="3"/>
  <c r="AT86" i="3"/>
  <c r="AT154" i="3"/>
  <c r="AT87" i="3"/>
  <c r="AT88" i="3"/>
  <c r="AT89" i="3"/>
  <c r="AT90" i="3"/>
  <c r="AT91" i="3"/>
  <c r="AT92" i="3"/>
  <c r="AT93" i="3"/>
  <c r="AT94" i="3"/>
  <c r="AT95" i="3"/>
  <c r="AT96" i="3"/>
  <c r="AT97" i="3"/>
  <c r="AT98" i="3"/>
  <c r="AT99" i="3"/>
  <c r="AT100" i="3"/>
  <c r="AT101" i="3"/>
  <c r="AT102" i="3"/>
  <c r="AT103" i="3"/>
  <c r="AT104" i="3"/>
  <c r="AT105" i="3"/>
  <c r="AT106" i="3"/>
  <c r="AT107" i="3"/>
  <c r="AT108" i="3"/>
  <c r="AT109" i="3"/>
  <c r="AT110" i="3"/>
  <c r="AT111" i="3"/>
  <c r="AT112" i="3"/>
  <c r="AT113" i="3"/>
  <c r="AT114" i="3"/>
  <c r="AT115" i="3"/>
  <c r="AT116" i="3"/>
  <c r="AT117" i="3"/>
  <c r="AT118" i="3"/>
  <c r="AT119" i="3"/>
  <c r="AT120" i="3"/>
  <c r="AT121" i="3"/>
  <c r="AT122" i="3"/>
  <c r="AT123" i="3"/>
  <c r="AT124" i="3"/>
  <c r="AT125" i="3"/>
  <c r="AT126" i="3"/>
  <c r="AT127" i="3"/>
  <c r="AT155" i="3"/>
  <c r="AT156" i="3"/>
  <c r="AT157" i="3"/>
  <c r="AT158" i="3"/>
  <c r="AT159" i="3"/>
  <c r="AT160" i="3"/>
  <c r="AT161" i="3"/>
  <c r="AT162" i="3"/>
  <c r="AT163" i="3"/>
  <c r="AT164" i="3"/>
  <c r="AT165" i="3"/>
  <c r="AT166" i="3"/>
  <c r="AT167" i="3"/>
  <c r="AT168" i="3"/>
  <c r="AT169" i="3"/>
  <c r="AT170" i="3"/>
  <c r="AT171" i="3"/>
  <c r="AT172" i="3"/>
  <c r="AT173" i="3"/>
  <c r="AT174" i="3"/>
  <c r="AT175" i="3"/>
  <c r="AT128" i="3"/>
  <c r="AT129" i="3"/>
  <c r="AT130" i="3"/>
  <c r="AT131" i="3"/>
  <c r="AT132" i="3"/>
  <c r="AT133" i="3"/>
  <c r="AT134" i="3"/>
  <c r="AT135" i="3"/>
  <c r="AT136" i="3"/>
  <c r="AT137" i="3"/>
  <c r="AT138" i="3"/>
  <c r="AT139" i="3"/>
  <c r="AT140" i="3"/>
  <c r="AT141" i="3"/>
  <c r="AT142" i="3"/>
  <c r="AT143" i="3"/>
  <c r="AT144" i="3"/>
  <c r="AT145" i="3"/>
  <c r="AT146" i="3"/>
  <c r="AT147" i="3"/>
  <c r="AT148" i="3"/>
  <c r="AT149" i="3"/>
  <c r="AT150" i="3"/>
  <c r="AT151" i="3"/>
  <c r="AT152" i="3"/>
  <c r="AT153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154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0" i="3"/>
  <c r="BF9" i="3" l="1"/>
  <c r="BI9" i="3"/>
  <c r="AL9" i="3"/>
  <c r="AT9" i="3"/>
  <c r="AZ9" i="3"/>
  <c r="S7" i="10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154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154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0" i="3"/>
  <c r="AI10" i="3"/>
  <c r="AI13" i="3"/>
  <c r="AI15" i="3"/>
  <c r="AI16" i="3"/>
  <c r="AI17" i="3"/>
  <c r="AI18" i="3"/>
  <c r="AI19" i="3"/>
  <c r="AI20" i="3"/>
  <c r="AI21" i="3"/>
  <c r="AI22" i="3"/>
  <c r="AI23" i="3"/>
  <c r="AI24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154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1" i="3"/>
  <c r="AI12" i="3"/>
  <c r="AI14" i="3"/>
  <c r="W123" i="3"/>
  <c r="W122" i="3"/>
  <c r="W121" i="3"/>
  <c r="W120" i="3"/>
  <c r="W119" i="3"/>
  <c r="W118" i="3"/>
  <c r="W116" i="3"/>
  <c r="W115" i="3"/>
  <c r="W114" i="3"/>
  <c r="W113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0" i="3"/>
  <c r="W49" i="3"/>
  <c r="W48" i="3"/>
  <c r="W47" i="3"/>
  <c r="W46" i="3"/>
  <c r="W45" i="3"/>
  <c r="W44" i="3"/>
  <c r="W43" i="3"/>
  <c r="W42" i="3"/>
  <c r="W41" i="3"/>
  <c r="W152" i="3"/>
  <c r="W151" i="3"/>
  <c r="W150" i="3"/>
  <c r="W149" i="3"/>
  <c r="W148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27" i="3"/>
  <c r="W126" i="3"/>
  <c r="W125" i="3"/>
  <c r="W124" i="3"/>
  <c r="W98" i="3"/>
  <c r="W97" i="3"/>
  <c r="W96" i="3"/>
  <c r="W95" i="3"/>
  <c r="W94" i="3"/>
  <c r="W93" i="3"/>
  <c r="W90" i="3"/>
  <c r="W89" i="3"/>
  <c r="W88" i="3"/>
  <c r="W87" i="3"/>
  <c r="W154" i="3"/>
  <c r="W86" i="3"/>
  <c r="W85" i="3"/>
  <c r="W84" i="3"/>
  <c r="W83" i="3"/>
  <c r="W82" i="3"/>
  <c r="W81" i="3"/>
  <c r="W80" i="3"/>
  <c r="W79" i="3"/>
  <c r="W78" i="3"/>
  <c r="W77" i="3"/>
  <c r="W75" i="3"/>
  <c r="W74" i="3"/>
  <c r="W73" i="3"/>
  <c r="W72" i="3"/>
  <c r="W71" i="3"/>
  <c r="W70" i="3"/>
  <c r="W69" i="3"/>
  <c r="W40" i="3"/>
  <c r="W39" i="3"/>
  <c r="W38" i="3"/>
  <c r="W37" i="3"/>
  <c r="W36" i="3"/>
  <c r="W35" i="3"/>
  <c r="W34" i="3"/>
  <c r="W33" i="3"/>
  <c r="W32" i="3"/>
  <c r="W31" i="3"/>
  <c r="W29" i="3"/>
  <c r="W28" i="3"/>
  <c r="W27" i="3"/>
  <c r="W26" i="3"/>
  <c r="W25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F24" i="11"/>
  <c r="F25" i="11"/>
  <c r="F26" i="11"/>
  <c r="F27" i="11"/>
  <c r="F29" i="11"/>
  <c r="F30" i="11"/>
  <c r="F31" i="11"/>
  <c r="F33" i="11"/>
  <c r="F34" i="11"/>
  <c r="F23" i="11"/>
  <c r="C24" i="11"/>
  <c r="C25" i="11"/>
  <c r="C26" i="11"/>
  <c r="C27" i="11"/>
  <c r="C29" i="11"/>
  <c r="C30" i="11"/>
  <c r="C31" i="11"/>
  <c r="C32" i="11"/>
  <c r="C33" i="11"/>
  <c r="C34" i="11"/>
  <c r="D24" i="11"/>
  <c r="D25" i="11"/>
  <c r="D27" i="11"/>
  <c r="D30" i="11"/>
  <c r="D31" i="11"/>
  <c r="D34" i="11"/>
  <c r="D23" i="11"/>
  <c r="E32" i="11"/>
  <c r="E33" i="11"/>
  <c r="E34" i="11"/>
  <c r="E27" i="11"/>
  <c r="E29" i="11"/>
  <c r="E30" i="11"/>
  <c r="E31" i="11"/>
  <c r="E23" i="11"/>
  <c r="E24" i="11"/>
  <c r="E26" i="11"/>
  <c r="AF9" i="3" l="1"/>
  <c r="W9" i="3"/>
  <c r="AI9" i="3"/>
  <c r="S9" i="3"/>
  <c r="D37" i="11"/>
  <c r="E37" i="11"/>
  <c r="C37" i="11"/>
  <c r="F37" i="11"/>
  <c r="G37" i="11" l="1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154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0" i="3"/>
  <c r="AA9" i="3" l="1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tc={E0C00D32-7455-4D9A-BA83-6EC62E834EE9}</author>
    <author>tc={92893064-A841-40AA-908E-381FDF53399D}</author>
  </authors>
  <commentList>
    <comment ref="M14" authorId="0" shapeId="0" xr:uid="{E0C00D32-7455-4D9A-BA83-6EC62E834EE9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ขอข้อมูลเพิ่มเติม ยืนยันสถานที่ติดตั้งอีกครั้ง</t>
      </text>
    </comment>
    <comment ref="M17" authorId="1" shapeId="0" xr:uid="{92893064-A841-40AA-908E-381FDF53399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หมดวาระ ไม่มีศลป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tc={5E136398-04AB-45EF-B053-30C1E17C43BB}</author>
    <author>tc={CE283E81-DA9D-45EA-815C-61C06979A074}</author>
    <author>tc={AE3BCF7F-51C9-4C4D-9427-40B862FDBD9A}</author>
    <author>tc={49D2E417-66D4-4084-8C3F-9ED0811CA7F0}</author>
    <author>tc={8AA0780F-37FB-4D88-B8ED-6B9293593F12}</author>
    <author>tc={D697674F-C926-4C4A-8720-D1B1EDDA34AB}</author>
    <author>tc={1FBC164E-D485-4354-A5B3-D3D73230B4C6}</author>
    <author>tc={ED1A2D35-7508-4453-BAFC-71F04CDF45C5}</author>
    <author>tc={D221A58E-E9E2-44FE-B9F0-83C6C9AE0F36}</author>
    <author>tc={85B2CD13-BEED-45FC-91B1-EFEF582E4F1A}</author>
    <author>tc={6B4B8E43-3B9D-40F7-9700-3A7438FF3C67}</author>
    <author>tc={E26C635F-2A14-4B03-A18C-11033B4FC15D}</author>
  </authors>
  <commentList>
    <comment ref="C23" authorId="0" shapeId="0" xr:uid="{5E136398-04AB-45EF-B053-30C1E17C43B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F สนับสนุนการซื้อมิเตอร์ไฟฟ้าเอง + ทำหนังสือยินยอมให้จนท.ไฟฟ้าเข้าไปจดหน่วยการใช้</t>
      </text>
    </comment>
    <comment ref="AU77" authorId="1" shapeId="0" xr:uid="{CE283E81-DA9D-45EA-815C-61C06979A074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6 กย 69</t>
      </text>
    </comment>
    <comment ref="B106" authorId="2" shapeId="0" xr:uid="{AE3BCF7F-51C9-4C4D-9427-40B862FDBD9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9 เดือน</t>
      </text>
    </comment>
    <comment ref="O162" authorId="3" shapeId="0" xr:uid="{49D2E417-66D4-4084-8C3F-9ED0811CA7F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เดิม 8.250169</t>
      </text>
    </comment>
    <comment ref="P162" authorId="4" shapeId="0" xr:uid="{8AA0780F-37FB-4D88-B8ED-6B9293593F1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เดิม 100.270668</t>
      </text>
    </comment>
    <comment ref="O163" authorId="5" shapeId="0" xr:uid="{D697674F-C926-4C4A-8720-D1B1EDDA34AB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ใช้พิกัดเดิม แค่เลื่อนจุดตต.นิดเดียว</t>
      </text>
    </comment>
    <comment ref="P163" authorId="6" shapeId="0" xr:uid="{1FBC164E-D485-4354-A5B3-D3D73230B4C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ใช้พิกัดเดิม แค่เลื่อนจุดตต.นิดเดียว</t>
      </text>
    </comment>
    <comment ref="H170" authorId="7" shapeId="0" xr:uid="{ED1A2D35-7508-4453-BAFC-71F04CDF45C5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เดิม 60/1 และกำนันแจ้งว่าบอกผิดไปจึงขอให้แก้ไข
เป็น เลขที่ 99</t>
      </text>
    </comment>
    <comment ref="O170" authorId="8" shapeId="0" xr:uid="{D221A58E-E9E2-44FE-B9F0-83C6C9AE0F36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เดิม8.144319</t>
      </text>
    </comment>
    <comment ref="P170" authorId="9" shapeId="0" xr:uid="{85B2CD13-BEED-45FC-91B1-EFEF582E4F1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100.268917</t>
      </text>
    </comment>
    <comment ref="AU184" authorId="10" shapeId="0" xr:uid="{6B4B8E43-3B9D-40F7-9700-3A7438FF3C6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2 กค 69</t>
      </text>
    </comment>
    <comment ref="C189" authorId="11" shapeId="0" xr:uid="{E26C635F-2A14-4B03-A18C-11033B4FC15D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F สนับสนุนการซื้อมิเตอร์ไฟฟ้าเอง และทำหนังสือยินยอมให้จนท.ไฟฟ้าเข้าไปจดหน่วยการใช้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tc={B0080EA6-2E29-40DE-A697-FA9550366C3E}</author>
    <author>tc={EDB045AB-149C-4283-A943-E3C858CEF667}</author>
    <author>tc={59CDA613-5F59-4703-A672-6AF52B2DB7B2}</author>
    <author>tc={CD71110C-38B8-43F2-B973-87F5299E0B70}</author>
    <author>tc={3AA90A00-366E-44DA-A677-C2A4E13F498C}</author>
    <author>tc={3EF8EBBB-6608-4FCB-A94A-8F15BCEA17E1}</author>
    <author>tc={484F6C99-2B7D-49F4-9A3A-C9F22372E21A}</author>
    <author>tc={3A5BE590-5B50-460C-B20A-F15EA7B715EE}</author>
    <author>tc={AB272520-35FA-4E0C-B6CD-E32245107591}</author>
    <author>tc={A9CB0553-1044-4A1E-A499-FCE9748F8993}</author>
  </authors>
  <commentList>
    <comment ref="C21" authorId="0" shapeId="0" xr:uid="{B0080EA6-2E29-40DE-A697-FA9550366C3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F สนับสนุนการซื้อมิเตอร์ไฟฟ้าเอง + ทำหนังสือยินยอมให้จนท.ไฟฟ้าเข้าไปจดหน่วยการใช้</t>
      </text>
    </comment>
    <comment ref="C36" authorId="1" shapeId="0" xr:uid="{EDB045AB-149C-4283-A943-E3C858CEF667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F สนับสนุนการซื้อมิเตอร์ไฟฟ้าเอง และทำหนังสือยินยอมให้จนท.ไฟฟ้าเข้าไปจดหน่วยการใช้</t>
      </text>
    </comment>
    <comment ref="B120" authorId="2" shapeId="0" xr:uid="{59CDA613-5F59-4703-A672-6AF52B2DB7B2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9 เดือน</t>
      </text>
    </comment>
    <comment ref="J149" authorId="3" shapeId="0" xr:uid="{CD71110C-38B8-43F2-B973-87F5299E0B70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เดิม 8.250169</t>
      </text>
    </comment>
    <comment ref="K149" authorId="4" shapeId="0" xr:uid="{3AA90A00-366E-44DA-A677-C2A4E13F498C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เดิม 100.270668</t>
      </text>
    </comment>
    <comment ref="J150" authorId="5" shapeId="0" xr:uid="{3EF8EBBB-6608-4FCB-A94A-8F15BCEA17E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ใช้พิกัดเดิม แค่เลื่อนจุดตต.นิดเดียว</t>
      </text>
    </comment>
    <comment ref="K150" authorId="6" shapeId="0" xr:uid="{484F6C99-2B7D-49F4-9A3A-C9F22372E21A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ใช้พิกัดเดิม แค่เลื่อนจุดตต.นิดเดียว</t>
      </text>
    </comment>
    <comment ref="G157" authorId="7" shapeId="0" xr:uid="{3A5BE590-5B50-460C-B20A-F15EA7B715EE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เดิม 60/1 และกำนันแจ้งว่าบอกผิดไปจึงขอให้แก้ไข
เป็น เลขที่ 99</t>
      </text>
    </comment>
    <comment ref="J157" authorId="8" shapeId="0" xr:uid="{AB272520-35FA-4E0C-B6CD-E32245107591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เดิม8.144319</t>
      </text>
    </comment>
    <comment ref="K157" authorId="9" shapeId="0" xr:uid="{A9CB0553-1044-4A1E-A499-FCE9748F8993}">
      <text>
        <t>[ข้อคิดเห็นแบบเธรด]
Excel เวอร์ชันของคุณช่วยให้คุณสามารถอ่านข้อคิดเห็นแบบเธรดนี้ อย่างไรก็ตาม การแก้ไขใดๆ จะได้รับการเอาออกถ้าไฟล์ถูกเปิดใน Excel เวอร์ชันใหม่กว่า เรียนรู้เพิ่มเติม: https://go.microsoft.com/fwlink/?linkid=870924
ข้อคิดเห็น:
    100.268917</t>
      </text>
    </comment>
  </commentList>
</comments>
</file>

<file path=xl/sharedStrings.xml><?xml version="1.0" encoding="utf-8"?>
<sst xmlns="http://schemas.openxmlformats.org/spreadsheetml/2006/main" count="7124" uniqueCount="515">
  <si>
    <t>ลำดับ</t>
  </si>
  <si>
    <t>ตำบล</t>
  </si>
  <si>
    <t>อำเภอ</t>
  </si>
  <si>
    <t>จังหวัด</t>
  </si>
  <si>
    <t>Latitude</t>
  </si>
  <si>
    <t>Longitude</t>
  </si>
  <si>
    <t>Sea level
(เมตร)</t>
  </si>
  <si>
    <t>ความสูงเสา 
(เมตร)</t>
  </si>
  <si>
    <t>ทุ่งกระบ่ำ</t>
  </si>
  <si>
    <t>เลาขวัญ</t>
  </si>
  <si>
    <t>กาญจนบุรี</t>
  </si>
  <si>
    <t>หนองนกแก้ว</t>
  </si>
  <si>
    <t>หนองประดู่</t>
  </si>
  <si>
    <t>วังไผ่</t>
  </si>
  <si>
    <t>ห้วยกระเจา</t>
  </si>
  <si>
    <t>สระลงเรือ</t>
  </si>
  <si>
    <t>ปางมะค่า</t>
  </si>
  <si>
    <t>ขาณุวรลักษบุรี</t>
  </si>
  <si>
    <t>กำแพงเพชร</t>
  </si>
  <si>
    <t>คลองลานพัฒนา</t>
  </si>
  <si>
    <t>คลองลาน</t>
  </si>
  <si>
    <t>ปางตาไว</t>
  </si>
  <si>
    <t>ปางศิลาทอง</t>
  </si>
  <si>
    <t>ดงเมืองแอม</t>
  </si>
  <si>
    <t>เขาสวนกวาง</t>
  </si>
  <si>
    <t>ขอนแก่น</t>
  </si>
  <si>
    <t>นางิ้ว</t>
  </si>
  <si>
    <t>โนนสมบูรณ์</t>
  </si>
  <si>
    <t>นาคำ</t>
  </si>
  <si>
    <t>อุบลรัตน์</t>
  </si>
  <si>
    <t>ศรีสุขสำราญ</t>
  </si>
  <si>
    <t>ขุนซ่อง</t>
  </si>
  <si>
    <t>แก่งหางแมว</t>
  </si>
  <si>
    <t>จันทบุรี</t>
  </si>
  <si>
    <t>คลองพลู</t>
  </si>
  <si>
    <t>เขาคิชฌกูฏ</t>
  </si>
  <si>
    <t>จันทเขลม</t>
  </si>
  <si>
    <t>ตะเคียนทอง</t>
  </si>
  <si>
    <t>โคกสะบ้า</t>
  </si>
  <si>
    <t>นาโยง</t>
  </si>
  <si>
    <t>ตรัง</t>
  </si>
  <si>
    <t>ช่อง</t>
  </si>
  <si>
    <t>ละมอ</t>
  </si>
  <si>
    <t>นาชุมเห็ด</t>
  </si>
  <si>
    <t>ย่านตาขาว</t>
  </si>
  <si>
    <t>โพรงจระเข้</t>
  </si>
  <si>
    <t>วังกะทะ</t>
  </si>
  <si>
    <t>ปากช่อง</t>
  </si>
  <si>
    <t>นครราชสีมา</t>
  </si>
  <si>
    <t>ระเริง</t>
  </si>
  <si>
    <t>วังน้ำเขียว</t>
  </si>
  <si>
    <t>วังหมี</t>
  </si>
  <si>
    <t>เสือหึง</t>
  </si>
  <si>
    <t>เชียรใหญ่</t>
  </si>
  <si>
    <t>นครศรีธรรมราช</t>
  </si>
  <si>
    <t>ขนาบนาก</t>
  </si>
  <si>
    <t>ปากพนัง</t>
  </si>
  <si>
    <t>ท่าพยา</t>
  </si>
  <si>
    <t>ปากแพรก</t>
  </si>
  <si>
    <t>เกาะเพชร</t>
  </si>
  <si>
    <t>หัวไทร</t>
  </si>
  <si>
    <t>ท่าซอม</t>
  </si>
  <si>
    <t>ทุ่งทอง</t>
  </si>
  <si>
    <t>หนองบัว</t>
  </si>
  <si>
    <t>นครสวรรค์</t>
  </si>
  <si>
    <t>วังงิ้ว</t>
  </si>
  <si>
    <t>ดงเจริญ</t>
  </si>
  <si>
    <t>พิจิตร</t>
  </si>
  <si>
    <t>ซับพุทรา</t>
  </si>
  <si>
    <t>ชนแดน</t>
  </si>
  <si>
    <t>เพชรบูรณ์</t>
  </si>
  <si>
    <t>บ้านกล้วย</t>
  </si>
  <si>
    <t>ลาดแค</t>
  </si>
  <si>
    <t>บัววัฒนา</t>
  </si>
  <si>
    <t>หนองไผ่</t>
  </si>
  <si>
    <t>รวม</t>
  </si>
  <si>
    <t>Plan Start</t>
  </si>
  <si>
    <t>Plan Finish</t>
  </si>
  <si>
    <t>Actual Start</t>
  </si>
  <si>
    <t>Actual Finish</t>
  </si>
  <si>
    <t>Status</t>
  </si>
  <si>
    <t>จำนวนทั้งสิ้น</t>
  </si>
  <si>
    <t>คลองน้ำไหล</t>
  </si>
  <si>
    <t>คำม่วง</t>
  </si>
  <si>
    <t>พลวง</t>
  </si>
  <si>
    <t>เขาคิชฌกูฎ</t>
  </si>
  <si>
    <t>สถานที่ติดตั้ง</t>
  </si>
  <si>
    <t>อยู่ระหว่างการติดตั้ง</t>
  </si>
  <si>
    <t>โครงการเพิ่มประสิทธิภาพระบบโครงข่ายสื่อสารด้วยอุปกรณ์ทวนสัญญาณผ่านคลื่นความถี่สูง (SHF)</t>
  </si>
  <si>
    <t>9 เมตร</t>
  </si>
  <si>
    <t>30 เมตร</t>
  </si>
  <si>
    <t>60 เมตร</t>
  </si>
  <si>
    <t>แผนการเข้าดำเนินงานสำรวจและติดตั้งเสาสัญญาณ ในพื้นที่ 10 จังหวัด</t>
  </si>
  <si>
    <t>เขตพื้นที่รับผิดชอบศูนย์สื่อสารกรมการปกครองเขต</t>
  </si>
  <si>
    <t>เขต 11 (เพชรบุรี)</t>
  </si>
  <si>
    <t>เขต 3 (ส่วนแยกตาก)</t>
  </si>
  <si>
    <t>เขต 6 (ขอนแก่น)</t>
  </si>
  <si>
    <t>เขต 5 (จันทบุรี)</t>
  </si>
  <si>
    <t>เขต 9 (ส่วนแยกนครศรีธรรมราช)</t>
  </si>
  <si>
    <t>เขต 16 (บุรีรัมย์)</t>
  </si>
  <si>
    <t>เขต 3 (พิษณุโลก)</t>
  </si>
  <si>
    <t>ภาค</t>
  </si>
  <si>
    <t>เขต 4 (นครสวรรค์)</t>
  </si>
  <si>
    <t>ภาคเหนือ</t>
  </si>
  <si>
    <t>ภาคตะวันออกเฉียงเหนือ</t>
  </si>
  <si>
    <t>ภาคตะวันออก</t>
  </si>
  <si>
    <t>ภาคตะวันตก</t>
  </si>
  <si>
    <t>ภาคใต้</t>
  </si>
  <si>
    <t>16/09/2568</t>
  </si>
  <si>
    <t>17/09/2568</t>
  </si>
  <si>
    <t>15/09/2568</t>
  </si>
  <si>
    <t>23/09/2568</t>
  </si>
  <si>
    <t>P&amp;S</t>
  </si>
  <si>
    <t>Myset</t>
  </si>
  <si>
    <t>ผู้ควบคุมงาน</t>
  </si>
  <si>
    <t>รายละเอียดที่ต้องแก้ไขงาน</t>
  </si>
  <si>
    <t>พื้นที่</t>
  </si>
  <si>
    <t>ผู้รับเหมาเสา</t>
  </si>
  <si>
    <t>Detail Design Drawing</t>
  </si>
  <si>
    <t>Report</t>
  </si>
  <si>
    <t>Red mark Drawing</t>
  </si>
  <si>
    <t>As-Built Drawing</t>
  </si>
  <si>
    <t>ที่ว่าการอำเภอห้วยกระเจา</t>
  </si>
  <si>
    <t xml:space="preserve">New Self-Support </t>
  </si>
  <si>
    <t>Complete</t>
  </si>
  <si>
    <t>ที่ว่าการอำเภอคลองลาน</t>
  </si>
  <si>
    <t>ที่ว่าการอำเภอเขาสวนกวาง</t>
  </si>
  <si>
    <t>ที่ว่าการอำเภอเขาคิชฌกูฏ</t>
  </si>
  <si>
    <t>ที่ว่าการอำเภอย่านตาขาว</t>
  </si>
  <si>
    <t>ที่ว่าการอำเภอวังน้ำเขียว</t>
  </si>
  <si>
    <t>ที่ว่าการอำเภอหัวไทร</t>
  </si>
  <si>
    <t>ที่ว่าการอำเภอดงเจริญ</t>
  </si>
  <si>
    <t>BS หนองนกแก้ว</t>
  </si>
  <si>
    <t>BS ปางใหม่พัฒนา</t>
  </si>
  <si>
    <t>BS ศรีสุขสำราญ</t>
  </si>
  <si>
    <t>19/09/2568</t>
  </si>
  <si>
    <t>BS คลองพลู</t>
  </si>
  <si>
    <t>BS ช่อง</t>
  </si>
  <si>
    <t>BS คลองป่าหมู</t>
  </si>
  <si>
    <t>BS วังงิ้ว</t>
  </si>
  <si>
    <t>100.732560</t>
  </si>
  <si>
    <t>18 เมตร</t>
  </si>
  <si>
    <t>เสร็จแล้ว</t>
  </si>
  <si>
    <t>เพื่อสนับสนุนการปฏิบัติราชการและแก้ไขปัญหาให้กับประชาชนพื้นที่ห่างไกล สัญญาเลขที่ 8680228 ลงวันที่ 23 กรกฎาคม 2568</t>
  </si>
  <si>
    <t>หมู่ 11 หนองตาเกิด</t>
  </si>
  <si>
    <t>หมู่ 1 หนองมะเขือ</t>
  </si>
  <si>
    <t>หมู่ 11 วังสมบูรณ์</t>
  </si>
  <si>
    <t>หมู่ 11 บ้านมอสมบูรณ์</t>
  </si>
  <si>
    <t>หมู่ 1 ไพรสวรรค์</t>
  </si>
  <si>
    <t>หมู่ 11 คำเจริญ</t>
  </si>
  <si>
    <t>หมู่ 1 ศรีสุข</t>
  </si>
  <si>
    <t>หมู่ 1 คลองใหญ่</t>
  </si>
  <si>
    <t>หมู่ 1 ช่อง</t>
  </si>
  <si>
    <t>หมู่ 1 ไทรงาม</t>
  </si>
  <si>
    <t>หมู่ 1 ยูงงาม</t>
  </si>
  <si>
    <t>หมู่ 1 ป่าไผ่แดง</t>
  </si>
  <si>
    <t>หมู่ 1 ขนาบนาก</t>
  </si>
  <si>
    <t>หมู่ 1 เสือหึง</t>
  </si>
  <si>
    <t>หมู่ 1 ทุ่งทอง</t>
  </si>
  <si>
    <t>หมู่ 11 สระตายม</t>
  </si>
  <si>
    <t>หมู่ 11 คลองบน</t>
  </si>
  <si>
    <t>หมู่ 2 หนองเค็ด</t>
  </si>
  <si>
    <t>หมู่ 2 วังมะค่า</t>
  </si>
  <si>
    <t>หมู่ 12 กรอกตาโพธิ์</t>
  </si>
  <si>
    <t>หมู่ 21 บ้านใหม่ธงชัย</t>
  </si>
  <si>
    <t>หมู่ 12 มอตะแบก</t>
  </si>
  <si>
    <t>หมู่ 12 คำแคน</t>
  </si>
  <si>
    <t>หมู่ 2 โนนสมบูรณ์</t>
  </si>
  <si>
    <t>หมู่ 12 นาคำน้อย</t>
  </si>
  <si>
    <t>หมู่ 2 โนนราศรี</t>
  </si>
  <si>
    <t>หมู่ 2 สำราญ</t>
  </si>
  <si>
    <t>หมู่ 2 จันทเขลม</t>
  </si>
  <si>
    <t>หมู่ 2 ห้วยลึก</t>
  </si>
  <si>
    <t>หมู่ 2 ควนหิน</t>
  </si>
  <si>
    <t>หมู่ 12 คลองดินดำ</t>
  </si>
  <si>
    <t>หมู่ 12 สันกำแพง</t>
  </si>
  <si>
    <t>หมู่ 2 ท่าวังไทร</t>
  </si>
  <si>
    <t>หมู่ 21 วังไผ่ทอง</t>
  </si>
  <si>
    <t>หมู่ 2 นานอก</t>
  </si>
  <si>
    <t>หมู่ 12 ซับยาง</t>
  </si>
  <si>
    <t>หมู่ 2 ดงลาน</t>
  </si>
  <si>
    <t>หมู่ 21 ซับตะเคียน</t>
  </si>
  <si>
    <t>หมู่ 13 หนองจิกน้ำดำ</t>
  </si>
  <si>
    <t>หมู่ 3 นาตามิ่ง</t>
  </si>
  <si>
    <t>หมู่ 13 หนองปลอดภัย</t>
  </si>
  <si>
    <t>หมู่ 3 เพชรเจริญ</t>
  </si>
  <si>
    <t>หมู่ 3 โนนสวรรค์</t>
  </si>
  <si>
    <t>หมู่ 3 คำป่าก่อ</t>
  </si>
  <si>
    <t>หมู่ 13 หนองแวงใหม่</t>
  </si>
  <si>
    <t>หมู่ 3 โนนศิลา</t>
  </si>
  <si>
    <t>หมู่ 3 น้ำขุ่น</t>
  </si>
  <si>
    <t>หมู่ 3 สะท้อน</t>
  </si>
  <si>
    <t>หมู่ 3 ไร่หลวง</t>
  </si>
  <si>
    <t>หมู่ 3 หนักไทร</t>
  </si>
  <si>
    <t>หมู่ 3 คลองลำปริง</t>
  </si>
  <si>
    <t>หมู่ 13 วังสัปรด</t>
  </si>
  <si>
    <t>หมู่ 13 หนองไม้แดง</t>
  </si>
  <si>
    <t>หมู่ 3 คลองใบพัด</t>
  </si>
  <si>
    <t>หมู่ 3 บางพระ</t>
  </si>
  <si>
    <t>หมู่ 13 หนองลก</t>
  </si>
  <si>
    <t>หมู่ 3 ไทรงาม</t>
  </si>
  <si>
    <t>หมู่ 13 กล้วยงาม</t>
  </si>
  <si>
    <t>หมู่ 3 กล้วย</t>
  </si>
  <si>
    <t>หมู่ 4 หนองจั่น</t>
  </si>
  <si>
    <t>หมู่ 4 วังไผ่</t>
  </si>
  <si>
    <t>หมู่ 4 ปากคลองลาน</t>
  </si>
  <si>
    <t>หมู่ 4 ปางตาไว</t>
  </si>
  <si>
    <t>หมู่ 4 แสงสว่าง</t>
  </si>
  <si>
    <t>หมู่ 4 โนนเจริญ</t>
  </si>
  <si>
    <t>หมู่ 4 หนองไหล</t>
  </si>
  <si>
    <t>หมู่ 4 คลองพลู</t>
  </si>
  <si>
    <t>หมู่ 4 คลองชีพ</t>
  </si>
  <si>
    <t>หมู่ 4 ใสขนุน</t>
  </si>
  <si>
    <t>หมู่ 4 ลำพิกุล</t>
  </si>
  <si>
    <t>หมู่ 14 ดอนสว่าง</t>
  </si>
  <si>
    <t>หมู่ 14 วังขอน</t>
  </si>
  <si>
    <t>หมู่ 14 อุบลพัฒนา</t>
  </si>
  <si>
    <t>หมู่ 4 ยุบอีปูน</t>
  </si>
  <si>
    <t>หมู่ 4 ท่านา</t>
  </si>
  <si>
    <t>หมู่ 4 เสือร้อง</t>
  </si>
  <si>
    <t>หมู่ 4 เนินหนองหงส์</t>
  </si>
  <si>
    <t>หมู่ 14 สายฝน</t>
  </si>
  <si>
    <t>หมู่ 4 เขาน้อย</t>
  </si>
  <si>
    <t>หมู่ 5 หนองขบ</t>
  </si>
  <si>
    <t>หมู่ 5 หนองปรือ</t>
  </si>
  <si>
    <t>หมู่ 5 นาใหม่</t>
  </si>
  <si>
    <t>หมู่ 5 หัวฝาย</t>
  </si>
  <si>
    <t>หมู่ 5 โคกกลาง</t>
  </si>
  <si>
    <t>หมู่ 5 คลองพลู</t>
  </si>
  <si>
    <t>หมู่ 5 จันตาแป๊ะ</t>
  </si>
  <si>
    <t>หมู่ 5 กรงไหน</t>
  </si>
  <si>
    <t>หมู่ 5 คลองกุ่ม</t>
  </si>
  <si>
    <t>หมู่ 5 คลองสะท้อน</t>
  </si>
  <si>
    <t>หมู่ 5 ปากช่อง</t>
  </si>
  <si>
    <t>หมู่ 5 ด่าน</t>
  </si>
  <si>
    <t>หมู่ 5 โคกสาร</t>
  </si>
  <si>
    <t>หมู่ 6 สี่กั๊ก</t>
  </si>
  <si>
    <t>หมู่ 6 น้ำโจน</t>
  </si>
  <si>
    <t>หมู่ 6 หนองตายอด</t>
  </si>
  <si>
    <t>หมู่ 6 ห้วยลึก</t>
  </si>
  <si>
    <t>หมู่ 16 บ้านศรีเกษตรพัฒนา</t>
  </si>
  <si>
    <t>หมู่ 6 โคกสูง</t>
  </si>
  <si>
    <t>หมู่ 6 ขามป้อม</t>
  </si>
  <si>
    <t>หมู่ 6 หนองแสง</t>
  </si>
  <si>
    <t>หมู่ 6 ทุ่งกบินทร์</t>
  </si>
  <si>
    <t>หมู่ 6 คลองชม</t>
  </si>
  <si>
    <t>หมู่ 6 ชำเคราะห์</t>
  </si>
  <si>
    <t>หมู่ 6 ทุ่งใหญ่</t>
  </si>
  <si>
    <t>หมู่ 6 วังตะเคียนทอง</t>
  </si>
  <si>
    <t>หมู่ 6 โนนสาวเอ้</t>
  </si>
  <si>
    <t>หมู่ 6 โคกยาว</t>
  </si>
  <si>
    <t>หมู่ 7 หนองปลิง</t>
  </si>
  <si>
    <t>หมู่ 7 หนองมะสังข์</t>
  </si>
  <si>
    <t>หมู่ 7 หนองเจริญสุข</t>
  </si>
  <si>
    <t>หมู่ 17 บ้านทรัพย์เจริญ</t>
  </si>
  <si>
    <t>หมู่ 7 หนองแวงเรือ</t>
  </si>
  <si>
    <t>หมู่ 7 ศาลาดิน</t>
  </si>
  <si>
    <t>หมู่ 7 คลองชัน</t>
  </si>
  <si>
    <t>หมู่ 7 ไสท้อน</t>
  </si>
  <si>
    <t>หมู่ 7 โหละคล้า</t>
  </si>
  <si>
    <t>หมู่ 17 ป่าตะเคียน</t>
  </si>
  <si>
    <t>หมู่ 7 คลองป่าหมู</t>
  </si>
  <si>
    <t>หมู่ 17 บุกระทิง</t>
  </si>
  <si>
    <t>หมู่ 7 สระศรีเมือง</t>
  </si>
  <si>
    <t>หมู่ 7 เกาะทัง</t>
  </si>
  <si>
    <t>หมู่ 7 ถ้ำแก้ว</t>
  </si>
  <si>
    <t>หมู่ 8 ชัฎดงพลับ</t>
  </si>
  <si>
    <t>หมู่ 8 หนองแกแดง</t>
  </si>
  <si>
    <t>หมู่ 8 โนนเจริญ</t>
  </si>
  <si>
    <t>หมู่ 8 หลังเนิน</t>
  </si>
  <si>
    <t>หมู่ 8 จันตาแป๊ะ</t>
  </si>
  <si>
    <t>หมู่ 8 คลองอีเฒ่า</t>
  </si>
  <si>
    <t>หมู่ 18 คลองนกแก้ว</t>
  </si>
  <si>
    <t>หมู่ 8 บางตะลุมพอ</t>
  </si>
  <si>
    <t>หมู่ 8 ย่านยาว</t>
  </si>
  <si>
    <t>หมู่ 18 เขาปูน</t>
  </si>
  <si>
    <t>หมู่ 8 หนองใหญ่</t>
  </si>
  <si>
    <t>หมู่ 8 ลำประสาน</t>
  </si>
  <si>
    <t>หมู่ 9 หนองข่อย</t>
  </si>
  <si>
    <t>หมู่ 9 เหียงงาม</t>
  </si>
  <si>
    <t>หมู่ 9 บ่อทอง</t>
  </si>
  <si>
    <t>หมู่ 9 ดงรัง</t>
  </si>
  <si>
    <t>หมู่ 9 เพชรมงคล</t>
  </si>
  <si>
    <t>หมู่ 9 หนองขาม</t>
  </si>
  <si>
    <t>หมู่ 9 โคกโดน</t>
  </si>
  <si>
    <t>หมู่ 9 วังกะโล่</t>
  </si>
  <si>
    <t>หมู่ 9 บางปรง</t>
  </si>
  <si>
    <t>หมู่ 19 ศรีรัตนะ</t>
  </si>
  <si>
    <t>โครงการเพิ่มประสิทธิภาพระบบโครงข่ายสื่อสารด้วยอุปกรณ์ทวนสัญญาณผ่านคลื่นความถี่สูง (SHF) เพื่อสนับสนุนการปฏิบัติราชการและแก้ไขปัญหาให้กับประชาชนในพื้นที่ห่างไกล สัญญาเลขที่ 8680228 ลงวันที่ 23 กรกฎาคม 2568</t>
  </si>
  <si>
    <t>หมู่ 10 หนองมะสังข์</t>
  </si>
  <si>
    <t>หมู่ 10 หนองโก</t>
  </si>
  <si>
    <t>หมู่ 10 ปางใหม่พัฒนา</t>
  </si>
  <si>
    <t>หมู่ 10 วังน้ำทิพย์</t>
  </si>
  <si>
    <t>หมู่ 10 หนองแวง</t>
  </si>
  <si>
    <t>หมู่ 10 วังแจง</t>
  </si>
  <si>
    <t>หมู่ 10 วังยายมุก</t>
  </si>
  <si>
    <t>หมู่ 10 เขาแก้ว</t>
  </si>
  <si>
    <t>หมู่ 20 โนนทอง</t>
  </si>
  <si>
    <t>หมู่ 10 ริมเขื่อน</t>
  </si>
  <si>
    <t>หมู่ 10 โคกหนองจอก</t>
  </si>
  <si>
    <t>คงเหลือ</t>
  </si>
  <si>
    <t>ที่ทำการบ้าน ผญบ.</t>
  </si>
  <si>
    <t>ที่ทำการบ้าน กำนัน</t>
  </si>
  <si>
    <t>ที่ทำการบ้านผู้ช่วย ผญบ.</t>
  </si>
  <si>
    <t>ศาลาประชาคม</t>
  </si>
  <si>
    <t>ที่ทำการสารวัตรกำนัน</t>
  </si>
  <si>
    <t>ที่ทำการบ้านผู้ช่วย กำนัน</t>
  </si>
  <si>
    <t>วาระผู้ใหญ่บ้าน</t>
  </si>
  <si>
    <t>5 ปี</t>
  </si>
  <si>
    <t>9 ปี 8 เดือน</t>
  </si>
  <si>
    <t>1 ปี 10 เดือน</t>
  </si>
  <si>
    <t>18 ปี9 เดือน</t>
  </si>
  <si>
    <t>7 ปี 9 เดือน</t>
  </si>
  <si>
    <t>16 ปี 6 เดือน</t>
  </si>
  <si>
    <t>19 ปี</t>
  </si>
  <si>
    <t>6 ปี 8 เดือน</t>
  </si>
  <si>
    <t>22 ปี 11 เดือน</t>
  </si>
  <si>
    <t>10 ปี</t>
  </si>
  <si>
    <t>11 ปี 4 เดือน</t>
  </si>
  <si>
    <t>18 ปี 7 เดือน</t>
  </si>
  <si>
    <t>2 ปี 6 เดือน</t>
  </si>
  <si>
    <t>30 ปี 11 เดือน</t>
  </si>
  <si>
    <t>19 ปี 3 เดือน</t>
  </si>
  <si>
    <t>3 ปี 8 เดือน</t>
  </si>
  <si>
    <t>14 ปี 9 เดือน</t>
  </si>
  <si>
    <t>4 ปี 5 เดือน</t>
  </si>
  <si>
    <t>6 ปี 10 เดือน</t>
  </si>
  <si>
    <t>21 ปี 3 เดือน</t>
  </si>
  <si>
    <t>8 เดือน</t>
  </si>
  <si>
    <t>3 ปี 2 เดือน</t>
  </si>
  <si>
    <t>12 ปี 6 เดือน</t>
  </si>
  <si>
    <t>8 ปี 6 เดือน</t>
  </si>
  <si>
    <t>9 ปี 5 เดือน</t>
  </si>
  <si>
    <t>6 ปี 9 เดือน</t>
  </si>
  <si>
    <t>11 ปี</t>
  </si>
  <si>
    <t>14 ปี</t>
  </si>
  <si>
    <t>2 ปี</t>
  </si>
  <si>
    <t>8 ปี</t>
  </si>
  <si>
    <t>5 เดือน</t>
  </si>
  <si>
    <t>4 ปี</t>
  </si>
  <si>
    <t>13 ปี</t>
  </si>
  <si>
    <t>15 ปี</t>
  </si>
  <si>
    <t>3 ปี</t>
  </si>
  <si>
    <t>21 ปี</t>
  </si>
  <si>
    <t>9 ปี</t>
  </si>
  <si>
    <t>17 ปี</t>
  </si>
  <si>
    <t>4 เดือน</t>
  </si>
  <si>
    <t>22 ปี</t>
  </si>
  <si>
    <t>1 ปี</t>
  </si>
  <si>
    <t>16 ปี</t>
  </si>
  <si>
    <t>7 ปี</t>
  </si>
  <si>
    <t>6 ปี</t>
  </si>
  <si>
    <t>7 เดือน</t>
  </si>
  <si>
    <t>20 ปี</t>
  </si>
  <si>
    <t>2 ปี 3 เดือน</t>
  </si>
  <si>
    <t>12 ปี</t>
  </si>
  <si>
    <t>3 ปี 5 เดือน</t>
  </si>
  <si>
    <t>24 ปี</t>
  </si>
  <si>
    <t>3 ปี 3 เดือน</t>
  </si>
  <si>
    <t>18 ปี</t>
  </si>
  <si>
    <t>27 ปี</t>
  </si>
  <si>
    <t>1 ปี 1 เดือน</t>
  </si>
  <si>
    <t>1 ปี 2 เดือน</t>
  </si>
  <si>
    <t>3 ปี 7 เดือน</t>
  </si>
  <si>
    <t>11 เดือน</t>
  </si>
  <si>
    <t>4 ปี 10 เดือน</t>
  </si>
  <si>
    <t>25 ปี</t>
  </si>
  <si>
    <t>1 ปี 3 เดืิอน</t>
  </si>
  <si>
    <t>ชนิดของเสา</t>
  </si>
  <si>
    <t xml:space="preserve"> 14.421935</t>
  </si>
  <si>
    <t xml:space="preserve">101.726232	</t>
  </si>
  <si>
    <t xml:space="preserve">101.730169	</t>
  </si>
  <si>
    <t>100.279400</t>
  </si>
  <si>
    <t>100.287770</t>
  </si>
  <si>
    <t>8.210070</t>
  </si>
  <si>
    <t>Plan</t>
  </si>
  <si>
    <t>Actual</t>
  </si>
  <si>
    <t>18/09/2568</t>
  </si>
  <si>
    <t>พื้นที่ภาค</t>
  </si>
  <si>
    <t>18/11/2568</t>
  </si>
  <si>
    <t>19/11/2568</t>
  </si>
  <si>
    <t>17/11/2568</t>
  </si>
  <si>
    <t>20/11/2568</t>
  </si>
  <si>
    <t>21/11/2568</t>
  </si>
  <si>
    <t>22/11/2568</t>
  </si>
  <si>
    <t>23/11/2568</t>
  </si>
  <si>
    <t>หมู่ 5 ตากฟ้า</t>
  </si>
  <si>
    <t>ส่งมอบงาน</t>
  </si>
  <si>
    <t>สำรวจจุดติดตั้ง</t>
  </si>
  <si>
    <t>ติดตั้งฐานราก</t>
  </si>
  <si>
    <t>จำนวนแท่งกราวด์</t>
  </si>
  <si>
    <t>ค่ากราวด์ &lt;= 5 Ohm</t>
  </si>
  <si>
    <t>แบบโครงสร้างเสาสัญญาณ</t>
  </si>
  <si>
    <t>ผลิตโครงสร้างเสาสัญญาณ</t>
  </si>
  <si>
    <t>โครงสร้างเสาสัญญาณ</t>
  </si>
  <si>
    <t>ส่งแบบขออนุมัติ</t>
  </si>
  <si>
    <t>ออกแบบโครงสร้างเสา</t>
  </si>
  <si>
    <t>ตรวจสอบตัวอย่างโครงสร้างเสาโดยคณะกรรมการฯ</t>
  </si>
  <si>
    <t>ตัวอย่างโครงสร้างเสาสัญญาณ</t>
  </si>
  <si>
    <t>15/10/2568</t>
  </si>
  <si>
    <t>จัดส่งผลสำรวจดินและ แบบก่อสร้าง</t>
  </si>
  <si>
    <t>สำรวจพื้นที่สำหรับติดตั้งเสาสัญญาณ</t>
  </si>
  <si>
    <t>ตรวจสอบความพร้อมก่อนส่งมอบงาน</t>
  </si>
  <si>
    <t>ตรวจสอบความตั้งตรง และค่าขันน็อต</t>
  </si>
  <si>
    <t>ปรับระดับพื้นที่ก่อสร้างคืนสู่สภาพเดิม</t>
  </si>
  <si>
    <t>เอกสารประกอบการส่งมอบงาน</t>
  </si>
  <si>
    <t>สรุป</t>
  </si>
  <si>
    <t>ที่ว่าการอำเภอ</t>
  </si>
  <si>
    <t>อบต.</t>
  </si>
  <si>
    <t>ทต.</t>
  </si>
  <si>
    <t>ที่ทำการกองทุนหมู่บ้าน (กทบ.)</t>
  </si>
  <si>
    <t>ศูนย์เรียนรู้ฯ</t>
  </si>
  <si>
    <t>วังงิ้วภาคใต้</t>
  </si>
  <si>
    <t>16/10/2568</t>
  </si>
  <si>
    <t>17/10/2568</t>
  </si>
  <si>
    <t>18/10/2568</t>
  </si>
  <si>
    <t>19/10/2568</t>
  </si>
  <si>
    <t>23/10/2568</t>
  </si>
  <si>
    <t>14/11/2568</t>
  </si>
  <si>
    <t>ผลิตตัวอย่างโครงสร้างเสาเสร็จ</t>
  </si>
  <si>
    <t>21/10/2568</t>
  </si>
  <si>
    <t>ทดสอบดิน (Soil Test)</t>
  </si>
  <si>
    <t>หมู่ 1 บ้านลาดแค</t>
  </si>
  <si>
    <t>หมู่ 13 บ้านวังกำแพง</t>
  </si>
  <si>
    <t>หมู่ 14 บ้านหนองใหญ่โต</t>
  </si>
  <si>
    <t>หมู่ 16 ดงลานใต้</t>
  </si>
  <si>
    <t>หมู่ 17 บ้านคลองโป่ง</t>
  </si>
  <si>
    <t>หมู่ 20 คลองบนใต้</t>
  </si>
  <si>
    <t>หมู่ 9 ลาดแคเหนือ</t>
  </si>
  <si>
    <t>หมู่ 2 คลองลึกพัฒนา</t>
  </si>
  <si>
    <t>หมู่ 2 ป่าขลู</t>
  </si>
  <si>
    <t>หมู่ 3 ตลุงเหนือ</t>
  </si>
  <si>
    <t>หมู่ 3 บางวุ่น</t>
  </si>
  <si>
    <t>หมู่ 4 บ้านวังงิ้ว</t>
  </si>
  <si>
    <t>หมู่ 5 บ้านวังเรือน</t>
  </si>
  <si>
    <t>หมู่ 6 บ้านเกาะแก้ว</t>
  </si>
  <si>
    <t>หมู่ 6 ปางเหนือ</t>
  </si>
  <si>
    <t>หมู่ 6 บางมะขาม</t>
  </si>
  <si>
    <t>หมู่ 6 บ้านวังกะทะ</t>
  </si>
  <si>
    <t>หมู่ 7 บ้านใหม่วังเรือง</t>
  </si>
  <si>
    <t>หมู่ 8 บ้านเหมกน้อย</t>
  </si>
  <si>
    <t>หมู่ 8 บ้านลำขนุน</t>
  </si>
  <si>
    <t>หมู่ 19 บ้านศรีสมบูรณ์</t>
  </si>
  <si>
    <t>หมู่ 9 ห้วยเตย</t>
  </si>
  <si>
    <t>หมู่ 9 น้ำทรัพย์</t>
  </si>
  <si>
    <t>หมู่ 10 บ้านสำราญเหนือ</t>
  </si>
  <si>
    <t>หมู่ 10 หัวดอน</t>
  </si>
  <si>
    <t>26/11/2568</t>
  </si>
  <si>
    <t>28/11/2568</t>
  </si>
  <si>
    <t>16/1/2569</t>
  </si>
  <si>
    <t>13/1/2569</t>
  </si>
  <si>
    <t>20/1/2569</t>
  </si>
  <si>
    <t>14/1/2569</t>
  </si>
  <si>
    <t>22/1/2569</t>
  </si>
  <si>
    <t>นายวัชระ มานะดี</t>
  </si>
  <si>
    <t>นายคิรากร ดอนมูลไพร</t>
  </si>
  <si>
    <t>นายสมประสงค์  มลฑลจุลเกศ</t>
  </si>
  <si>
    <t>นายอุทัย หนาดสำโรง</t>
  </si>
  <si>
    <t>15/1/2569</t>
  </si>
  <si>
    <t>24/1/2569</t>
  </si>
  <si>
    <t>4</t>
  </si>
  <si>
    <t>27/1/2569</t>
  </si>
  <si>
    <t>เบิกโครงสร้างเสาสัญญาณ</t>
  </si>
  <si>
    <t>23/1/2569</t>
  </si>
  <si>
    <t>30/1/2569</t>
  </si>
  <si>
    <t>18/1/2569</t>
  </si>
  <si>
    <t>25/1/2569</t>
  </si>
  <si>
    <t>นายศักดิภัช สว่างเนตร</t>
  </si>
  <si>
    <t>นายอนุรักษ์ แก้วเชียงทอง</t>
  </si>
  <si>
    <t>22/01/2569</t>
  </si>
  <si>
    <t>เสารับ-ส่งสัญญาณ</t>
  </si>
  <si>
    <t>เสาสัญญาณระบบวิทยุสื่อสาร</t>
  </si>
  <si>
    <t xml:space="preserve">Self-Support </t>
  </si>
  <si>
    <t>สถานะ</t>
  </si>
  <si>
    <t>ปฏิบัติ (เริ่ม)</t>
  </si>
  <si>
    <t>ปฏิบัติ (เสร็จ)</t>
  </si>
  <si>
    <t>ติดตั้งฐานรากและโครงสร้างเสาระบบวิทยุสื่อสาร</t>
  </si>
  <si>
    <t>การดำเนินงานติดตั้งเสาสัญญาณระบบวิทยุสื่อสาร</t>
  </si>
  <si>
    <t>ความสูงเสาสัญญาณระบบวิทยุสื่อสาร</t>
  </si>
  <si>
    <t>สรุปภาพรวมแผนงานการติดตั้งเสาสัญญาณระบบวิทยุสื่อสาร ในพื้นที่ 10 จังหวัด</t>
  </si>
  <si>
    <t>In progress</t>
  </si>
  <si>
    <t>2 เดือน</t>
  </si>
  <si>
    <t>6 เดือน</t>
  </si>
  <si>
    <t xml:space="preserve">ไม่ต้องการมิเตอร์ </t>
  </si>
  <si>
    <t>Forth</t>
  </si>
  <si>
    <t>ผญบ. หยุดปฏิบัติหน้าที่</t>
  </si>
  <si>
    <t>ผญบ.มีคดี</t>
  </si>
  <si>
    <t>พื้นที่ใหม่</t>
  </si>
  <si>
    <t>ที่ทำการบ้าน ผญบ. คนใหม่</t>
  </si>
  <si>
    <t>วาระดำรงตำแหน่ง (กพ)</t>
  </si>
  <si>
    <t>ไม่มีศาลาประชาคม</t>
  </si>
  <si>
    <t>เสาสูง 60 ม</t>
  </si>
  <si>
    <t>ยังไม่สามารถระบุสถานีที่ได้</t>
  </si>
  <si>
    <t>เสร็จ</t>
  </si>
  <si>
    <t>กำลังติดตั้ง</t>
  </si>
  <si>
    <t>ยังไม่ได้ติดตั้ง</t>
  </si>
  <si>
    <t>26/02/02569</t>
  </si>
  <si>
    <t xml:space="preserve">นครศรีธรรมราช </t>
  </si>
  <si>
    <t xml:space="preserve"> 17 มี.ค. 69</t>
  </si>
  <si>
    <t>BS วัดบางอุดม</t>
  </si>
  <si>
    <t>วัด</t>
  </si>
  <si>
    <t>เสาสูง 9, 18, 30 ม</t>
  </si>
  <si>
    <t>เสาสูง 9, 18, 30, 60 ม</t>
  </si>
  <si>
    <t>ที่ทำการบ้านผู้ช่วย ผญบ. คนใหม่</t>
  </si>
  <si>
    <t xml:space="preserve"> 31 มี.ค. 69</t>
  </si>
  <si>
    <t xml:space="preserve"> 31 มี.ค.69</t>
  </si>
  <si>
    <t>บัญชีรายชื่อสถานที่ติดตั้งเสาสัญญาณระบบวิทยุสื่อสาร</t>
  </si>
  <si>
    <t xml:space="preserve">โครงการเพิ่มประสิทธิภาพระบบโครงข่ายสื่อสารด้วยอุปกรณ์ทวนสัญญาณผ่านคลื่นความถี่สูง (SHF) เพื่อสนับสนุนการปฏิบัติราชการและแก้ไขปัญหาให้กับประชาชนในพื้นที่ห่างไกล สัญญาเลขที่ ๘๖๘๐๒๒๘ </t>
  </si>
  <si>
    <t>ลงวันที่ ๒๓ กรกฎาคม ๒๕๖๘</t>
  </si>
  <si>
    <t>โครงการเพิ่มประสิทธิภาพระบบโครงข่ายสื่อสารด้วยอุปกรณ์ทวนสัญญาณผ่านคลื่นความถี่สูง (SHF) เพื่อสนับสนุนการปฏิบัติราชการและแก้ไขปัญหาให้กับประชาชนใน</t>
  </si>
  <si>
    <t>พื้นที่ห่างไกล สัญญาเลขที่ ๘๖๘๐๒๒๘ ลงวันที่ ๒๓ กรกฎาคม ๒๕๖๘</t>
  </si>
  <si>
    <t xml:space="preserve">บัญชีรายชื่อสถานที่ติดตั้งเสาสัญญาณระบบวิทยุสื่อสาร </t>
  </si>
  <si>
    <t>ที่ทำการบ้าน ผู้ใหญ่บ้าน</t>
  </si>
  <si>
    <t>ที่ทำการบ้านผู้ช่วย ผู้ใหญ่บ้าน</t>
  </si>
  <si>
    <t xml:space="preserve">บัญชีรายชื่อสถานที่ติดตั้งเสารับ-ส่งสัญญาณระบบวิทยุสื่อสาร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</si>
</sst>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0.000000"/>
    <numFmt numFmtId="188" formatCode="[$-107041E]dd\ mmm\ yyyy;@"/>
    <numFmt numFmtId="189" formatCode="[$-1070000]d/mm/yyyy;@"/>
    <numFmt numFmtId="193" formatCode="0.0%"/>
  </numFmts>
  <fonts count="25" x14ac:knownFonts="1"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sz val="11"/>
      <color theme="1"/>
      <name val="Tahoma"/>
      <family val="2"/>
      <charset val="222"/>
      <scheme val="minor"/>
    </font>
    <font>
      <b/>
      <sz val="24"/>
      <color theme="1"/>
      <name val="TH Sarabun New"/>
      <family val="2"/>
    </font>
    <font>
      <b/>
      <sz val="16"/>
      <color theme="1"/>
      <name val="TH Sarabun New"/>
      <family val="2"/>
    </font>
    <font>
      <b/>
      <sz val="18"/>
      <color theme="1"/>
      <name val="TH Sarabun New"/>
      <family val="2"/>
    </font>
    <font>
      <sz val="16"/>
      <color theme="1"/>
      <name val="TH Sarabun New"/>
      <family val="2"/>
    </font>
    <font>
      <sz val="18"/>
      <color theme="1"/>
      <name val="TH Sarabun New"/>
      <family val="2"/>
    </font>
    <font>
      <sz val="18"/>
      <color theme="1"/>
      <name val="TH SarabunIT๙"/>
      <family val="2"/>
    </font>
    <font>
      <b/>
      <sz val="22"/>
      <color theme="1"/>
      <name val="TH Sarabun New"/>
      <family val="2"/>
    </font>
    <font>
      <sz val="22"/>
      <color theme="1"/>
      <name val="TH Sarabun New"/>
      <family val="2"/>
    </font>
    <font>
      <b/>
      <sz val="22"/>
      <name val="TH Sarabun New"/>
      <family val="2"/>
    </font>
    <font>
      <b/>
      <sz val="26"/>
      <color theme="1"/>
      <name val="TH Sarabun New"/>
      <family val="2"/>
    </font>
    <font>
      <sz val="26"/>
      <color theme="1"/>
      <name val="TH Sarabun New"/>
      <family val="2"/>
    </font>
    <font>
      <sz val="8"/>
      <name val="Tahoma"/>
      <family val="2"/>
      <scheme val="minor"/>
    </font>
    <font>
      <sz val="22"/>
      <name val="TH Sarabun New"/>
      <family val="2"/>
    </font>
    <font>
      <sz val="22"/>
      <color rgb="FF000000"/>
      <name val="TH Sarabun New"/>
      <family val="2"/>
    </font>
    <font>
      <sz val="22"/>
      <color theme="1"/>
      <name val="TH SarabunIT๙"/>
      <family val="2"/>
    </font>
    <font>
      <sz val="11"/>
      <color theme="1"/>
      <name val="Tahoma"/>
      <family val="2"/>
      <scheme val="minor"/>
    </font>
    <font>
      <b/>
      <sz val="28"/>
      <color theme="1"/>
      <name val="TH Sarabun New"/>
      <family val="2"/>
    </font>
  </fonts>
  <fills count="3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rgb="FFBDD6EE"/>
      </patternFill>
    </fill>
    <fill>
      <patternFill patternType="solid">
        <fgColor theme="7" tint="0.79998168889431442"/>
        <bgColor rgb="FFFCE5C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rgb="FFF6B26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CE5CD"/>
      </patternFill>
    </fill>
    <fill>
      <patternFill patternType="solid">
        <fgColor theme="6" tint="0.59999389629810485"/>
        <bgColor rgb="FFFCE5CD"/>
      </patternFill>
    </fill>
    <fill>
      <patternFill patternType="solid">
        <fgColor theme="6" tint="0.79998168889431442"/>
        <bgColor rgb="FFFCE5C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BDD6EE"/>
      </patternFill>
    </fill>
    <fill>
      <patternFill patternType="solid">
        <fgColor theme="4" tint="0.79998168889431442"/>
        <bgColor rgb="FF92D050"/>
      </patternFill>
    </fill>
    <fill>
      <patternFill patternType="solid">
        <fgColor theme="4" tint="0.79998168889431442"/>
        <bgColor rgb="FFF6B26B"/>
      </patternFill>
    </fill>
    <fill>
      <patternFill patternType="solid">
        <fgColor theme="0" tint="-4.9989318521683403E-2"/>
        <bgColor rgb="FFBDD6E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rgb="FFF6B26B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rgb="FFF6B26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6B26B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6B26B"/>
      </patternFill>
    </fill>
    <fill>
      <patternFill patternType="solid">
        <fgColor theme="7" tint="0.79998168889431442"/>
        <bgColor rgb="FFBDD6EE"/>
      </patternFill>
    </fill>
    <fill>
      <patternFill patternType="solid">
        <fgColor theme="7" tint="0.79998168889431442"/>
        <bgColor rgb="FF92D050"/>
      </patternFill>
    </fill>
  </fills>
  <borders count="3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4" fillId="0" borderId="0"/>
    <xf numFmtId="0" fontId="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23" fillId="0" borderId="0" applyFont="0" applyFill="0" applyBorder="0" applyAlignment="0" applyProtection="0"/>
  </cellStyleXfs>
  <cellXfs count="301">
    <xf numFmtId="0" fontId="0" fillId="0" borderId="0" xfId="0"/>
    <xf numFmtId="0" fontId="8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0" fontId="6" fillId="0" borderId="0" xfId="5" applyFont="1" applyAlignment="1">
      <alignment vertical="center"/>
    </xf>
    <xf numFmtId="0" fontId="6" fillId="0" borderId="0" xfId="5" applyFont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5" fillId="0" borderId="0" xfId="5" applyFont="1" applyAlignment="1">
      <alignment vertical="center"/>
    </xf>
    <xf numFmtId="0" fontId="5" fillId="0" borderId="0" xfId="5" applyFont="1" applyAlignment="1">
      <alignment wrapText="1"/>
    </xf>
    <xf numFmtId="0" fontId="6" fillId="0" borderId="0" xfId="5" applyFont="1"/>
    <xf numFmtId="0" fontId="6" fillId="0" borderId="0" xfId="5" applyFont="1" applyAlignment="1">
      <alignment horizontal="left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left" vertical="center"/>
    </xf>
    <xf numFmtId="0" fontId="10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vertical="center"/>
    </xf>
    <xf numFmtId="0" fontId="10" fillId="0" borderId="0" xfId="1" applyFont="1" applyAlignment="1">
      <alignment wrapText="1"/>
    </xf>
    <xf numFmtId="0" fontId="12" fillId="0" borderId="0" xfId="1" applyFont="1"/>
    <xf numFmtId="0" fontId="13" fillId="0" borderId="0" xfId="1" applyFont="1"/>
    <xf numFmtId="0" fontId="12" fillId="0" borderId="0" xfId="1" applyFont="1" applyAlignment="1">
      <alignment horizontal="left"/>
    </xf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left" vertical="top"/>
    </xf>
    <xf numFmtId="0" fontId="12" fillId="0" borderId="0" xfId="1" applyFont="1" applyAlignment="1">
      <alignment horizontal="center" vertical="top"/>
    </xf>
    <xf numFmtId="0" fontId="12" fillId="0" borderId="0" xfId="1" applyFont="1" applyAlignment="1">
      <alignment vertical="top"/>
    </xf>
    <xf numFmtId="0" fontId="12" fillId="0" borderId="0" xfId="1" applyFont="1" applyAlignment="1">
      <alignment horizontal="right" vertical="center"/>
    </xf>
    <xf numFmtId="0" fontId="12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188" fontId="6" fillId="0" borderId="0" xfId="5" applyNumberFormat="1" applyFont="1" applyAlignment="1">
      <alignment horizontal="center"/>
    </xf>
    <xf numFmtId="188" fontId="6" fillId="0" borderId="0" xfId="5" applyNumberFormat="1" applyFont="1" applyAlignment="1">
      <alignment horizontal="center" vertical="center"/>
    </xf>
    <xf numFmtId="188" fontId="12" fillId="0" borderId="0" xfId="1" applyNumberFormat="1" applyFont="1" applyAlignment="1">
      <alignment horizontal="center"/>
    </xf>
    <xf numFmtId="188" fontId="12" fillId="0" borderId="0" xfId="1" applyNumberFormat="1" applyFont="1" applyAlignment="1">
      <alignment horizontal="center" vertical="top"/>
    </xf>
    <xf numFmtId="188" fontId="12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/>
    <xf numFmtId="0" fontId="15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/>
    </xf>
    <xf numFmtId="3" fontId="15" fillId="0" borderId="3" xfId="0" applyNumberFormat="1" applyFont="1" applyBorder="1" applyAlignment="1">
      <alignment horizontal="center" vertical="center"/>
    </xf>
    <xf numFmtId="0" fontId="14" fillId="0" borderId="0" xfId="2" applyFont="1" applyAlignment="1">
      <alignment vertical="center"/>
    </xf>
    <xf numFmtId="0" fontId="14" fillId="0" borderId="0" xfId="2" applyFont="1" applyAlignment="1">
      <alignment vertical="center" wrapText="1"/>
    </xf>
    <xf numFmtId="0" fontId="14" fillId="3" borderId="3" xfId="2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/>
    <xf numFmtId="0" fontId="17" fillId="0" borderId="0" xfId="0" applyFont="1" applyAlignment="1">
      <alignment vertical="center"/>
    </xf>
    <xf numFmtId="0" fontId="6" fillId="0" borderId="0" xfId="5" applyFont="1" applyAlignment="1">
      <alignment horizontal="right" vertical="top"/>
    </xf>
    <xf numFmtId="0" fontId="15" fillId="0" borderId="3" xfId="5" applyFont="1" applyBorder="1" applyAlignment="1">
      <alignment horizontal="left" vertical="center" wrapText="1"/>
    </xf>
    <xf numFmtId="187" fontId="15" fillId="7" borderId="3" xfId="6" applyNumberFormat="1" applyFont="1" applyFill="1" applyBorder="1" applyAlignment="1">
      <alignment horizontal="left" vertical="center"/>
    </xf>
    <xf numFmtId="0" fontId="15" fillId="0" borderId="3" xfId="6" applyFont="1" applyBorder="1" applyAlignment="1">
      <alignment horizontal="center" vertical="center"/>
    </xf>
    <xf numFmtId="187" fontId="21" fillId="0" borderId="3" xfId="6" applyNumberFormat="1" applyFont="1" applyBorder="1" applyAlignment="1">
      <alignment horizontal="center" vertical="center"/>
    </xf>
    <xf numFmtId="188" fontId="15" fillId="0" borderId="3" xfId="5" applyNumberFormat="1" applyFont="1" applyBorder="1" applyAlignment="1">
      <alignment horizontal="center" vertical="center" wrapText="1"/>
    </xf>
    <xf numFmtId="0" fontId="15" fillId="0" borderId="3" xfId="5" applyFont="1" applyBorder="1" applyAlignment="1">
      <alignment horizontal="center" vertical="center" wrapText="1"/>
    </xf>
    <xf numFmtId="14" fontId="15" fillId="0" borderId="3" xfId="5" applyNumberFormat="1" applyFont="1" applyBorder="1" applyAlignment="1">
      <alignment horizontal="center" vertical="center" wrapText="1"/>
    </xf>
    <xf numFmtId="0" fontId="21" fillId="0" borderId="3" xfId="5" applyFont="1" applyBorder="1" applyAlignment="1">
      <alignment horizontal="left" vertical="center"/>
    </xf>
    <xf numFmtId="0" fontId="15" fillId="7" borderId="3" xfId="6" applyFont="1" applyFill="1" applyBorder="1" applyAlignment="1">
      <alignment horizontal="left" vertical="center"/>
    </xf>
    <xf numFmtId="0" fontId="15" fillId="0" borderId="3" xfId="5" applyFont="1" applyBorder="1" applyAlignment="1">
      <alignment horizontal="left" vertical="center"/>
    </xf>
    <xf numFmtId="0" fontId="15" fillId="0" borderId="3" xfId="6" applyFont="1" applyBorder="1" applyAlignment="1">
      <alignment horizontal="left" vertical="center"/>
    </xf>
    <xf numFmtId="0" fontId="14" fillId="15" borderId="3" xfId="0" applyFont="1" applyFill="1" applyBorder="1" applyAlignment="1">
      <alignment horizontal="center" vertical="center"/>
    </xf>
    <xf numFmtId="0" fontId="15" fillId="9" borderId="4" xfId="1" applyFont="1" applyFill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/>
    </xf>
    <xf numFmtId="0" fontId="15" fillId="0" borderId="3" xfId="1" applyFont="1" applyBorder="1" applyAlignment="1">
      <alignment horizontal="left" vertical="center"/>
    </xf>
    <xf numFmtId="0" fontId="15" fillId="0" borderId="3" xfId="1" applyFont="1" applyBorder="1" applyAlignment="1">
      <alignment horizontal="left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187" fontId="15" fillId="0" borderId="3" xfId="0" applyNumberFormat="1" applyFont="1" applyBorder="1" applyAlignment="1">
      <alignment horizontal="center" vertical="center" wrapText="1"/>
    </xf>
    <xf numFmtId="188" fontId="15" fillId="0" borderId="3" xfId="1" applyNumberFormat="1" applyFont="1" applyBorder="1" applyAlignment="1">
      <alignment horizontal="center" vertical="center" wrapText="1"/>
    </xf>
    <xf numFmtId="188" fontId="15" fillId="0" borderId="3" xfId="1" applyNumberFormat="1" applyFont="1" applyBorder="1" applyAlignment="1">
      <alignment horizontal="center" vertical="center"/>
    </xf>
    <xf numFmtId="0" fontId="15" fillId="0" borderId="3" xfId="1" applyFont="1" applyBorder="1"/>
    <xf numFmtId="0" fontId="21" fillId="0" borderId="3" xfId="1" applyFont="1" applyBorder="1" applyAlignment="1">
      <alignment horizontal="left" vertical="center"/>
    </xf>
    <xf numFmtId="0" fontId="22" fillId="0" borderId="3" xfId="1" applyFont="1" applyBorder="1"/>
    <xf numFmtId="0" fontId="15" fillId="0" borderId="3" xfId="0" applyFont="1" applyBorder="1" applyAlignment="1">
      <alignment horizontal="center" wrapText="1"/>
    </xf>
    <xf numFmtId="0" fontId="15" fillId="8" borderId="3" xfId="0" applyFont="1" applyFill="1" applyBorder="1" applyAlignment="1">
      <alignment horizontal="center" vertical="center" wrapText="1"/>
    </xf>
    <xf numFmtId="0" fontId="12" fillId="0" borderId="0" xfId="1" applyFont="1" applyAlignment="1">
      <alignment horizontal="right" vertical="top"/>
    </xf>
    <xf numFmtId="14" fontId="15" fillId="0" borderId="3" xfId="1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/>
    </xf>
    <xf numFmtId="188" fontId="15" fillId="0" borderId="3" xfId="1" quotePrefix="1" applyNumberFormat="1" applyFont="1" applyBorder="1" applyAlignment="1">
      <alignment horizontal="center" vertical="center" wrapText="1"/>
    </xf>
    <xf numFmtId="188" fontId="15" fillId="0" borderId="3" xfId="5" quotePrefix="1" applyNumberFormat="1" applyFont="1" applyBorder="1" applyAlignment="1">
      <alignment horizontal="center" vertical="center" wrapText="1"/>
    </xf>
    <xf numFmtId="189" fontId="16" fillId="0" borderId="0" xfId="0" applyNumberFormat="1" applyFont="1" applyAlignment="1">
      <alignment horizontal="right" vertical="center"/>
    </xf>
    <xf numFmtId="0" fontId="14" fillId="4" borderId="3" xfId="2" applyFont="1" applyFill="1" applyBorder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4" fillId="20" borderId="0" xfId="0" applyFont="1" applyFill="1" applyAlignment="1">
      <alignment horizontal="center" vertical="center"/>
    </xf>
    <xf numFmtId="0" fontId="15" fillId="19" borderId="3" xfId="1" applyFont="1" applyFill="1" applyBorder="1" applyAlignment="1">
      <alignment horizontal="left" vertical="center"/>
    </xf>
    <xf numFmtId="0" fontId="16" fillId="13" borderId="3" xfId="6" applyFont="1" applyFill="1" applyBorder="1" applyAlignment="1">
      <alignment vertical="center" wrapText="1"/>
    </xf>
    <xf numFmtId="0" fontId="8" fillId="0" borderId="0" xfId="1" applyFont="1" applyAlignment="1">
      <alignment horizontal="center" vertical="center"/>
    </xf>
    <xf numFmtId="0" fontId="15" fillId="0" borderId="0" xfId="5" applyFont="1" applyAlignment="1">
      <alignment horizontal="center" vertical="center"/>
    </xf>
    <xf numFmtId="0" fontId="14" fillId="23" borderId="6" xfId="6" applyFont="1" applyFill="1" applyBorder="1" applyAlignment="1">
      <alignment horizontal="center" vertical="center" wrapText="1"/>
    </xf>
    <xf numFmtId="0" fontId="14" fillId="21" borderId="3" xfId="5" applyFont="1" applyFill="1" applyBorder="1" applyAlignment="1">
      <alignment vertical="center" wrapText="1"/>
    </xf>
    <xf numFmtId="0" fontId="14" fillId="23" borderId="6" xfId="6" applyFont="1" applyFill="1" applyBorder="1" applyAlignment="1">
      <alignment vertical="center" wrapText="1"/>
    </xf>
    <xf numFmtId="0" fontId="14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vertical="center"/>
    </xf>
    <xf numFmtId="0" fontId="5" fillId="20" borderId="0" xfId="5" applyFont="1" applyFill="1" applyAlignment="1">
      <alignment wrapText="1"/>
    </xf>
    <xf numFmtId="0" fontId="15" fillId="24" borderId="4" xfId="5" applyFont="1" applyFill="1" applyBorder="1" applyAlignment="1">
      <alignment horizontal="center" vertical="center" wrapText="1"/>
    </xf>
    <xf numFmtId="0" fontId="15" fillId="24" borderId="6" xfId="5" applyFont="1" applyFill="1" applyBorder="1" applyAlignment="1">
      <alignment horizontal="center" vertical="center" wrapText="1"/>
    </xf>
    <xf numFmtId="0" fontId="15" fillId="20" borderId="3" xfId="8" applyFont="1" applyFill="1" applyBorder="1" applyAlignment="1">
      <alignment horizontal="left" vertical="center"/>
    </xf>
    <xf numFmtId="0" fontId="14" fillId="12" borderId="3" xfId="2" applyFont="1" applyFill="1" applyBorder="1" applyAlignment="1">
      <alignment horizontal="center" vertical="center"/>
    </xf>
    <xf numFmtId="0" fontId="15" fillId="20" borderId="3" xfId="5" applyFont="1" applyFill="1" applyBorder="1" applyAlignment="1">
      <alignment horizontal="center" vertical="center"/>
    </xf>
    <xf numFmtId="0" fontId="15" fillId="25" borderId="3" xfId="1" applyFont="1" applyFill="1" applyBorder="1" applyAlignment="1">
      <alignment horizontal="left" vertical="center"/>
    </xf>
    <xf numFmtId="14" fontId="15" fillId="20" borderId="3" xfId="1" applyNumberFormat="1" applyFont="1" applyFill="1" applyBorder="1" applyAlignment="1">
      <alignment horizontal="center" vertical="center" wrapText="1"/>
    </xf>
    <xf numFmtId="0" fontId="21" fillId="19" borderId="3" xfId="1" applyFont="1" applyFill="1" applyBorder="1" applyAlignment="1">
      <alignment horizontal="left" vertical="center"/>
    </xf>
    <xf numFmtId="0" fontId="15" fillId="19" borderId="3" xfId="1" applyFont="1" applyFill="1" applyBorder="1" applyAlignment="1">
      <alignment horizontal="center" vertical="center" wrapText="1"/>
    </xf>
    <xf numFmtId="0" fontId="15" fillId="25" borderId="3" xfId="1" applyFont="1" applyFill="1" applyBorder="1" applyAlignment="1">
      <alignment horizontal="center" vertical="center" wrapText="1"/>
    </xf>
    <xf numFmtId="0" fontId="15" fillId="11" borderId="3" xfId="1" applyFont="1" applyFill="1" applyBorder="1" applyAlignment="1">
      <alignment horizontal="left" vertical="center"/>
    </xf>
    <xf numFmtId="0" fontId="15" fillId="0" borderId="3" xfId="8" applyFont="1" applyBorder="1" applyAlignment="1">
      <alignment horizontal="left" vertical="center"/>
    </xf>
    <xf numFmtId="0" fontId="20" fillId="19" borderId="3" xfId="1" applyFont="1" applyFill="1" applyBorder="1" applyAlignment="1">
      <alignment horizontal="center" vertical="center" wrapText="1"/>
    </xf>
    <xf numFmtId="0" fontId="15" fillId="11" borderId="3" xfId="1" applyFont="1" applyFill="1" applyBorder="1" applyAlignment="1">
      <alignment horizontal="center" vertical="center" wrapText="1"/>
    </xf>
    <xf numFmtId="0" fontId="15" fillId="30" borderId="3" xfId="1" applyFont="1" applyFill="1" applyBorder="1" applyAlignment="1">
      <alignment horizontal="center" vertical="center" wrapText="1"/>
    </xf>
    <xf numFmtId="0" fontId="15" fillId="32" borderId="3" xfId="1" applyFont="1" applyFill="1" applyBorder="1" applyAlignment="1">
      <alignment horizontal="center" vertical="center" wrapText="1"/>
    </xf>
    <xf numFmtId="0" fontId="15" fillId="20" borderId="3" xfId="1" applyFont="1" applyFill="1" applyBorder="1" applyAlignment="1">
      <alignment horizontal="center" vertical="center" wrapText="1"/>
    </xf>
    <xf numFmtId="0" fontId="15" fillId="20" borderId="3" xfId="1" applyFont="1" applyFill="1" applyBorder="1" applyAlignment="1">
      <alignment horizontal="left" vertical="center"/>
    </xf>
    <xf numFmtId="3" fontId="15" fillId="0" borderId="3" xfId="0" quotePrefix="1" applyNumberFormat="1" applyFont="1" applyBorder="1" applyAlignment="1">
      <alignment horizontal="center" vertical="center"/>
    </xf>
    <xf numFmtId="3" fontId="14" fillId="15" borderId="3" xfId="0" applyNumberFormat="1" applyFont="1" applyFill="1" applyBorder="1" applyAlignment="1">
      <alignment horizontal="center" vertical="center"/>
    </xf>
    <xf numFmtId="3" fontId="14" fillId="26" borderId="3" xfId="0" applyNumberFormat="1" applyFont="1" applyFill="1" applyBorder="1" applyAlignment="1">
      <alignment horizontal="center" vertical="center"/>
    </xf>
    <xf numFmtId="0" fontId="15" fillId="20" borderId="3" xfId="0" applyFont="1" applyFill="1" applyBorder="1" applyAlignment="1">
      <alignment horizontal="center" vertical="center"/>
    </xf>
    <xf numFmtId="0" fontId="15" fillId="32" borderId="3" xfId="1" applyFont="1" applyFill="1" applyBorder="1" applyAlignment="1">
      <alignment horizontal="center" vertical="center"/>
    </xf>
    <xf numFmtId="0" fontId="21" fillId="15" borderId="3" xfId="1" applyFont="1" applyFill="1" applyBorder="1" applyAlignment="1">
      <alignment horizontal="left" vertical="center"/>
    </xf>
    <xf numFmtId="0" fontId="15" fillId="15" borderId="3" xfId="1" applyFont="1" applyFill="1" applyBorder="1" applyAlignment="1">
      <alignment horizontal="left" vertical="center"/>
    </xf>
    <xf numFmtId="0" fontId="15" fillId="32" borderId="3" xfId="1" applyFont="1" applyFill="1" applyBorder="1" applyAlignment="1">
      <alignment horizontal="left" vertical="center"/>
    </xf>
    <xf numFmtId="3" fontId="15" fillId="0" borderId="0" xfId="0" applyNumberFormat="1" applyFont="1"/>
    <xf numFmtId="193" fontId="15" fillId="0" borderId="0" xfId="9" applyNumberFormat="1" applyFont="1"/>
    <xf numFmtId="9" fontId="15" fillId="0" borderId="0" xfId="9" applyFont="1"/>
    <xf numFmtId="0" fontId="15" fillId="19" borderId="3" xfId="5" applyFont="1" applyFill="1" applyBorder="1" applyAlignment="1">
      <alignment horizontal="center" vertical="center" wrapText="1"/>
    </xf>
    <xf numFmtId="0" fontId="15" fillId="25" borderId="3" xfId="5" applyFont="1" applyFill="1" applyBorder="1" applyAlignment="1">
      <alignment horizontal="center" vertical="center" wrapText="1"/>
    </xf>
    <xf numFmtId="0" fontId="15" fillId="20" borderId="3" xfId="5" applyFont="1" applyFill="1" applyBorder="1" applyAlignment="1">
      <alignment horizontal="left" vertical="center" indent="5"/>
    </xf>
    <xf numFmtId="0" fontId="21" fillId="20" borderId="3" xfId="1" applyFont="1" applyFill="1" applyBorder="1" applyAlignment="1">
      <alignment horizontal="left" vertical="center"/>
    </xf>
    <xf numFmtId="0" fontId="20" fillId="20" borderId="3" xfId="1" applyFont="1" applyFill="1" applyBorder="1" applyAlignment="1">
      <alignment horizontal="center" vertical="center"/>
    </xf>
    <xf numFmtId="0" fontId="21" fillId="11" borderId="3" xfId="1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  <xf numFmtId="0" fontId="14" fillId="0" borderId="32" xfId="2" applyFont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3" fontId="15" fillId="12" borderId="3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1" fillId="30" borderId="3" xfId="1" applyFont="1" applyFill="1" applyBorder="1" applyAlignment="1">
      <alignment horizontal="left" vertical="center"/>
    </xf>
    <xf numFmtId="0" fontId="15" fillId="20" borderId="3" xfId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8" fillId="0" borderId="0" xfId="5" applyFont="1" applyAlignment="1">
      <alignment horizontal="center" vertical="center"/>
    </xf>
    <xf numFmtId="0" fontId="21" fillId="20" borderId="3" xfId="5" applyFont="1" applyFill="1" applyBorder="1" applyAlignment="1">
      <alignment horizontal="left" vertical="center"/>
    </xf>
    <xf numFmtId="0" fontId="15" fillId="20" borderId="3" xfId="5" applyFont="1" applyFill="1" applyBorder="1" applyAlignment="1">
      <alignment horizontal="left" vertical="center"/>
    </xf>
    <xf numFmtId="0" fontId="15" fillId="20" borderId="3" xfId="5" applyFont="1" applyFill="1" applyBorder="1" applyAlignment="1">
      <alignment horizontal="left" vertical="center" wrapText="1"/>
    </xf>
    <xf numFmtId="0" fontId="15" fillId="20" borderId="3" xfId="5" applyFont="1" applyFill="1" applyBorder="1" applyAlignment="1">
      <alignment horizontal="left" vertical="center" wrapText="1" indent="5"/>
    </xf>
    <xf numFmtId="0" fontId="21" fillId="20" borderId="3" xfId="5" applyFont="1" applyFill="1" applyBorder="1" applyAlignment="1">
      <alignment horizontal="left" vertical="center" indent="5"/>
    </xf>
    <xf numFmtId="0" fontId="8" fillId="0" borderId="0" xfId="5" applyFont="1" applyAlignment="1">
      <alignment vertical="center"/>
    </xf>
    <xf numFmtId="0" fontId="16" fillId="15" borderId="3" xfId="6" applyFont="1" applyFill="1" applyBorder="1" applyAlignment="1">
      <alignment horizontal="center" vertical="center" wrapText="1"/>
    </xf>
    <xf numFmtId="0" fontId="8" fillId="0" borderId="1" xfId="1" applyFont="1" applyBorder="1" applyAlignment="1">
      <alignment vertical="center"/>
    </xf>
    <xf numFmtId="0" fontId="14" fillId="13" borderId="3" xfId="6" applyFont="1" applyFill="1" applyBorder="1" applyAlignment="1">
      <alignment horizontal="center" vertical="center" wrapText="1"/>
    </xf>
    <xf numFmtId="0" fontId="16" fillId="3" borderId="3" xfId="6" applyFont="1" applyFill="1" applyBorder="1" applyAlignment="1">
      <alignment horizontal="center" vertical="center" wrapText="1"/>
    </xf>
    <xf numFmtId="0" fontId="14" fillId="14" borderId="3" xfId="6" applyFont="1" applyFill="1" applyBorder="1" applyAlignment="1">
      <alignment horizontal="center" vertical="center" wrapText="1"/>
    </xf>
    <xf numFmtId="0" fontId="16" fillId="6" borderId="5" xfId="6" applyFont="1" applyFill="1" applyBorder="1" applyAlignment="1">
      <alignment horizontal="center" vertical="center" wrapText="1"/>
    </xf>
    <xf numFmtId="0" fontId="16" fillId="6" borderId="18" xfId="6" applyFont="1" applyFill="1" applyBorder="1" applyAlignment="1">
      <alignment horizontal="center" vertical="center" wrapText="1"/>
    </xf>
    <xf numFmtId="0" fontId="16" fillId="11" borderId="5" xfId="6" applyFont="1" applyFill="1" applyBorder="1" applyAlignment="1">
      <alignment horizontal="center" vertical="center" wrapText="1"/>
    </xf>
    <xf numFmtId="0" fontId="16" fillId="11" borderId="18" xfId="6" applyFont="1" applyFill="1" applyBorder="1" applyAlignment="1">
      <alignment horizontal="center" vertical="center" wrapText="1"/>
    </xf>
    <xf numFmtId="0" fontId="16" fillId="11" borderId="8" xfId="6" applyFont="1" applyFill="1" applyBorder="1" applyAlignment="1">
      <alignment horizontal="center" vertical="center" wrapText="1"/>
    </xf>
    <xf numFmtId="0" fontId="16" fillId="15" borderId="5" xfId="6" applyFont="1" applyFill="1" applyBorder="1" applyAlignment="1">
      <alignment horizontal="center" vertical="center" wrapText="1"/>
    </xf>
    <xf numFmtId="0" fontId="16" fillId="15" borderId="18" xfId="6" applyFont="1" applyFill="1" applyBorder="1" applyAlignment="1">
      <alignment horizontal="center" vertical="center" wrapText="1"/>
    </xf>
    <xf numFmtId="0" fontId="16" fillId="15" borderId="8" xfId="6" applyFont="1" applyFill="1" applyBorder="1" applyAlignment="1">
      <alignment horizontal="center" vertical="center" wrapText="1"/>
    </xf>
    <xf numFmtId="0" fontId="14" fillId="16" borderId="24" xfId="6" applyFont="1" applyFill="1" applyBorder="1" applyAlignment="1">
      <alignment horizontal="center" vertical="center" wrapText="1"/>
    </xf>
    <xf numFmtId="0" fontId="14" fillId="16" borderId="25" xfId="6" applyFont="1" applyFill="1" applyBorder="1" applyAlignment="1">
      <alignment horizontal="center" vertical="center" wrapText="1"/>
    </xf>
    <xf numFmtId="0" fontId="14" fillId="16" borderId="26" xfId="6" applyFont="1" applyFill="1" applyBorder="1" applyAlignment="1">
      <alignment horizontal="center" vertical="center" wrapText="1"/>
    </xf>
    <xf numFmtId="0" fontId="16" fillId="6" borderId="8" xfId="6" applyFont="1" applyFill="1" applyBorder="1" applyAlignment="1">
      <alignment horizontal="center" vertical="center" wrapText="1"/>
    </xf>
    <xf numFmtId="0" fontId="14" fillId="34" borderId="25" xfId="1" applyFont="1" applyFill="1" applyBorder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0" fontId="14" fillId="34" borderId="4" xfId="1" applyFont="1" applyFill="1" applyBorder="1" applyAlignment="1">
      <alignment horizontal="center" vertical="center" wrapText="1"/>
    </xf>
    <xf numFmtId="0" fontId="14" fillId="34" borderId="16" xfId="1" applyFont="1" applyFill="1" applyBorder="1" applyAlignment="1">
      <alignment horizontal="center" vertical="center" wrapText="1"/>
    </xf>
    <xf numFmtId="0" fontId="16" fillId="6" borderId="5" xfId="6" applyFont="1" applyFill="1" applyBorder="1" applyAlignment="1">
      <alignment horizontal="center" vertical="center" wrapText="1"/>
    </xf>
    <xf numFmtId="0" fontId="16" fillId="6" borderId="18" xfId="6" applyFont="1" applyFill="1" applyBorder="1" applyAlignment="1">
      <alignment horizontal="center" vertical="center" wrapText="1"/>
    </xf>
    <xf numFmtId="0" fontId="16" fillId="6" borderId="8" xfId="6" applyFont="1" applyFill="1" applyBorder="1" applyAlignment="1">
      <alignment horizontal="center" vertical="center" wrapText="1"/>
    </xf>
    <xf numFmtId="0" fontId="14" fillId="13" borderId="3" xfId="6" applyFont="1" applyFill="1" applyBorder="1" applyAlignment="1">
      <alignment horizontal="center" vertical="center" wrapText="1"/>
    </xf>
    <xf numFmtId="0" fontId="16" fillId="3" borderId="3" xfId="6" applyFont="1" applyFill="1" applyBorder="1" applyAlignment="1">
      <alignment horizontal="center" vertical="center" wrapText="1"/>
    </xf>
    <xf numFmtId="0" fontId="14" fillId="10" borderId="27" xfId="0" applyFont="1" applyFill="1" applyBorder="1" applyAlignment="1">
      <alignment horizontal="center" vertical="center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 wrapText="1"/>
    </xf>
    <xf numFmtId="0" fontId="14" fillId="16" borderId="24" xfId="6" applyFont="1" applyFill="1" applyBorder="1" applyAlignment="1">
      <alignment horizontal="center" vertical="center" wrapText="1"/>
    </xf>
    <xf numFmtId="0" fontId="14" fillId="16" borderId="25" xfId="6" applyFont="1" applyFill="1" applyBorder="1" applyAlignment="1">
      <alignment horizontal="center" vertical="center" wrapText="1"/>
    </xf>
    <xf numFmtId="0" fontId="14" fillId="16" borderId="26" xfId="6" applyFont="1" applyFill="1" applyBorder="1" applyAlignment="1">
      <alignment horizontal="center" vertical="center" wrapText="1"/>
    </xf>
    <xf numFmtId="0" fontId="14" fillId="14" borderId="3" xfId="6" applyFont="1" applyFill="1" applyBorder="1" applyAlignment="1">
      <alignment horizontal="center" vertical="center" wrapText="1"/>
    </xf>
    <xf numFmtId="0" fontId="16" fillId="15" borderId="5" xfId="6" applyFont="1" applyFill="1" applyBorder="1" applyAlignment="1">
      <alignment horizontal="center" vertical="center" wrapText="1"/>
    </xf>
    <xf numFmtId="0" fontId="16" fillId="15" borderId="18" xfId="6" applyFont="1" applyFill="1" applyBorder="1" applyAlignment="1">
      <alignment horizontal="center" vertical="center" wrapText="1"/>
    </xf>
    <xf numFmtId="0" fontId="16" fillId="15" borderId="8" xfId="6" applyFont="1" applyFill="1" applyBorder="1" applyAlignment="1">
      <alignment horizontal="center" vertical="center" wrapText="1"/>
    </xf>
    <xf numFmtId="0" fontId="16" fillId="11" borderId="5" xfId="6" applyFont="1" applyFill="1" applyBorder="1" applyAlignment="1">
      <alignment horizontal="center" vertical="center" wrapText="1"/>
    </xf>
    <xf numFmtId="0" fontId="16" fillId="11" borderId="18" xfId="6" applyFont="1" applyFill="1" applyBorder="1" applyAlignment="1">
      <alignment horizontal="center" vertical="center" wrapText="1"/>
    </xf>
    <xf numFmtId="0" fontId="16" fillId="11" borderId="8" xfId="6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4" fillId="4" borderId="3" xfId="2" applyFont="1" applyFill="1" applyBorder="1" applyAlignment="1">
      <alignment horizontal="center" vertical="center"/>
    </xf>
    <xf numFmtId="0" fontId="14" fillId="4" borderId="3" xfId="2" applyFont="1" applyFill="1" applyBorder="1" applyAlignment="1">
      <alignment horizontal="center" vertical="center" wrapText="1"/>
    </xf>
    <xf numFmtId="0" fontId="14" fillId="3" borderId="3" xfId="2" applyFont="1" applyFill="1" applyBorder="1" applyAlignment="1">
      <alignment horizontal="center" vertical="center"/>
    </xf>
    <xf numFmtId="0" fontId="14" fillId="3" borderId="5" xfId="2" applyFont="1" applyFill="1" applyBorder="1" applyAlignment="1">
      <alignment horizontal="center" vertical="center"/>
    </xf>
    <xf numFmtId="0" fontId="14" fillId="3" borderId="18" xfId="2" applyFont="1" applyFill="1" applyBorder="1" applyAlignment="1">
      <alignment horizontal="center" vertical="center"/>
    </xf>
    <xf numFmtId="0" fontId="14" fillId="3" borderId="8" xfId="2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0" fontId="14" fillId="4" borderId="17" xfId="2" applyFont="1" applyFill="1" applyBorder="1" applyAlignment="1">
      <alignment horizontal="center" vertical="center" wrapText="1"/>
    </xf>
    <xf numFmtId="0" fontId="14" fillId="4" borderId="19" xfId="2" applyFont="1" applyFill="1" applyBorder="1" applyAlignment="1">
      <alignment horizontal="center" vertical="center" wrapText="1"/>
    </xf>
    <xf numFmtId="0" fontId="14" fillId="4" borderId="9" xfId="2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4" fillId="15" borderId="3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14" fillId="22" borderId="17" xfId="6" applyFont="1" applyFill="1" applyBorder="1" applyAlignment="1">
      <alignment horizontal="center" vertical="center" wrapText="1"/>
    </xf>
    <xf numFmtId="0" fontId="14" fillId="22" borderId="20" xfId="6" applyFont="1" applyFill="1" applyBorder="1" applyAlignment="1">
      <alignment horizontal="center" vertical="center" wrapText="1"/>
    </xf>
    <xf numFmtId="0" fontId="14" fillId="22" borderId="17" xfId="5" applyFont="1" applyFill="1" applyBorder="1" applyAlignment="1">
      <alignment horizontal="center" vertical="center" wrapText="1"/>
    </xf>
    <xf numFmtId="0" fontId="14" fillId="22" borderId="20" xfId="5" applyFont="1" applyFill="1" applyBorder="1" applyAlignment="1">
      <alignment horizontal="center" vertical="center" wrapText="1"/>
    </xf>
    <xf numFmtId="0" fontId="14" fillId="21" borderId="13" xfId="5" applyFont="1" applyFill="1" applyBorder="1" applyAlignment="1">
      <alignment horizontal="center" vertical="center" wrapText="1"/>
    </xf>
    <xf numFmtId="0" fontId="14" fillId="21" borderId="7" xfId="5" applyFont="1" applyFill="1" applyBorder="1" applyAlignment="1">
      <alignment horizontal="center" vertical="center" wrapText="1"/>
    </xf>
    <xf numFmtId="0" fontId="14" fillId="21" borderId="31" xfId="5" applyFont="1" applyFill="1" applyBorder="1" applyAlignment="1">
      <alignment horizontal="center" vertical="center" wrapText="1"/>
    </xf>
    <xf numFmtId="0" fontId="14" fillId="21" borderId="30" xfId="5" applyFont="1" applyFill="1" applyBorder="1" applyAlignment="1">
      <alignment horizontal="center" vertical="center" wrapText="1"/>
    </xf>
    <xf numFmtId="0" fontId="14" fillId="21" borderId="17" xfId="5" applyFont="1" applyFill="1" applyBorder="1" applyAlignment="1">
      <alignment horizontal="center" vertical="center" wrapText="1"/>
    </xf>
    <xf numFmtId="0" fontId="14" fillId="21" borderId="20" xfId="5" applyFont="1" applyFill="1" applyBorder="1" applyAlignment="1">
      <alignment horizontal="center" vertical="center" wrapText="1"/>
    </xf>
    <xf numFmtId="0" fontId="14" fillId="23" borderId="5" xfId="6" applyFont="1" applyFill="1" applyBorder="1" applyAlignment="1">
      <alignment horizontal="center" vertical="center"/>
    </xf>
    <xf numFmtId="0" fontId="14" fillId="23" borderId="18" xfId="6" applyFont="1" applyFill="1" applyBorder="1" applyAlignment="1">
      <alignment horizontal="center" vertical="center"/>
    </xf>
    <xf numFmtId="0" fontId="14" fillId="23" borderId="8" xfId="6" applyFont="1" applyFill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14" fillId="21" borderId="4" xfId="5" applyFont="1" applyFill="1" applyBorder="1" applyAlignment="1">
      <alignment horizontal="center" vertical="center" wrapText="1"/>
    </xf>
    <xf numFmtId="0" fontId="14" fillId="21" borderId="29" xfId="5" applyFont="1" applyFill="1" applyBorder="1" applyAlignment="1">
      <alignment horizontal="center" vertical="center" wrapText="1"/>
    </xf>
    <xf numFmtId="0" fontId="14" fillId="21" borderId="12" xfId="5" applyFont="1" applyFill="1" applyBorder="1" applyAlignment="1">
      <alignment horizontal="center" vertical="center" wrapText="1"/>
    </xf>
    <xf numFmtId="0" fontId="14" fillId="21" borderId="23" xfId="5" applyFont="1" applyFill="1" applyBorder="1" applyAlignment="1">
      <alignment horizontal="center" vertical="center" wrapText="1"/>
    </xf>
    <xf numFmtId="0" fontId="16" fillId="6" borderId="17" xfId="6" applyFont="1" applyFill="1" applyBorder="1" applyAlignment="1">
      <alignment horizontal="center" vertical="center" wrapText="1"/>
    </xf>
    <xf numFmtId="0" fontId="16" fillId="6" borderId="9" xfId="6" applyFont="1" applyFill="1" applyBorder="1" applyAlignment="1">
      <alignment horizontal="center" vertical="center" wrapText="1"/>
    </xf>
    <xf numFmtId="0" fontId="16" fillId="15" borderId="3" xfId="6" applyFont="1" applyFill="1" applyBorder="1" applyAlignment="1">
      <alignment horizontal="center" vertical="center" wrapText="1"/>
    </xf>
    <xf numFmtId="0" fontId="16" fillId="6" borderId="6" xfId="6" applyFont="1" applyFill="1" applyBorder="1" applyAlignment="1">
      <alignment horizontal="center" vertical="center" wrapText="1"/>
    </xf>
    <xf numFmtId="0" fontId="16" fillId="6" borderId="7" xfId="6" applyFont="1" applyFill="1" applyBorder="1" applyAlignment="1">
      <alignment horizontal="center" vertical="center" wrapText="1"/>
    </xf>
    <xf numFmtId="0" fontId="14" fillId="9" borderId="13" xfId="1" applyFont="1" applyFill="1" applyBorder="1" applyAlignment="1">
      <alignment horizontal="center" vertical="center" wrapText="1"/>
    </xf>
    <xf numFmtId="0" fontId="14" fillId="9" borderId="6" xfId="1" applyFont="1" applyFill="1" applyBorder="1" applyAlignment="1">
      <alignment horizontal="center" vertical="center" wrapText="1"/>
    </xf>
    <xf numFmtId="0" fontId="14" fillId="9" borderId="16" xfId="1" applyFont="1" applyFill="1" applyBorder="1" applyAlignment="1">
      <alignment horizontal="center" vertical="center" wrapText="1"/>
    </xf>
    <xf numFmtId="0" fontId="16" fillId="15" borderId="17" xfId="6" applyFont="1" applyFill="1" applyBorder="1" applyAlignment="1">
      <alignment horizontal="center" vertical="center" wrapText="1"/>
    </xf>
    <xf numFmtId="0" fontId="16" fillId="15" borderId="20" xfId="6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20" fillId="15" borderId="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4" fillId="10" borderId="10" xfId="0" applyFont="1" applyFill="1" applyBorder="1" applyAlignment="1">
      <alignment horizontal="center" vertical="center" wrapText="1"/>
    </xf>
    <xf numFmtId="0" fontId="20" fillId="5" borderId="11" xfId="0" applyFont="1" applyFill="1" applyBorder="1" applyAlignment="1">
      <alignment horizontal="center" vertical="center" wrapText="1"/>
    </xf>
    <xf numFmtId="0" fontId="16" fillId="14" borderId="3" xfId="6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6" fillId="4" borderId="17" xfId="6" applyFont="1" applyFill="1" applyBorder="1" applyAlignment="1">
      <alignment horizontal="center" vertical="center" wrapText="1"/>
    </xf>
    <xf numFmtId="0" fontId="16" fillId="4" borderId="19" xfId="6" applyFont="1" applyFill="1" applyBorder="1" applyAlignment="1">
      <alignment horizontal="center" vertical="center" wrapText="1"/>
    </xf>
    <xf numFmtId="0" fontId="16" fillId="4" borderId="9" xfId="6" applyFont="1" applyFill="1" applyBorder="1" applyAlignment="1">
      <alignment horizontal="center" vertical="center" wrapText="1"/>
    </xf>
    <xf numFmtId="0" fontId="16" fillId="2" borderId="3" xfId="6" applyFont="1" applyFill="1" applyBorder="1" applyAlignment="1">
      <alignment horizontal="center" vertical="center" wrapText="1"/>
    </xf>
    <xf numFmtId="0" fontId="16" fillId="2" borderId="17" xfId="6" applyFont="1" applyFill="1" applyBorder="1" applyAlignment="1">
      <alignment horizontal="center" vertical="center" wrapText="1"/>
    </xf>
    <xf numFmtId="0" fontId="16" fillId="2" borderId="9" xfId="6" applyFont="1" applyFill="1" applyBorder="1" applyAlignment="1">
      <alignment horizontal="center" vertical="center" wrapText="1"/>
    </xf>
    <xf numFmtId="0" fontId="16" fillId="11" borderId="17" xfId="6" applyFont="1" applyFill="1" applyBorder="1" applyAlignment="1">
      <alignment horizontal="center" vertical="center" wrapText="1"/>
    </xf>
    <xf numFmtId="0" fontId="16" fillId="11" borderId="9" xfId="6" applyFont="1" applyFill="1" applyBorder="1" applyAlignment="1">
      <alignment horizontal="center" vertical="center" wrapText="1"/>
    </xf>
    <xf numFmtId="0" fontId="14" fillId="18" borderId="3" xfId="0" applyFont="1" applyFill="1" applyBorder="1" applyAlignment="1">
      <alignment horizontal="center" vertical="center" wrapText="1"/>
    </xf>
    <xf numFmtId="0" fontId="16" fillId="2" borderId="21" xfId="6" applyFont="1" applyFill="1" applyBorder="1" applyAlignment="1">
      <alignment horizontal="center" vertical="center" wrapText="1"/>
    </xf>
    <xf numFmtId="0" fontId="16" fillId="2" borderId="22" xfId="6" applyFont="1" applyFill="1" applyBorder="1" applyAlignment="1">
      <alignment horizontal="center" vertical="center" wrapText="1"/>
    </xf>
    <xf numFmtId="0" fontId="16" fillId="2" borderId="24" xfId="6" applyFont="1" applyFill="1" applyBorder="1" applyAlignment="1">
      <alignment horizontal="center" vertical="center" wrapText="1"/>
    </xf>
    <xf numFmtId="0" fontId="16" fillId="2" borderId="25" xfId="6" applyFont="1" applyFill="1" applyBorder="1" applyAlignment="1">
      <alignment horizontal="center" vertical="center" wrapText="1"/>
    </xf>
    <xf numFmtId="0" fontId="14" fillId="17" borderId="3" xfId="0" applyFont="1" applyFill="1" applyBorder="1" applyAlignment="1">
      <alignment horizontal="center" vertical="center" wrapText="1"/>
    </xf>
    <xf numFmtId="0" fontId="20" fillId="12" borderId="3" xfId="0" applyFont="1" applyFill="1" applyBorder="1" applyAlignment="1">
      <alignment horizontal="center" vertical="center" wrapText="1"/>
    </xf>
    <xf numFmtId="0" fontId="16" fillId="12" borderId="3" xfId="6" applyFont="1" applyFill="1" applyBorder="1" applyAlignment="1">
      <alignment horizontal="center" vertical="center" wrapText="1"/>
    </xf>
    <xf numFmtId="0" fontId="16" fillId="4" borderId="20" xfId="6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left" vertical="center"/>
    </xf>
    <xf numFmtId="0" fontId="14" fillId="9" borderId="4" xfId="1" applyFont="1" applyFill="1" applyBorder="1" applyAlignment="1">
      <alignment horizontal="center" vertical="center" wrapText="1"/>
    </xf>
    <xf numFmtId="0" fontId="14" fillId="9" borderId="7" xfId="1" applyFont="1" applyFill="1" applyBorder="1" applyAlignment="1">
      <alignment horizontal="center" vertical="center" wrapText="1"/>
    </xf>
    <xf numFmtId="0" fontId="14" fillId="9" borderId="2" xfId="1" applyFont="1" applyFill="1" applyBorder="1" applyAlignment="1">
      <alignment horizontal="center" vertical="center" wrapText="1"/>
    </xf>
    <xf numFmtId="0" fontId="14" fillId="9" borderId="10" xfId="1" applyFont="1" applyFill="1" applyBorder="1" applyAlignment="1">
      <alignment horizontal="center" vertical="center" wrapText="1"/>
    </xf>
    <xf numFmtId="0" fontId="14" fillId="9" borderId="11" xfId="1" applyFont="1" applyFill="1" applyBorder="1" applyAlignment="1">
      <alignment horizontal="center" vertical="center" wrapText="1"/>
    </xf>
    <xf numFmtId="0" fontId="14" fillId="9" borderId="12" xfId="1" applyFont="1" applyFill="1" applyBorder="1" applyAlignment="1">
      <alignment horizontal="center" vertical="center" wrapText="1"/>
    </xf>
    <xf numFmtId="0" fontId="14" fillId="9" borderId="14" xfId="1" applyFont="1" applyFill="1" applyBorder="1" applyAlignment="1">
      <alignment horizontal="center" vertical="center" wrapText="1"/>
    </xf>
    <xf numFmtId="0" fontId="14" fillId="9" borderId="15" xfId="1" applyFont="1" applyFill="1" applyBorder="1" applyAlignment="1">
      <alignment horizontal="center" vertical="center" wrapText="1"/>
    </xf>
    <xf numFmtId="0" fontId="14" fillId="21" borderId="13" xfId="1" applyFont="1" applyFill="1" applyBorder="1" applyAlignment="1">
      <alignment horizontal="center" vertical="center" wrapText="1"/>
    </xf>
    <xf numFmtId="0" fontId="14" fillId="21" borderId="6" xfId="1" applyFont="1" applyFill="1" applyBorder="1" applyAlignment="1">
      <alignment horizontal="center" vertical="center" wrapText="1"/>
    </xf>
    <xf numFmtId="0" fontId="14" fillId="21" borderId="16" xfId="1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14" fillId="27" borderId="3" xfId="6" applyFont="1" applyFill="1" applyBorder="1" applyAlignment="1">
      <alignment horizontal="center" vertical="center" wrapText="1"/>
    </xf>
    <xf numFmtId="0" fontId="16" fillId="28" borderId="3" xfId="6" applyFont="1" applyFill="1" applyBorder="1" applyAlignment="1">
      <alignment horizontal="center" vertical="center" wrapText="1"/>
    </xf>
    <xf numFmtId="0" fontId="16" fillId="31" borderId="17" xfId="6" applyFont="1" applyFill="1" applyBorder="1" applyAlignment="1">
      <alignment horizontal="center" vertical="center" wrapText="1"/>
    </xf>
    <xf numFmtId="0" fontId="16" fillId="31" borderId="19" xfId="6" applyFont="1" applyFill="1" applyBorder="1" applyAlignment="1">
      <alignment horizontal="center" vertical="center" wrapText="1"/>
    </xf>
    <xf numFmtId="0" fontId="16" fillId="31" borderId="20" xfId="6" applyFont="1" applyFill="1" applyBorder="1" applyAlignment="1">
      <alignment horizontal="center" vertical="center" wrapText="1"/>
    </xf>
    <xf numFmtId="0" fontId="16" fillId="33" borderId="17" xfId="6" applyFont="1" applyFill="1" applyBorder="1" applyAlignment="1">
      <alignment horizontal="center" vertical="center" wrapText="1"/>
    </xf>
    <xf numFmtId="0" fontId="16" fillId="33" borderId="19" xfId="6" applyFont="1" applyFill="1" applyBorder="1" applyAlignment="1">
      <alignment horizontal="center" vertical="center" wrapText="1"/>
    </xf>
    <xf numFmtId="0" fontId="16" fillId="33" borderId="20" xfId="6" applyFont="1" applyFill="1" applyBorder="1" applyAlignment="1">
      <alignment horizontal="center" vertical="center" wrapText="1"/>
    </xf>
    <xf numFmtId="0" fontId="14" fillId="27" borderId="21" xfId="6" applyFont="1" applyFill="1" applyBorder="1" applyAlignment="1">
      <alignment horizontal="center" vertical="center" wrapText="1"/>
    </xf>
    <xf numFmtId="0" fontId="14" fillId="27" borderId="22" xfId="6" applyFont="1" applyFill="1" applyBorder="1" applyAlignment="1">
      <alignment horizontal="center" vertical="center" wrapText="1"/>
    </xf>
    <xf numFmtId="0" fontId="14" fillId="27" borderId="28" xfId="6" applyFont="1" applyFill="1" applyBorder="1" applyAlignment="1">
      <alignment horizontal="center" vertical="center" wrapText="1"/>
    </xf>
    <xf numFmtId="0" fontId="14" fillId="27" borderId="24" xfId="6" applyFont="1" applyFill="1" applyBorder="1" applyAlignment="1">
      <alignment horizontal="center" vertical="center" wrapText="1"/>
    </xf>
    <xf numFmtId="0" fontId="14" fillId="27" borderId="25" xfId="6" applyFont="1" applyFill="1" applyBorder="1" applyAlignment="1">
      <alignment horizontal="center" vertical="center" wrapText="1"/>
    </xf>
    <xf numFmtId="0" fontId="14" fillId="27" borderId="26" xfId="6" applyFont="1" applyFill="1" applyBorder="1" applyAlignment="1">
      <alignment horizontal="center" vertical="center" wrapText="1"/>
    </xf>
    <xf numFmtId="0" fontId="16" fillId="29" borderId="17" xfId="6" applyFont="1" applyFill="1" applyBorder="1" applyAlignment="1">
      <alignment horizontal="center" vertical="center" wrapText="1"/>
    </xf>
    <xf numFmtId="0" fontId="16" fillId="29" borderId="19" xfId="6" applyFont="1" applyFill="1" applyBorder="1" applyAlignment="1">
      <alignment horizontal="center" vertical="center" wrapText="1"/>
    </xf>
    <xf numFmtId="0" fontId="16" fillId="29" borderId="20" xfId="6" applyFont="1" applyFill="1" applyBorder="1" applyAlignment="1">
      <alignment horizontal="center" vertical="center" wrapText="1"/>
    </xf>
    <xf numFmtId="0" fontId="14" fillId="34" borderId="31" xfId="5" applyFont="1" applyFill="1" applyBorder="1" applyAlignment="1">
      <alignment horizontal="center" vertical="center" wrapText="1"/>
    </xf>
    <xf numFmtId="0" fontId="14" fillId="34" borderId="30" xfId="5" applyFont="1" applyFill="1" applyBorder="1" applyAlignment="1">
      <alignment horizontal="center" vertical="center" wrapText="1"/>
    </xf>
    <xf numFmtId="0" fontId="14" fillId="35" borderId="17" xfId="6" applyFont="1" applyFill="1" applyBorder="1" applyAlignment="1">
      <alignment horizontal="center" vertical="center" wrapText="1"/>
    </xf>
    <xf numFmtId="0" fontId="14" fillId="35" borderId="20" xfId="6" applyFont="1" applyFill="1" applyBorder="1" applyAlignment="1">
      <alignment horizontal="center" vertical="center" wrapText="1"/>
    </xf>
    <xf numFmtId="0" fontId="14" fillId="35" borderId="17" xfId="5" applyFont="1" applyFill="1" applyBorder="1" applyAlignment="1">
      <alignment horizontal="center" vertical="center" wrapText="1"/>
    </xf>
    <xf numFmtId="0" fontId="14" fillId="35" borderId="20" xfId="5" applyFont="1" applyFill="1" applyBorder="1" applyAlignment="1">
      <alignment horizontal="center" vertical="center" wrapText="1"/>
    </xf>
    <xf numFmtId="0" fontId="14" fillId="34" borderId="4" xfId="5" applyFont="1" applyFill="1" applyBorder="1" applyAlignment="1">
      <alignment horizontal="center" vertical="center" wrapText="1"/>
    </xf>
    <xf numFmtId="0" fontId="14" fillId="34" borderId="7" xfId="5" applyFont="1" applyFill="1" applyBorder="1" applyAlignment="1">
      <alignment horizontal="center" vertical="center" wrapText="1"/>
    </xf>
    <xf numFmtId="0" fontId="14" fillId="34" borderId="29" xfId="5" applyFont="1" applyFill="1" applyBorder="1" applyAlignment="1">
      <alignment horizontal="center" vertical="center" wrapText="1"/>
    </xf>
    <xf numFmtId="0" fontId="14" fillId="34" borderId="12" xfId="5" applyFont="1" applyFill="1" applyBorder="1" applyAlignment="1">
      <alignment horizontal="center" vertical="center" wrapText="1"/>
    </xf>
    <xf numFmtId="0" fontId="14" fillId="34" borderId="23" xfId="5" applyFont="1" applyFill="1" applyBorder="1" applyAlignment="1">
      <alignment horizontal="center" vertical="center" wrapText="1"/>
    </xf>
    <xf numFmtId="0" fontId="14" fillId="34" borderId="13" xfId="5" applyFont="1" applyFill="1" applyBorder="1" applyAlignment="1">
      <alignment horizontal="center" vertical="center" wrapText="1"/>
    </xf>
  </cellXfs>
  <cellStyles count="10">
    <cellStyle name="Normal 2" xfId="1" xr:uid="{BCDDB25C-C7F1-4BBA-9C44-831B9BB2386D}"/>
    <cellStyle name="Normal 2 2" xfId="2" xr:uid="{FD0FB109-DF5E-4B1D-AD19-5EE50F96DB51}"/>
    <cellStyle name="Normal 2 2 2 2 2 4 2 2 2 2 2 3 2" xfId="8" xr:uid="{32216F5F-2E06-4454-88BD-35D5059D330F}"/>
    <cellStyle name="Normal 2 2 2 2 2 4 2 2 4 2" xfId="7" xr:uid="{FB4A9840-FC12-47C1-B269-19C112FC3837}"/>
    <cellStyle name="Normal 2 3" xfId="4" xr:uid="{98ED7768-36CA-4A39-A1EE-F590CA7D385F}"/>
    <cellStyle name="Normal 2 3 2" xfId="6" xr:uid="{B2E74A64-72D6-45BC-B6AA-8B332000AE1A}"/>
    <cellStyle name="Normal 2 4" xfId="5" xr:uid="{90839940-914A-4CA0-B678-318F0FDC5861}"/>
    <cellStyle name="Normal 3" xfId="3" xr:uid="{9E997528-92CE-43AA-B63D-A4685FF6B1DD}"/>
    <cellStyle name="ปกติ" xfId="0" builtinId="0"/>
    <cellStyle name="เปอร์เซ็นต์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ttapol\AppData\Local\Microsoft\Windows\Temporary%20Internet%20Files\Content.Outlook\JVJC9ZIF\Pending%20c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 Contact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uangdao Thaweesriphayap" id="{688516F4-FCDC-41FF-A36B-9358853A69C6}" userId="S::duangdao.t@forth.co.th::51cafbc7-ffdc-42a5-8288-e91fba92c612" providerId="AD"/>
  <person displayName="nsddopa2@forthcorp.onmicrosoft.com" id="{5D1F49EC-3DFF-4108-BD23-0E2312B60A6C}" userId="S::nsddopa2@forthcorp.onmicrosoft.com::0867f9ba-7482-43e7-a23f-c7b0f433e5fc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4" dT="2026-03-20T04:15:07.52" personId="{688516F4-FCDC-41FF-A36B-9358853A69C6}" id="{E0C00D32-7455-4D9A-BA83-6EC62E834EE9}">
    <text>ขอข้อมูลเพิ่มเติม ยืนยันสถานที่ติดตั้งอีกครั้ง</text>
  </threadedComment>
  <threadedComment ref="M17" dT="2026-03-12T15:19:47.49" personId="{5D1F49EC-3DFF-4108-BD23-0E2312B60A6C}" id="{92893064-A841-40AA-908E-381FDF53399D}">
    <text>หมดวาระ ไม่มีศลป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3" dT="2026-03-20T04:00:33.98" personId="{688516F4-FCDC-41FF-A36B-9358853A69C6}" id="{5E136398-04AB-45EF-B053-30C1E17C43BB}">
    <text>F สนับสนุนการซื้อมิเตอร์ไฟฟ้าเอง + ทำหนังสือยินยอมให้จนท.ไฟฟ้าเข้าไปจดหน่วยการใช้</text>
  </threadedComment>
  <threadedComment ref="AU77" dT="2026-03-06T10:57:56.59" personId="{5D1F49EC-3DFF-4108-BD23-0E2312B60A6C}" id="{CE283E81-DA9D-45EA-815C-61C06979A074}">
    <text>6 กย 69</text>
  </threadedComment>
  <threadedComment ref="B106" dT="2026-03-09T14:17:35.56" personId="{5D1F49EC-3DFF-4108-BD23-0E2312B60A6C}" id="{AE3BCF7F-51C9-4C4D-9427-40B862FDBD9A}">
    <text>9 เดือน</text>
  </threadedComment>
  <threadedComment ref="O162" dT="2026-02-20T06:36:17.85" personId="{5D1F49EC-3DFF-4108-BD23-0E2312B60A6C}" id="{49D2E417-66D4-4084-8C3F-9ED0811CA7F0}">
    <text>เดิม 8.250169</text>
  </threadedComment>
  <threadedComment ref="P162" dT="2026-02-20T06:36:36.16" personId="{5D1F49EC-3DFF-4108-BD23-0E2312B60A6C}" id="{8AA0780F-37FB-4D88-B8ED-6B9293593F12}">
    <text>เดิม 100.270668</text>
  </threadedComment>
  <threadedComment ref="O163" dT="2026-02-20T06:38:47.42" personId="{5D1F49EC-3DFF-4108-BD23-0E2312B60A6C}" id="{D697674F-C926-4C4A-8720-D1B1EDDA34AB}">
    <text>ใช้พิกัดเดิม แค่เลื่อนจุดตต.นิดเดียว</text>
  </threadedComment>
  <threadedComment ref="P163" dT="2026-02-20T06:39:01.08" personId="{5D1F49EC-3DFF-4108-BD23-0E2312B60A6C}" id="{1FBC164E-D485-4354-A5B3-D3D73230B4C6}">
    <text>ใช้พิกัดเดิม แค่เลื่อนจุดตต.นิดเดียว</text>
  </threadedComment>
  <threadedComment ref="H170" dT="2026-03-27T05:23:56.75" personId="{688516F4-FCDC-41FF-A36B-9358853A69C6}" id="{ED1A2D35-7508-4453-BAFC-71F04CDF45C5}">
    <text>เดิม 60/1 และกำนันแจ้งว่าบอกผิดไปจึงขอให้แก้ไข
เป็น เลขที่ 99</text>
  </threadedComment>
  <threadedComment ref="O170" dT="2026-02-20T06:40:11.93" personId="{5D1F49EC-3DFF-4108-BD23-0E2312B60A6C}" id="{D221A58E-E9E2-44FE-B9F0-83C6C9AE0F36}">
    <text>เดิม8.144319</text>
  </threadedComment>
  <threadedComment ref="P170" dT="2026-02-20T06:40:24.95" personId="{5D1F49EC-3DFF-4108-BD23-0E2312B60A6C}" id="{85B2CD13-BEED-45FC-91B1-EFEF582E4F1A}">
    <text>100.268917</text>
  </threadedComment>
  <threadedComment ref="AU184" dT="2026-03-06T10:56:40.50" personId="{5D1F49EC-3DFF-4108-BD23-0E2312B60A6C}" id="{6B4B8E43-3B9D-40F7-9700-3A7438FF3C67}">
    <text>2 กค 69</text>
  </threadedComment>
  <threadedComment ref="C189" dT="2026-03-20T04:01:10.10" personId="{688516F4-FCDC-41FF-A36B-9358853A69C6}" id="{E26C635F-2A14-4B03-A18C-11033B4FC15D}">
    <text>F สนับสนุนการซื้อมิเตอร์ไฟฟ้าเอง และทำหนังสือยินยอมให้จนท.ไฟฟ้าเข้าไปจดหน่วยการใช้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21" dT="2026-03-20T04:00:33.98" personId="{688516F4-FCDC-41FF-A36B-9358853A69C6}" id="{B0080EA6-2E29-40DE-A697-FA9550366C3E}">
    <text>F สนับสนุนการซื้อมิเตอร์ไฟฟ้าเอง + ทำหนังสือยินยอมให้จนท.ไฟฟ้าเข้าไปจดหน่วยการใช้</text>
  </threadedComment>
  <threadedComment ref="C36" dT="2026-03-20T04:01:10.10" personId="{688516F4-FCDC-41FF-A36B-9358853A69C6}" id="{EDB045AB-149C-4283-A943-E3C858CEF667}">
    <text>F สนับสนุนการซื้อมิเตอร์ไฟฟ้าเอง และทำหนังสือยินยอมให้จนท.ไฟฟ้าเข้าไปจดหน่วยการใช้</text>
  </threadedComment>
  <threadedComment ref="B120" dT="2026-03-09T14:17:35.56" personId="{5D1F49EC-3DFF-4108-BD23-0E2312B60A6C}" id="{59CDA613-5F59-4703-A672-6AF52B2DB7B2}">
    <text>9 เดือน</text>
  </threadedComment>
  <threadedComment ref="J149" dT="2026-02-20T06:36:17.85" personId="{5D1F49EC-3DFF-4108-BD23-0E2312B60A6C}" id="{CD71110C-38B8-43F2-B973-87F5299E0B70}">
    <text>เดิม 8.250169</text>
  </threadedComment>
  <threadedComment ref="K149" dT="2026-02-20T06:36:36.16" personId="{5D1F49EC-3DFF-4108-BD23-0E2312B60A6C}" id="{3AA90A00-366E-44DA-A677-C2A4E13F498C}">
    <text>เดิม 100.270668</text>
  </threadedComment>
  <threadedComment ref="J150" dT="2026-02-20T06:38:47.42" personId="{5D1F49EC-3DFF-4108-BD23-0E2312B60A6C}" id="{3EF8EBBB-6608-4FCB-A94A-8F15BCEA17E1}">
    <text>ใช้พิกัดเดิม แค่เลื่อนจุดตต.นิดเดียว</text>
  </threadedComment>
  <threadedComment ref="K150" dT="2026-02-20T06:39:01.08" personId="{5D1F49EC-3DFF-4108-BD23-0E2312B60A6C}" id="{484F6C99-2B7D-49F4-9A3A-C9F22372E21A}">
    <text>ใช้พิกัดเดิม แค่เลื่อนจุดตต.นิดเดียว</text>
  </threadedComment>
  <threadedComment ref="G157" dT="2026-03-27T05:23:56.75" personId="{688516F4-FCDC-41FF-A36B-9358853A69C6}" id="{3A5BE590-5B50-460C-B20A-F15EA7B715EE}">
    <text>เดิม 60/1 และกำนันแจ้งว่าบอกผิดไปจึงขอให้แก้ไข
เป็น เลขที่ 99</text>
  </threadedComment>
  <threadedComment ref="J157" dT="2026-02-20T06:40:11.93" personId="{5D1F49EC-3DFF-4108-BD23-0E2312B60A6C}" id="{AB272520-35FA-4E0C-B6CD-E32245107591}">
    <text>เดิม8.144319</text>
  </threadedComment>
  <threadedComment ref="K157" dT="2026-02-20T06:40:24.95" personId="{5D1F49EC-3DFF-4108-BD23-0E2312B60A6C}" id="{A9CB0553-1044-4A1E-A499-FCE9748F8993}">
    <text>100.268917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B310-71B2-4ADC-AF7D-870B0F736F10}">
  <sheetPr codeName="Sheet1">
    <tabColor theme="6" tint="0.79998168889431442"/>
    <pageSetUpPr fitToPage="1"/>
  </sheetPr>
  <dimension ref="A1:AH39"/>
  <sheetViews>
    <sheetView view="pageBreakPreview" zoomScale="60" zoomScaleNormal="50" workbookViewId="0">
      <selection activeCell="H11" sqref="H11"/>
    </sheetView>
  </sheetViews>
  <sheetFormatPr defaultColWidth="8.6640625" defaultRowHeight="32.6" x14ac:dyDescent="0.8"/>
  <cols>
    <col min="1" max="1" width="7.88671875" style="35" bestFit="1" customWidth="1"/>
    <col min="2" max="2" width="32.5546875" style="35" bestFit="1" customWidth="1"/>
    <col min="3" max="3" width="10.88671875" style="35" bestFit="1" customWidth="1"/>
    <col min="4" max="4" width="11.21875" style="35" customWidth="1"/>
    <col min="5" max="5" width="11.44140625" style="35" customWidth="1"/>
    <col min="6" max="6" width="11.21875" style="35" customWidth="1"/>
    <col min="7" max="7" width="16.21875" style="35" bestFit="1" customWidth="1"/>
    <col min="8" max="8" width="24.21875" style="35" bestFit="1" customWidth="1"/>
    <col min="9" max="10" width="12.21875" style="35" bestFit="1" customWidth="1"/>
    <col min="11" max="11" width="24.21875" style="35" bestFit="1" customWidth="1"/>
    <col min="12" max="13" width="12.21875" style="35" bestFit="1" customWidth="1"/>
    <col min="14" max="14" width="24.21875" style="35" bestFit="1" customWidth="1"/>
    <col min="15" max="15" width="12.21875" style="35" bestFit="1" customWidth="1"/>
    <col min="16" max="16" width="13.44140625" style="35" customWidth="1"/>
    <col min="17" max="17" width="24.21875" style="35" bestFit="1" customWidth="1"/>
    <col min="18" max="18" width="12.21875" style="35" bestFit="1" customWidth="1"/>
    <col min="19" max="19" width="15.6640625" style="35" bestFit="1" customWidth="1"/>
    <col min="20" max="20" width="8.44140625" style="35" bestFit="1" customWidth="1"/>
    <col min="21" max="21" width="19.44140625" style="35" bestFit="1" customWidth="1"/>
    <col min="22" max="22" width="9.6640625" style="35" bestFit="1" customWidth="1"/>
    <col min="23" max="23" width="8.44140625" style="35" bestFit="1" customWidth="1"/>
    <col min="24" max="24" width="19.44140625" style="35" bestFit="1" customWidth="1"/>
    <col min="25" max="25" width="9.6640625" style="35" bestFit="1" customWidth="1"/>
    <col min="26" max="26" width="8.44140625" style="35" bestFit="1" customWidth="1"/>
    <col min="27" max="27" width="20.6640625" style="35" customWidth="1"/>
    <col min="28" max="16384" width="8.6640625" style="35"/>
  </cols>
  <sheetData>
    <row r="1" spans="1:34" ht="41.45" x14ac:dyDescent="0.8">
      <c r="A1" s="180" t="s">
        <v>88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44"/>
      <c r="U1" s="44"/>
      <c r="V1" s="44"/>
      <c r="W1" s="44"/>
      <c r="X1" s="44"/>
      <c r="Y1" s="44"/>
      <c r="Z1" s="44"/>
      <c r="AA1" s="44"/>
    </row>
    <row r="2" spans="1:34" ht="41.45" x14ac:dyDescent="0.8">
      <c r="A2" s="180" t="s">
        <v>143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44"/>
      <c r="U2" s="44"/>
      <c r="V2" s="44"/>
      <c r="W2" s="44"/>
      <c r="X2" s="44"/>
      <c r="Y2" s="44"/>
      <c r="Z2" s="44"/>
      <c r="AA2" s="44"/>
    </row>
    <row r="3" spans="1:34" ht="14.95" customHeight="1" x14ac:dyDescent="0.95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77"/>
      <c r="T3" s="42"/>
      <c r="U3" s="42"/>
      <c r="V3" s="42"/>
      <c r="W3" s="42"/>
      <c r="Y3" s="42"/>
      <c r="Z3" s="42"/>
      <c r="AA3" s="43"/>
    </row>
    <row r="4" spans="1:34" ht="41.45" x14ac:dyDescent="0.8">
      <c r="A4" s="201" t="s">
        <v>479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133"/>
      <c r="S4" s="77" t="s">
        <v>504</v>
      </c>
      <c r="T4" s="44"/>
      <c r="U4" s="44"/>
      <c r="V4" s="44"/>
      <c r="W4" s="44"/>
      <c r="X4" s="44"/>
      <c r="Y4" s="44"/>
      <c r="Z4" s="44"/>
      <c r="AA4" s="44"/>
    </row>
    <row r="5" spans="1:34" x14ac:dyDescent="0.8">
      <c r="A5" s="181" t="s">
        <v>0</v>
      </c>
      <c r="B5" s="182" t="s">
        <v>378</v>
      </c>
      <c r="C5" s="181" t="s">
        <v>471</v>
      </c>
      <c r="D5" s="181"/>
      <c r="E5" s="181"/>
      <c r="F5" s="181"/>
      <c r="G5" s="181"/>
      <c r="H5" s="183" t="s">
        <v>477</v>
      </c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AA5" s="33"/>
      <c r="AB5" s="33"/>
      <c r="AC5" s="33"/>
      <c r="AD5" s="33"/>
      <c r="AE5" s="33"/>
      <c r="AF5" s="33"/>
      <c r="AG5" s="33"/>
      <c r="AH5" s="33"/>
    </row>
    <row r="6" spans="1:34" x14ac:dyDescent="0.8">
      <c r="A6" s="181"/>
      <c r="B6" s="182"/>
      <c r="C6" s="182" t="s">
        <v>91</v>
      </c>
      <c r="D6" s="187" t="s">
        <v>470</v>
      </c>
      <c r="E6" s="188"/>
      <c r="F6" s="189"/>
      <c r="G6" s="194" t="s">
        <v>81</v>
      </c>
      <c r="H6" s="183" t="s">
        <v>91</v>
      </c>
      <c r="I6" s="183"/>
      <c r="J6" s="183"/>
      <c r="K6" s="197" t="s">
        <v>470</v>
      </c>
      <c r="L6" s="198"/>
      <c r="M6" s="198"/>
      <c r="N6" s="198"/>
      <c r="O6" s="198"/>
      <c r="P6" s="198"/>
      <c r="Q6" s="198"/>
      <c r="R6" s="198"/>
      <c r="S6" s="199"/>
      <c r="AC6" s="33"/>
      <c r="AD6" s="33"/>
      <c r="AE6" s="33"/>
      <c r="AF6" s="33"/>
      <c r="AG6" s="33"/>
      <c r="AH6" s="33"/>
    </row>
    <row r="7" spans="1:34" x14ac:dyDescent="0.8">
      <c r="A7" s="181"/>
      <c r="B7" s="182"/>
      <c r="C7" s="182"/>
      <c r="D7" s="190"/>
      <c r="E7" s="191"/>
      <c r="F7" s="192"/>
      <c r="G7" s="195"/>
      <c r="H7" s="183"/>
      <c r="I7" s="183"/>
      <c r="J7" s="183"/>
      <c r="K7" s="184" t="s">
        <v>89</v>
      </c>
      <c r="L7" s="185"/>
      <c r="M7" s="186"/>
      <c r="N7" s="184" t="s">
        <v>141</v>
      </c>
      <c r="O7" s="185"/>
      <c r="P7" s="186"/>
      <c r="Q7" s="184" t="s">
        <v>90</v>
      </c>
      <c r="R7" s="185"/>
      <c r="S7" s="186"/>
      <c r="AC7" s="33"/>
      <c r="AD7" s="33"/>
      <c r="AE7" s="33"/>
      <c r="AF7" s="33"/>
      <c r="AG7" s="33"/>
      <c r="AH7" s="33"/>
    </row>
    <row r="8" spans="1:34" x14ac:dyDescent="0.8">
      <c r="A8" s="181"/>
      <c r="B8" s="182"/>
      <c r="C8" s="182"/>
      <c r="D8" s="78" t="s">
        <v>89</v>
      </c>
      <c r="E8" s="78" t="s">
        <v>141</v>
      </c>
      <c r="F8" s="78" t="s">
        <v>90</v>
      </c>
      <c r="G8" s="196"/>
      <c r="H8" s="41" t="s">
        <v>87</v>
      </c>
      <c r="I8" s="94" t="s">
        <v>142</v>
      </c>
      <c r="J8" s="41" t="s">
        <v>300</v>
      </c>
      <c r="K8" s="41" t="s">
        <v>87</v>
      </c>
      <c r="L8" s="94" t="s">
        <v>142</v>
      </c>
      <c r="M8" s="41" t="s">
        <v>300</v>
      </c>
      <c r="N8" s="41" t="s">
        <v>87</v>
      </c>
      <c r="O8" s="94" t="s">
        <v>142</v>
      </c>
      <c r="P8" s="41" t="s">
        <v>300</v>
      </c>
      <c r="Q8" s="41" t="s">
        <v>87</v>
      </c>
      <c r="R8" s="94" t="s">
        <v>142</v>
      </c>
      <c r="S8" s="41" t="s">
        <v>300</v>
      </c>
      <c r="AC8" s="33"/>
      <c r="AD8" s="33"/>
      <c r="AE8" s="33"/>
      <c r="AF8" s="33"/>
      <c r="AG8" s="33"/>
      <c r="AH8" s="33"/>
    </row>
    <row r="9" spans="1:34" x14ac:dyDescent="0.8">
      <c r="A9" s="36">
        <v>1</v>
      </c>
      <c r="B9" s="53" t="s">
        <v>18</v>
      </c>
      <c r="C9" s="37">
        <v>2</v>
      </c>
      <c r="D9" s="37">
        <v>15</v>
      </c>
      <c r="E9" s="37">
        <v>1</v>
      </c>
      <c r="F9" s="37">
        <v>0</v>
      </c>
      <c r="G9" s="38">
        <f>C9+D9+E9+F9</f>
        <v>18</v>
      </c>
      <c r="H9" s="36">
        <v>0</v>
      </c>
      <c r="I9" s="128">
        <v>2</v>
      </c>
      <c r="J9" s="109">
        <f>C9-H9-I9</f>
        <v>0</v>
      </c>
      <c r="K9" s="112">
        <v>0</v>
      </c>
      <c r="L9" s="128">
        <v>15</v>
      </c>
      <c r="M9" s="38">
        <f>D9-K9-L9</f>
        <v>0</v>
      </c>
      <c r="N9" s="36">
        <v>0</v>
      </c>
      <c r="O9" s="37">
        <v>1</v>
      </c>
      <c r="P9" s="38">
        <f>E9-N9-O9</f>
        <v>0</v>
      </c>
      <c r="Q9" s="36">
        <v>0</v>
      </c>
      <c r="R9" s="37">
        <v>0</v>
      </c>
      <c r="S9" s="38">
        <f>F9-Q9-R9</f>
        <v>0</v>
      </c>
      <c r="AC9" s="33"/>
      <c r="AD9" s="33"/>
      <c r="AE9" s="33"/>
      <c r="AF9" s="33"/>
      <c r="AG9" s="33"/>
      <c r="AH9" s="33"/>
    </row>
    <row r="10" spans="1:34" x14ac:dyDescent="0.8">
      <c r="A10" s="36">
        <v>2</v>
      </c>
      <c r="B10" s="102" t="s">
        <v>64</v>
      </c>
      <c r="C10" s="37">
        <v>0</v>
      </c>
      <c r="D10" s="37">
        <v>5</v>
      </c>
      <c r="E10" s="37">
        <v>0</v>
      </c>
      <c r="F10" s="37">
        <v>0</v>
      </c>
      <c r="G10" s="38">
        <f t="shared" ref="G10:G18" si="0">C10+D10+E10+F10</f>
        <v>5</v>
      </c>
      <c r="H10" s="36">
        <v>0</v>
      </c>
      <c r="I10" s="36">
        <v>0</v>
      </c>
      <c r="J10" s="109">
        <f t="shared" ref="J10:J18" si="1">C10-H10-I10</f>
        <v>0</v>
      </c>
      <c r="K10" s="112">
        <v>5</v>
      </c>
      <c r="L10" s="112">
        <v>0</v>
      </c>
      <c r="M10" s="38">
        <f t="shared" ref="M10:M18" si="2">D10-K10-L10</f>
        <v>0</v>
      </c>
      <c r="N10" s="36">
        <v>0</v>
      </c>
      <c r="O10" s="37">
        <v>0</v>
      </c>
      <c r="P10" s="38">
        <f t="shared" ref="P10:P18" si="3">E10-N10-O10</f>
        <v>0</v>
      </c>
      <c r="Q10" s="36">
        <v>0</v>
      </c>
      <c r="R10" s="37">
        <v>0</v>
      </c>
      <c r="S10" s="38">
        <f t="shared" ref="S10:S18" si="4">F10-Q10-R10</f>
        <v>0</v>
      </c>
      <c r="AC10" s="33"/>
      <c r="AD10" s="33"/>
      <c r="AE10" s="33"/>
      <c r="AF10" s="33"/>
      <c r="AG10" s="33"/>
      <c r="AH10" s="33"/>
    </row>
    <row r="11" spans="1:34" x14ac:dyDescent="0.8">
      <c r="A11" s="36">
        <v>3</v>
      </c>
      <c r="B11" s="55" t="s">
        <v>67</v>
      </c>
      <c r="C11" s="37">
        <v>2</v>
      </c>
      <c r="D11" s="37">
        <v>4</v>
      </c>
      <c r="E11" s="37">
        <v>0</v>
      </c>
      <c r="F11" s="37">
        <v>0</v>
      </c>
      <c r="G11" s="38">
        <f t="shared" si="0"/>
        <v>6</v>
      </c>
      <c r="H11" s="36">
        <v>0</v>
      </c>
      <c r="I11" s="128">
        <v>2</v>
      </c>
      <c r="J11" s="109">
        <f t="shared" si="1"/>
        <v>0</v>
      </c>
      <c r="K11" s="112">
        <v>0</v>
      </c>
      <c r="L11" s="128">
        <v>4</v>
      </c>
      <c r="M11" s="38">
        <f t="shared" si="2"/>
        <v>0</v>
      </c>
      <c r="N11" s="36">
        <v>0</v>
      </c>
      <c r="O11" s="37">
        <v>0</v>
      </c>
      <c r="P11" s="38">
        <f t="shared" si="3"/>
        <v>0</v>
      </c>
      <c r="Q11" s="36">
        <v>0</v>
      </c>
      <c r="R11" s="37">
        <v>0</v>
      </c>
      <c r="S11" s="38">
        <f t="shared" si="4"/>
        <v>0</v>
      </c>
      <c r="AC11" s="33"/>
      <c r="AD11" s="33"/>
      <c r="AE11" s="33"/>
      <c r="AF11" s="33"/>
      <c r="AG11" s="33"/>
      <c r="AH11" s="33"/>
    </row>
    <row r="12" spans="1:34" x14ac:dyDescent="0.8">
      <c r="A12" s="36">
        <v>4</v>
      </c>
      <c r="B12" s="93" t="s">
        <v>70</v>
      </c>
      <c r="C12" s="37">
        <v>0</v>
      </c>
      <c r="D12" s="37">
        <v>20</v>
      </c>
      <c r="E12" s="37">
        <v>1</v>
      </c>
      <c r="F12" s="37">
        <v>1</v>
      </c>
      <c r="G12" s="38">
        <f t="shared" si="0"/>
        <v>22</v>
      </c>
      <c r="H12" s="36">
        <v>0</v>
      </c>
      <c r="I12" s="36">
        <v>0</v>
      </c>
      <c r="J12" s="109">
        <f t="shared" si="1"/>
        <v>0</v>
      </c>
      <c r="K12" s="112">
        <v>0</v>
      </c>
      <c r="L12" s="128">
        <v>20</v>
      </c>
      <c r="M12" s="38">
        <f t="shared" si="2"/>
        <v>0</v>
      </c>
      <c r="N12" s="36">
        <v>0</v>
      </c>
      <c r="O12" s="37">
        <v>1</v>
      </c>
      <c r="P12" s="38">
        <f t="shared" si="3"/>
        <v>0</v>
      </c>
      <c r="Q12" s="36">
        <v>0</v>
      </c>
      <c r="R12" s="37">
        <v>1</v>
      </c>
      <c r="S12" s="38">
        <f t="shared" si="4"/>
        <v>0</v>
      </c>
      <c r="AC12" s="33"/>
      <c r="AD12" s="33"/>
      <c r="AE12" s="33"/>
      <c r="AF12" s="33"/>
      <c r="AG12" s="33"/>
      <c r="AH12" s="33"/>
    </row>
    <row r="13" spans="1:34" x14ac:dyDescent="0.8">
      <c r="A13" s="36">
        <v>5</v>
      </c>
      <c r="B13" s="55" t="s">
        <v>25</v>
      </c>
      <c r="C13" s="37">
        <v>2</v>
      </c>
      <c r="D13" s="37">
        <v>26</v>
      </c>
      <c r="E13" s="37">
        <v>1</v>
      </c>
      <c r="F13" s="37">
        <v>0</v>
      </c>
      <c r="G13" s="38">
        <f t="shared" si="0"/>
        <v>29</v>
      </c>
      <c r="H13" s="36">
        <v>0</v>
      </c>
      <c r="I13" s="128">
        <v>2</v>
      </c>
      <c r="J13" s="109">
        <f t="shared" si="1"/>
        <v>0</v>
      </c>
      <c r="K13" s="112">
        <v>0</v>
      </c>
      <c r="L13" s="128">
        <v>26</v>
      </c>
      <c r="M13" s="38">
        <f t="shared" si="2"/>
        <v>0</v>
      </c>
      <c r="N13" s="36">
        <v>0</v>
      </c>
      <c r="O13" s="37">
        <v>1</v>
      </c>
      <c r="P13" s="38">
        <f t="shared" si="3"/>
        <v>0</v>
      </c>
      <c r="Q13" s="36">
        <v>0</v>
      </c>
      <c r="R13" s="37">
        <v>0</v>
      </c>
      <c r="S13" s="38">
        <f t="shared" si="4"/>
        <v>0</v>
      </c>
      <c r="AC13" s="33"/>
      <c r="AD13" s="33"/>
      <c r="AE13" s="33"/>
      <c r="AF13" s="33"/>
      <c r="AG13" s="33"/>
      <c r="AH13" s="33"/>
    </row>
    <row r="14" spans="1:34" x14ac:dyDescent="0.8">
      <c r="A14" s="36">
        <v>6</v>
      </c>
      <c r="B14" s="55" t="s">
        <v>48</v>
      </c>
      <c r="C14" s="37">
        <v>2</v>
      </c>
      <c r="D14" s="37">
        <v>22</v>
      </c>
      <c r="E14" s="37">
        <v>2</v>
      </c>
      <c r="F14" s="37">
        <v>0</v>
      </c>
      <c r="G14" s="38">
        <f t="shared" si="0"/>
        <v>26</v>
      </c>
      <c r="H14" s="36">
        <v>0</v>
      </c>
      <c r="I14" s="128">
        <v>2</v>
      </c>
      <c r="J14" s="109">
        <f t="shared" si="1"/>
        <v>0</v>
      </c>
      <c r="K14" s="112">
        <v>0</v>
      </c>
      <c r="L14" s="128">
        <v>22</v>
      </c>
      <c r="M14" s="38">
        <f t="shared" si="2"/>
        <v>0</v>
      </c>
      <c r="N14" s="36">
        <v>0</v>
      </c>
      <c r="O14" s="37">
        <v>2</v>
      </c>
      <c r="P14" s="38">
        <f t="shared" si="3"/>
        <v>0</v>
      </c>
      <c r="Q14" s="36">
        <v>0</v>
      </c>
      <c r="R14" s="37">
        <v>0</v>
      </c>
      <c r="S14" s="38">
        <f t="shared" si="4"/>
        <v>0</v>
      </c>
      <c r="AC14" s="33"/>
      <c r="AD14" s="33"/>
      <c r="AE14" s="33"/>
      <c r="AF14" s="33"/>
      <c r="AG14" s="33"/>
      <c r="AH14" s="33"/>
    </row>
    <row r="15" spans="1:34" x14ac:dyDescent="0.8">
      <c r="A15" s="36">
        <v>7</v>
      </c>
      <c r="B15" s="55" t="s">
        <v>33</v>
      </c>
      <c r="C15" s="37">
        <v>2</v>
      </c>
      <c r="D15" s="37">
        <v>14</v>
      </c>
      <c r="E15" s="37">
        <v>2</v>
      </c>
      <c r="F15" s="37">
        <v>0</v>
      </c>
      <c r="G15" s="38">
        <f t="shared" si="0"/>
        <v>18</v>
      </c>
      <c r="H15" s="36">
        <v>0</v>
      </c>
      <c r="I15" s="128">
        <v>2</v>
      </c>
      <c r="J15" s="109">
        <f t="shared" si="1"/>
        <v>0</v>
      </c>
      <c r="K15" s="112">
        <v>0</v>
      </c>
      <c r="L15" s="128">
        <v>14</v>
      </c>
      <c r="M15" s="38">
        <f t="shared" si="2"/>
        <v>0</v>
      </c>
      <c r="N15" s="36">
        <v>0</v>
      </c>
      <c r="O15" s="37">
        <v>2</v>
      </c>
      <c r="P15" s="38">
        <f t="shared" si="3"/>
        <v>0</v>
      </c>
      <c r="Q15" s="36">
        <v>0</v>
      </c>
      <c r="R15" s="37">
        <v>0</v>
      </c>
      <c r="S15" s="38">
        <f t="shared" si="4"/>
        <v>0</v>
      </c>
      <c r="AC15" s="33"/>
      <c r="AD15" s="33"/>
      <c r="AE15" s="33"/>
      <c r="AF15" s="33"/>
      <c r="AG15" s="33"/>
      <c r="AH15" s="33"/>
    </row>
    <row r="16" spans="1:34" x14ac:dyDescent="0.8">
      <c r="A16" s="36">
        <v>8</v>
      </c>
      <c r="B16" s="46" t="s">
        <v>10</v>
      </c>
      <c r="C16" s="37">
        <v>2</v>
      </c>
      <c r="D16" s="37">
        <v>29</v>
      </c>
      <c r="E16" s="37">
        <v>1</v>
      </c>
      <c r="F16" s="37">
        <v>0</v>
      </c>
      <c r="G16" s="38">
        <f t="shared" si="0"/>
        <v>32</v>
      </c>
      <c r="H16" s="36">
        <v>0</v>
      </c>
      <c r="I16" s="129">
        <v>2</v>
      </c>
      <c r="J16" s="109">
        <f t="shared" si="1"/>
        <v>0</v>
      </c>
      <c r="K16" s="112">
        <v>0</v>
      </c>
      <c r="L16" s="128">
        <v>29</v>
      </c>
      <c r="M16" s="38">
        <f t="shared" si="2"/>
        <v>0</v>
      </c>
      <c r="N16" s="36">
        <v>0</v>
      </c>
      <c r="O16" s="37">
        <v>1</v>
      </c>
      <c r="P16" s="38">
        <f t="shared" si="3"/>
        <v>0</v>
      </c>
      <c r="Q16" s="36">
        <v>0</v>
      </c>
      <c r="R16" s="37">
        <v>0</v>
      </c>
      <c r="S16" s="38">
        <f t="shared" si="4"/>
        <v>0</v>
      </c>
      <c r="AC16" s="33"/>
      <c r="AD16" s="33"/>
      <c r="AE16" s="33"/>
      <c r="AF16" s="33"/>
      <c r="AG16" s="33"/>
      <c r="AH16" s="33"/>
    </row>
    <row r="17" spans="1:34" x14ac:dyDescent="0.8">
      <c r="A17" s="36">
        <v>9</v>
      </c>
      <c r="B17" s="55" t="s">
        <v>40</v>
      </c>
      <c r="C17" s="37">
        <v>2</v>
      </c>
      <c r="D17" s="37">
        <v>14</v>
      </c>
      <c r="E17" s="37">
        <v>1</v>
      </c>
      <c r="F17" s="37">
        <v>2</v>
      </c>
      <c r="G17" s="38">
        <f t="shared" si="0"/>
        <v>19</v>
      </c>
      <c r="H17" s="36">
        <v>1</v>
      </c>
      <c r="I17" s="36">
        <v>1</v>
      </c>
      <c r="J17" s="109">
        <f t="shared" si="1"/>
        <v>0</v>
      </c>
      <c r="K17" s="112">
        <v>0</v>
      </c>
      <c r="L17" s="112">
        <v>13</v>
      </c>
      <c r="M17" s="38">
        <f t="shared" si="2"/>
        <v>1</v>
      </c>
      <c r="N17" s="36">
        <v>0</v>
      </c>
      <c r="O17" s="37">
        <v>1</v>
      </c>
      <c r="P17" s="38">
        <f t="shared" si="3"/>
        <v>0</v>
      </c>
      <c r="Q17" s="36">
        <v>0</v>
      </c>
      <c r="R17" s="37">
        <v>2</v>
      </c>
      <c r="S17" s="38">
        <f t="shared" si="4"/>
        <v>0</v>
      </c>
      <c r="AC17" s="33"/>
      <c r="AD17" s="33"/>
      <c r="AE17" s="33"/>
      <c r="AF17" s="33"/>
      <c r="AG17" s="33"/>
      <c r="AH17" s="33"/>
    </row>
    <row r="18" spans="1:34" x14ac:dyDescent="0.8">
      <c r="A18" s="36">
        <v>10</v>
      </c>
      <c r="B18" s="55" t="s">
        <v>497</v>
      </c>
      <c r="C18" s="37">
        <v>2</v>
      </c>
      <c r="D18" s="37">
        <v>20</v>
      </c>
      <c r="E18" s="37">
        <v>0</v>
      </c>
      <c r="F18" s="37">
        <v>0</v>
      </c>
      <c r="G18" s="38">
        <f t="shared" si="0"/>
        <v>22</v>
      </c>
      <c r="H18" s="36">
        <v>0</v>
      </c>
      <c r="I18" s="36">
        <v>1</v>
      </c>
      <c r="J18" s="109">
        <f t="shared" si="1"/>
        <v>1</v>
      </c>
      <c r="K18" s="112">
        <v>16</v>
      </c>
      <c r="L18" s="112">
        <v>4</v>
      </c>
      <c r="M18" s="38">
        <f t="shared" si="2"/>
        <v>0</v>
      </c>
      <c r="N18" s="36">
        <v>0</v>
      </c>
      <c r="O18" s="37">
        <v>0</v>
      </c>
      <c r="P18" s="38">
        <f t="shared" si="3"/>
        <v>0</v>
      </c>
      <c r="Q18" s="36">
        <v>0</v>
      </c>
      <c r="R18" s="37">
        <v>0</v>
      </c>
      <c r="S18" s="38">
        <f t="shared" si="4"/>
        <v>0</v>
      </c>
      <c r="AC18" s="33"/>
      <c r="AD18" s="33"/>
      <c r="AE18" s="33"/>
      <c r="AF18" s="33"/>
      <c r="AG18" s="33"/>
      <c r="AH18" s="33"/>
    </row>
    <row r="19" spans="1:34" x14ac:dyDescent="0.8">
      <c r="A19" s="200" t="s">
        <v>75</v>
      </c>
      <c r="B19" s="200"/>
      <c r="C19" s="110">
        <f>SUM(C9:C18)</f>
        <v>16</v>
      </c>
      <c r="D19" s="110">
        <f t="shared" ref="D19:G19" si="5">SUM(D9:D18)</f>
        <v>169</v>
      </c>
      <c r="E19" s="110">
        <f t="shared" si="5"/>
        <v>9</v>
      </c>
      <c r="F19" s="110">
        <f t="shared" si="5"/>
        <v>3</v>
      </c>
      <c r="G19" s="110">
        <f t="shared" si="5"/>
        <v>197</v>
      </c>
      <c r="H19" s="110">
        <f t="shared" ref="H19" si="6">SUM(H9:H18)</f>
        <v>1</v>
      </c>
      <c r="I19" s="110">
        <f t="shared" ref="I19" si="7">SUM(I9:I18)</f>
        <v>14</v>
      </c>
      <c r="J19" s="110">
        <f t="shared" ref="J19" si="8">SUM(J9:J18)</f>
        <v>1</v>
      </c>
      <c r="K19" s="110">
        <f t="shared" ref="K19" si="9">SUM(K9:K18)</f>
        <v>21</v>
      </c>
      <c r="L19" s="110">
        <f t="shared" ref="L19" si="10">SUM(L9:L18)</f>
        <v>147</v>
      </c>
      <c r="M19" s="110">
        <f t="shared" ref="M19" si="11">SUM(M9:M18)</f>
        <v>1</v>
      </c>
      <c r="N19" s="110">
        <f t="shared" ref="N19" si="12">SUM(N9:N18)</f>
        <v>0</v>
      </c>
      <c r="O19" s="111">
        <f t="shared" ref="O19" si="13">SUM(O9:O18)</f>
        <v>9</v>
      </c>
      <c r="P19" s="110">
        <f t="shared" ref="P19" si="14">SUM(P9:P18)</f>
        <v>0</v>
      </c>
      <c r="Q19" s="110">
        <f t="shared" ref="Q19" si="15">SUM(Q9:Q18)</f>
        <v>0</v>
      </c>
      <c r="R19" s="111">
        <f t="shared" ref="R19" si="16">SUM(R9:R18)</f>
        <v>3</v>
      </c>
      <c r="S19" s="110">
        <f t="shared" ref="S19" si="17">SUM(S9:S18)</f>
        <v>0</v>
      </c>
      <c r="AC19" s="33"/>
      <c r="AD19" s="33"/>
      <c r="AE19" s="33"/>
      <c r="AF19" s="33"/>
      <c r="AG19" s="33"/>
      <c r="AH19" s="33"/>
    </row>
    <row r="20" spans="1:34" ht="22.25" customHeight="1" x14ac:dyDescent="0.8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AC20" s="33"/>
      <c r="AD20" s="33"/>
      <c r="AE20" s="33"/>
      <c r="AF20" s="33"/>
      <c r="AG20" s="33"/>
      <c r="AH20" s="33"/>
    </row>
    <row r="21" spans="1:34" ht="32.450000000000003" customHeight="1" x14ac:dyDescent="0.8">
      <c r="B21" s="88" t="s">
        <v>406</v>
      </c>
      <c r="C21" s="193" t="s">
        <v>478</v>
      </c>
      <c r="D21" s="193"/>
      <c r="E21" s="193"/>
      <c r="F21" s="193"/>
      <c r="N21" s="35" t="s">
        <v>491</v>
      </c>
      <c r="O21" s="35">
        <v>16</v>
      </c>
      <c r="P21" s="35">
        <v>14</v>
      </c>
      <c r="Q21" s="118">
        <f>P21/O21</f>
        <v>0.875</v>
      </c>
      <c r="R21" s="35" t="s">
        <v>493</v>
      </c>
    </row>
    <row r="22" spans="1:34" x14ac:dyDescent="0.8">
      <c r="B22" s="89" t="s">
        <v>86</v>
      </c>
      <c r="C22" s="88" t="s">
        <v>91</v>
      </c>
      <c r="D22" s="88" t="s">
        <v>89</v>
      </c>
      <c r="E22" s="88" t="s">
        <v>141</v>
      </c>
      <c r="F22" s="88" t="s">
        <v>90</v>
      </c>
      <c r="P22" s="117">
        <f>J19</f>
        <v>1</v>
      </c>
      <c r="Q22" s="118">
        <f>P22/O21</f>
        <v>6.25E-2</v>
      </c>
      <c r="R22" s="35" t="s">
        <v>495</v>
      </c>
    </row>
    <row r="23" spans="1:34" x14ac:dyDescent="0.8">
      <c r="B23" s="74" t="s">
        <v>407</v>
      </c>
      <c r="C23" s="36">
        <v>8</v>
      </c>
      <c r="D23" s="36" t="str">
        <f>IF(
    COUNTIFS('เสา 9,18,30'!$H$10:$H$189, B23,
             'เสา 9,18,30'!$M$10:$M$189, "9")=0,
    "",
    COUNTIFS('เสา 9,18,30'!$H$10:$H$189, B23,
             'เสา 9,18,30'!$M$10:$M$189, "9")
)</f>
        <v/>
      </c>
      <c r="E23" s="36" t="str">
        <f>IF(
    COUNTIFS('เสา 9,18,30'!$H$10:$H$189, B23,
             'เสา 9,18,30'!$M$10:$M$189, "18")=0,
    "",
    COUNTIFS('เสา 9,18,30'!$H$10:$H$189, B23,
             'เสา 9,18,30'!$M$10:$M$189, "18")
)</f>
        <v/>
      </c>
      <c r="F23" s="36" t="str">
        <f>IF(
    COUNTIFS('เสา 9,18,30'!$H$10:$H$189,B23,
             'เสา 9,18,30'!$M$10:$M$189,"30")=0,
    "",
    COUNTIFS('เสา 9,18,30'!$H$10:$H$189,B23,
             'เสา 9,18,30'!$M$10:$M$189,"30")
)</f>
        <v/>
      </c>
      <c r="N23" s="35" t="s">
        <v>501</v>
      </c>
      <c r="O23" s="35">
        <v>181</v>
      </c>
      <c r="P23" s="117">
        <f>L19+O19+R19</f>
        <v>159</v>
      </c>
      <c r="Q23" s="119">
        <f>P23/O23</f>
        <v>0.87845303867403313</v>
      </c>
      <c r="R23" s="35" t="s">
        <v>493</v>
      </c>
    </row>
    <row r="24" spans="1:34" x14ac:dyDescent="0.8">
      <c r="B24" s="56" t="s">
        <v>408</v>
      </c>
      <c r="C24" s="36">
        <f>IF(
    SUM(COUNTIFS('เสา 60'!$H$10:$H$23,B24))=0,
    "",
    SUM(COUNTIFS('เสา 60'!$H$10:$H$23,B24))
)</f>
        <v>4</v>
      </c>
      <c r="D24" s="36" t="str">
        <f>IF(
    COUNTIFS('เสา 9,18,30'!$H$10:$H$189, B24,
             'เสา 9,18,30'!$M$10:$M$189, "9")=0,
    "",
    COUNTIFS('เสา 9,18,30'!$H$10:$H$189, B24,
             'เสา 9,18,30'!$M$10:$M$189, "9")
)</f>
        <v/>
      </c>
      <c r="E24" s="36" t="str">
        <f>IF(
    COUNTIFS('เสา 9,18,30'!$H$10:$H$189, B24,
             'เสา 9,18,30'!$M$10:$M$189, "18")=0,
    "",
    COUNTIFS('เสา 9,18,30'!$H$10:$H$189, B24,
             'เสา 9,18,30'!$M$10:$M$189, "18")
)</f>
        <v/>
      </c>
      <c r="F24" s="36" t="str">
        <f>IF(
    COUNTIFS('เสา 9,18,30'!$H$10:$H$189,B24,
             'เสา 9,18,30'!$M$10:$M$189,"30")=0,
    "",
    COUNTIFS('เสา 9,18,30'!$H$10:$H$189,B24,
             'เสา 9,18,30'!$M$10:$M$189,"30")
)</f>
        <v/>
      </c>
      <c r="P24" s="117">
        <f>K19</f>
        <v>21</v>
      </c>
      <c r="Q24" s="119">
        <f>P24/O23</f>
        <v>0.11602209944751381</v>
      </c>
      <c r="R24" s="35" t="s">
        <v>494</v>
      </c>
    </row>
    <row r="25" spans="1:34" x14ac:dyDescent="0.8">
      <c r="B25" s="56" t="s">
        <v>409</v>
      </c>
      <c r="C25" s="36">
        <f>IF(
    SUM(COUNTIFS('เสา 60'!$H$10:$H$23,B25))=0,
    "",
    SUM(COUNTIFS('เสา 60'!$H$10:$H$23,B25))
)</f>
        <v>1</v>
      </c>
      <c r="D25" s="36" t="str">
        <f>IF(
    COUNTIFS('เสา 9,18,30'!$H$10:$H$189, B25,
             'เสา 9,18,30'!$M$10:$M$189, "9")=0,
    "",
    COUNTIFS('เสา 9,18,30'!$H$10:$H$189, B25,
             'เสา 9,18,30'!$M$10:$M$189, "9")
)</f>
        <v/>
      </c>
      <c r="E25" s="36"/>
      <c r="F25" s="36" t="str">
        <f>IF(
    COUNTIFS('เสา 9,18,30'!$H$10:$H$189,B25,
             'เสา 9,18,30'!$M$10:$M$189,"30")=0,
    "",
    COUNTIFS('เสา 9,18,30'!$H$10:$H$189,B25,
             'เสา 9,18,30'!$M$10:$M$189,"30")
)</f>
        <v/>
      </c>
      <c r="P25" s="117">
        <f>M19</f>
        <v>1</v>
      </c>
      <c r="Q25" s="119">
        <f>P25/O23</f>
        <v>5.5248618784530384E-3</v>
      </c>
      <c r="R25" s="35" t="s">
        <v>495</v>
      </c>
    </row>
    <row r="26" spans="1:34" x14ac:dyDescent="0.8">
      <c r="B26" s="74" t="s">
        <v>304</v>
      </c>
      <c r="C26" s="36">
        <f>IF(
    SUM(COUNTIFS('เสา 60'!$H$10:$H$23,B26))=0,
    "",
    SUM(COUNTIFS('เสา 60'!$H$10:$H$23,B26))
)</f>
        <v>1</v>
      </c>
      <c r="D26" s="36">
        <v>8</v>
      </c>
      <c r="E26" s="36">
        <f>IF(
    COUNTIFS('เสา 9,18,30'!$H$10:$H$189, B26,
             'เสา 9,18,30'!$M$10:$M$189, "18")=0,
    "",
    COUNTIFS('เสา 9,18,30'!$H$10:$H$189, B26,
             'เสา 9,18,30'!$M$10:$M$189, "18")
)</f>
        <v>3</v>
      </c>
      <c r="F26" s="36" t="str">
        <f>IF(
    COUNTIFS('เสา 9,18,30'!$H$10:$H$189,B26,
             'เสา 9,18,30'!$M$10:$M$189,"30")=0,
    "",
    COUNTIFS('เสา 9,18,30'!$H$10:$H$189,B26,
             'เสา 9,18,30'!$M$10:$M$189,"30")
)</f>
        <v/>
      </c>
    </row>
    <row r="27" spans="1:34" x14ac:dyDescent="0.8">
      <c r="B27" s="74" t="s">
        <v>410</v>
      </c>
      <c r="C27" s="36">
        <f>IF(
    SUM(COUNTIFS('เสา 60'!$H$10:$H$23,B27))=0,
    "",
    SUM(COUNTIFS('เสา 60'!$H$10:$H$23,B27))
)</f>
        <v>1</v>
      </c>
      <c r="D27" s="36" t="str">
        <f>IF(
    COUNTIFS('เสา 9,18,30'!$H$10:$H$189, B27,
             'เสา 9,18,30'!$M$10:$M$189, "9")=0,
    "",
    COUNTIFS('เสา 9,18,30'!$H$10:$H$189, B27,
             'เสา 9,18,30'!$M$10:$M$189, "9")
)</f>
        <v/>
      </c>
      <c r="E27" s="36" t="str">
        <f>IF(
    COUNTIFS('เสา 9,18,30'!$H$10:$H$189, B27,
             'เสา 9,18,30'!$M$10:$M$189, "18")=0,
    "",
    COUNTIFS('เสา 9,18,30'!$H$10:$H$189, B27,
             'เสา 9,18,30'!$M$10:$M$189, "18")
)</f>
        <v/>
      </c>
      <c r="F27" s="36" t="str">
        <f>IF(
    COUNTIFS('เสา 9,18,30'!$H$10:$H$189,B27,
             'เสา 9,18,30'!$M$10:$M$189,"30")=0,
    "",
    COUNTIFS('เสา 9,18,30'!$H$10:$H$189,B27,
             'เสา 9,18,30'!$M$10:$M$189,"30")
)</f>
        <v/>
      </c>
      <c r="N27" s="35" t="s">
        <v>502</v>
      </c>
      <c r="O27" s="35">
        <f>O21+O23</f>
        <v>197</v>
      </c>
      <c r="P27" s="117">
        <f>P21+P23</f>
        <v>173</v>
      </c>
      <c r="Q27" s="119">
        <f>P27/O27</f>
        <v>0.87817258883248728</v>
      </c>
      <c r="R27" s="35" t="s">
        <v>493</v>
      </c>
    </row>
    <row r="28" spans="1:34" x14ac:dyDescent="0.8">
      <c r="B28" s="74" t="s">
        <v>500</v>
      </c>
      <c r="C28" s="36">
        <v>1</v>
      </c>
      <c r="D28" s="36"/>
      <c r="E28" s="36"/>
      <c r="F28" s="36"/>
      <c r="P28" s="117">
        <f>P24</f>
        <v>21</v>
      </c>
      <c r="Q28" s="119">
        <f>P28/O27</f>
        <v>0.1065989847715736</v>
      </c>
      <c r="R28" s="35" t="s">
        <v>494</v>
      </c>
    </row>
    <row r="29" spans="1:34" x14ac:dyDescent="0.8">
      <c r="B29" s="74" t="s">
        <v>302</v>
      </c>
      <c r="C29" s="36" t="str">
        <f>IF(
    SUM(COUNTIFS('เสา 60'!$H$10:$H$23,B29))=0,
    "",
    SUM(COUNTIFS('เสา 60'!$H$10:$H$23,B29))
)</f>
        <v/>
      </c>
      <c r="D29" s="36">
        <v>9</v>
      </c>
      <c r="E29" s="36" t="str">
        <f>IF(
    COUNTIFS('เสา 9,18,30'!$H$10:$H$189, B29,
             'เสา 9,18,30'!$M$10:$M$189, "18")=0,
    "",
    COUNTIFS('เสา 9,18,30'!$H$10:$H$189, B29,
             'เสา 9,18,30'!$M$10:$M$189, "18")
)</f>
        <v/>
      </c>
      <c r="F29" s="36" t="str">
        <f>IF(
    COUNTIFS('เสา 9,18,30'!$H$10:$H$189,B29,
             'เสา 9,18,30'!$M$10:$M$189,"30")=0,
    "",
    COUNTIFS('เสา 9,18,30'!$H$10:$H$189,B29,
             'เสา 9,18,30'!$M$10:$M$189,"30")
)</f>
        <v/>
      </c>
      <c r="P29" s="117">
        <f>P22+P25</f>
        <v>2</v>
      </c>
      <c r="Q29" s="119">
        <f>P29/O27</f>
        <v>1.015228426395939E-2</v>
      </c>
      <c r="R29" s="35" t="s">
        <v>495</v>
      </c>
    </row>
    <row r="30" spans="1:34" x14ac:dyDescent="0.8">
      <c r="B30" s="74" t="s">
        <v>306</v>
      </c>
      <c r="C30" s="36" t="str">
        <f>IF(
    SUM(COUNTIFS('เสา 60'!$H$10:$H$23,B30))=0,
    "",
    SUM(COUNTIFS('เสา 60'!$H$10:$H$23,B30))
)</f>
        <v/>
      </c>
      <c r="D30" s="36">
        <f>IF(
    COUNTIFS('เสา 9,18,30'!$H$10:$H$189, B30,
             'เสา 9,18,30'!$M$10:$M$189, "9")=0,
    "",
    COUNTIFS('เสา 9,18,30'!$H$10:$H$189, B30,
             'เสา 9,18,30'!$M$10:$M$189, "9")
)</f>
        <v>1</v>
      </c>
      <c r="E30" s="36" t="str">
        <f>IF(
    COUNTIFS('เสา 9,18,30'!$H$10:$H$189, B30,
             'เสา 9,18,30'!$M$10:$M$189, "18")=0,
    "",
    COUNTIFS('เสา 9,18,30'!$H$10:$H$189, B30,
             'เสา 9,18,30'!$M$10:$M$189, "18")
)</f>
        <v/>
      </c>
      <c r="F30" s="36" t="str">
        <f>IF(
    COUNTIFS('เสา 9,18,30'!$H$10:$H$189,B30,
             'เสา 9,18,30'!$M$10:$M$189,"30")=0,
    "",
    COUNTIFS('เสา 9,18,30'!$H$10:$H$189,B30,
             'เสา 9,18,30'!$M$10:$M$189,"30")
)</f>
        <v/>
      </c>
    </row>
    <row r="31" spans="1:34" x14ac:dyDescent="0.8">
      <c r="B31" s="74" t="s">
        <v>305</v>
      </c>
      <c r="C31" s="36" t="str">
        <f>IF(
    SUM(COUNTIFS('เสา 60'!$H$10:$H$23,B31))=0,
    "",
    SUM(COUNTIFS('เสา 60'!$H$10:$H$23,B31))
)</f>
        <v/>
      </c>
      <c r="D31" s="36">
        <f>IF(
    COUNTIFS('เสา 9,18,30'!$H$10:$H$189, B31,
             'เสา 9,18,30'!$M$10:$M$189, "9")=0,
    "",
    COUNTIFS('เสา 9,18,30'!$H$10:$H$189, B31,
             'เสา 9,18,30'!$M$10:$M$189, "9")
)</f>
        <v>1</v>
      </c>
      <c r="E31" s="36" t="str">
        <f>IF(
    COUNTIFS('เสา 9,18,30'!$H$10:$H$189, B31,
             'เสา 9,18,30'!$M$10:$M$189, "18")=0,
    "",
    COUNTIFS('เสา 9,18,30'!$H$10:$H$189, B31,
             'เสา 9,18,30'!$M$10:$M$189, "18")
)</f>
        <v/>
      </c>
      <c r="F31" s="36" t="str">
        <f>IF(
    COUNTIFS('เสา 9,18,30'!$H$10:$H$189,B31,
             'เสา 9,18,30'!$M$10:$M$189,"30")=0,
    "",
    COUNTIFS('เสา 9,18,30'!$H$10:$H$189,B31,
             'เสา 9,18,30'!$M$10:$M$189,"30")
)</f>
        <v/>
      </c>
    </row>
    <row r="32" spans="1:34" x14ac:dyDescent="0.8">
      <c r="B32" s="74" t="s">
        <v>301</v>
      </c>
      <c r="C32" s="36" t="str">
        <f>IF(
    SUM(COUNTIFS('เสา 60'!$H$10:$H$23,B32))=0,
    "",
    SUM(COUNTIFS('เสา 60'!$H$10:$H$23,B32))
)</f>
        <v/>
      </c>
      <c r="D32" s="36">
        <v>135</v>
      </c>
      <c r="E32" s="36">
        <f>IF(
    COUNTIFS('เสา 9,18,30'!$H$10:$H$189, B32,
             'เสา 9,18,30'!$M$10:$M$189, "18")=0,
    "",
    COUNTIFS('เสา 9,18,30'!$H$10:$H$189, B32,
             'เสา 9,18,30'!$M$10:$M$189, "18")
)</f>
        <v>5</v>
      </c>
      <c r="F32" s="36">
        <v>3</v>
      </c>
    </row>
    <row r="33" spans="1:7" x14ac:dyDescent="0.8">
      <c r="B33" s="74" t="s">
        <v>303</v>
      </c>
      <c r="C33" s="36" t="str">
        <f>IF(
    SUM(COUNTIFS('เสา 60'!$H$10:$H$23,B33))=0,
    "",
    SUM(COUNTIFS('เสา 60'!$H$10:$H$23,B33))
)</f>
        <v/>
      </c>
      <c r="D33" s="36">
        <v>12</v>
      </c>
      <c r="E33" s="36">
        <f>IF(
    COUNTIFS('เสา 9,18,30'!$H$10:$H$189, B33,
             'เสา 9,18,30'!$M$10:$M$189, "18")=0,
    "",
    COUNTIFS('เสา 9,18,30'!$H$10:$H$189, B33,
             'เสา 9,18,30'!$M$10:$M$189, "18")
)</f>
        <v>1</v>
      </c>
      <c r="F33" s="36" t="str">
        <f>IF(
    COUNTIFS('เสา 9,18,30'!$H$10:$H$189,B33,
             'เสา 9,18,30'!$M$10:$M$189,"30")=0,
    "",
    COUNTIFS('เสา 9,18,30'!$H$10:$H$189,B33,
             'เสา 9,18,30'!$M$10:$M$189,"30")
)</f>
        <v/>
      </c>
    </row>
    <row r="34" spans="1:7" x14ac:dyDescent="0.8">
      <c r="B34" s="74" t="s">
        <v>411</v>
      </c>
      <c r="C34" s="36" t="str">
        <f>IF(
    SUM(COUNTIFS('เสา 60'!$H$10:$H$23,B34))=0,
    "",
    SUM(COUNTIFS('เสา 60'!$H$10:$H$23,B34))
)</f>
        <v/>
      </c>
      <c r="D34" s="36">
        <f>IF(
    COUNTIFS('เสา 9,18,30'!$H$10:$H$189, B34,
             'เสา 9,18,30'!$M$10:$M$189, "9")=0,
    "",
    COUNTIFS('เสา 9,18,30'!$H$10:$H$189, B34,
             'เสา 9,18,30'!$M$10:$M$189, "9")
)</f>
        <v>1</v>
      </c>
      <c r="E34" s="36" t="str">
        <f>IF(
    COUNTIFS('เสา 9,18,30'!$H$10:$H$189, B34,
             'เสา 9,18,30'!$M$10:$M$189, "18")=0,
    "",
    COUNTIFS('เสา 9,18,30'!$H$10:$H$189, B34,
             'เสา 9,18,30'!$M$10:$M$189, "18")
)</f>
        <v/>
      </c>
      <c r="F34" s="36" t="str">
        <f>IF(
    COUNTIFS('เสา 9,18,30'!$H$10:$H$189,B34,
             'เสา 9,18,30'!$M$10:$M$189,"30")=0,
    "",
    COUNTIFS('เสา 9,18,30'!$H$10:$H$189,B34,
             'เสา 9,18,30'!$M$10:$M$189,"30")
)</f>
        <v/>
      </c>
    </row>
    <row r="35" spans="1:7" x14ac:dyDescent="0.8">
      <c r="B35" s="56" t="s">
        <v>408</v>
      </c>
      <c r="C35" s="36"/>
      <c r="D35" s="36">
        <v>1</v>
      </c>
      <c r="E35" s="36" t="str">
        <f>IF(
    COUNTIFS('เสา 9,18,30'!$H$10:$H$189, B35,
             'เสา 9,18,30'!$M$10:$M$189, "18")=0,
    "",
    COUNTIFS('เสา 9,18,30'!$H$10:$H$189, B35,
             'เสา 9,18,30'!$M$10:$M$189, "18")
)</f>
        <v/>
      </c>
      <c r="F35" s="36" t="str">
        <f>IF(
    COUNTIFS('เสา 9,18,30'!$H$10:$H$189,B35,
             'เสา 9,18,30'!$M$10:$M$189,"30")=0,
    "",
    COUNTIFS('เสา 9,18,30'!$H$10:$H$189,B35,
             'เสา 9,18,30'!$M$10:$M$189,"30")
)</f>
        <v/>
      </c>
    </row>
    <row r="36" spans="1:7" ht="33.299999999999997" thickBot="1" x14ac:dyDescent="0.85">
      <c r="B36" s="56" t="s">
        <v>492</v>
      </c>
      <c r="C36" s="36"/>
      <c r="D36" s="36">
        <v>1</v>
      </c>
      <c r="E36" s="36" t="str">
        <f>IF(
    COUNTIFS('เสา 9,18,30'!$H$10:$H$189, B36,
             'เสา 9,18,30'!$M$10:$M$189, "18")=0,
    "",
    COUNTIFS('เสา 9,18,30'!$H$10:$H$189, B36,
             'เสา 9,18,30'!$M$10:$M$189, "18")
)</f>
        <v/>
      </c>
      <c r="F36" s="36" t="str">
        <f>IF(
    COUNTIFS('เสา 9,18,30'!$H$10:$H$189,B36,
             'เสา 9,18,30'!$M$10:$M$189,"30")=0,
    "",
    COUNTIFS('เสา 9,18,30'!$H$10:$H$189,B36,
             'เสา 9,18,30'!$M$10:$M$189,"30")
)</f>
        <v/>
      </c>
    </row>
    <row r="37" spans="1:7" ht="33.299999999999997" thickBot="1" x14ac:dyDescent="0.85">
      <c r="A37" s="39"/>
      <c r="B37" s="57" t="s">
        <v>75</v>
      </c>
      <c r="C37" s="57">
        <f>SUM(C23:C34)</f>
        <v>16</v>
      </c>
      <c r="D37" s="57">
        <f>SUM(D23:D36)</f>
        <v>169</v>
      </c>
      <c r="E37" s="57">
        <f>SUM(E23:E34)</f>
        <v>9</v>
      </c>
      <c r="F37" s="126">
        <f>SUM(F23:F34)</f>
        <v>3</v>
      </c>
      <c r="G37" s="127">
        <f>SUM(C37:F37)</f>
        <v>197</v>
      </c>
    </row>
    <row r="38" spans="1:7" ht="32.450000000000003" customHeight="1" x14ac:dyDescent="0.8"/>
    <row r="39" spans="1:7" ht="32.450000000000003" customHeight="1" x14ac:dyDescent="0.8">
      <c r="B39" s="40"/>
      <c r="C39" s="40"/>
      <c r="D39" s="40"/>
      <c r="E39" s="40"/>
      <c r="F39" s="40"/>
      <c r="G39" s="34"/>
    </row>
  </sheetData>
  <mergeCells count="17">
    <mergeCell ref="C21:F21"/>
    <mergeCell ref="H5:S5"/>
    <mergeCell ref="A2:S2"/>
    <mergeCell ref="G6:G8"/>
    <mergeCell ref="K6:S6"/>
    <mergeCell ref="K7:M7"/>
    <mergeCell ref="N7:P7"/>
    <mergeCell ref="A19:B19"/>
    <mergeCell ref="A4:Q4"/>
    <mergeCell ref="A1:S1"/>
    <mergeCell ref="A5:A8"/>
    <mergeCell ref="B5:B8"/>
    <mergeCell ref="C5:G5"/>
    <mergeCell ref="C6:C8"/>
    <mergeCell ref="H6:J7"/>
    <mergeCell ref="Q7:S7"/>
    <mergeCell ref="D6:F7"/>
  </mergeCells>
  <printOptions horizontalCentered="1"/>
  <pageMargins left="0" right="0" top="0" bottom="0" header="0.31496062992125984" footer="0.31496062992125984"/>
  <pageSetup paperSize="9" scale="45" fitToHeight="0" orientation="landscape" r:id="rId1"/>
  <rowBreaks count="1" manualBreakCount="1">
    <brk id="37" max="18" man="1"/>
  </rowBreaks>
  <ignoredErrors>
    <ignoredError sqref="D37 Q22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4DF0-46F0-40F1-9956-BA6325EE82E9}">
  <sheetPr codeName="Sheet2">
    <tabColor theme="5" tint="0.79998168889431442"/>
    <pageSetUpPr fitToPage="1"/>
  </sheetPr>
  <dimension ref="A1:AK833"/>
  <sheetViews>
    <sheetView view="pageBreakPreview" zoomScale="50" zoomScaleNormal="50" zoomScaleSheetLayoutView="50" workbookViewId="0">
      <pane xSplit="7" topLeftCell="H1" activePane="topRight" state="frozen"/>
      <selection activeCell="A4" sqref="A4"/>
      <selection pane="topRight" activeCell="E13" sqref="E13"/>
    </sheetView>
  </sheetViews>
  <sheetFormatPr defaultColWidth="12.6640625" defaultRowHeight="21.75" x14ac:dyDescent="0.55000000000000004"/>
  <cols>
    <col min="1" max="1" width="8" style="9" customWidth="1"/>
    <col min="2" max="2" width="38.5546875" style="9" customWidth="1"/>
    <col min="3" max="3" width="14.44140625" style="9" bestFit="1" customWidth="1"/>
    <col min="4" max="4" width="16.5546875" style="9" bestFit="1" customWidth="1"/>
    <col min="5" max="5" width="17.88671875" style="9" bestFit="1" customWidth="1"/>
    <col min="6" max="6" width="35.5546875" style="9" bestFit="1" customWidth="1"/>
    <col min="7" max="7" width="26.6640625" style="9" bestFit="1" customWidth="1"/>
    <col min="8" max="8" width="32.6640625" style="9" bestFit="1" customWidth="1"/>
    <col min="9" max="9" width="12.21875" style="11" hidden="1" customWidth="1"/>
    <col min="10" max="10" width="15.88671875" style="11" bestFit="1" customWidth="1"/>
    <col min="11" max="11" width="15.21875" style="11" customWidth="1"/>
    <col min="12" max="12" width="14.21875" style="11" customWidth="1"/>
    <col min="13" max="13" width="17.21875" style="9" customWidth="1"/>
    <col min="14" max="14" width="17.109375" style="9" customWidth="1"/>
    <col min="15" max="16" width="17.21875" style="27" customWidth="1"/>
    <col min="17" max="17" width="14.6640625" style="27" hidden="1" customWidth="1"/>
    <col min="18" max="18" width="17.21875" style="27" hidden="1" customWidth="1"/>
    <col min="19" max="19" width="15.109375" style="11" customWidth="1"/>
    <col min="20" max="20" width="12.6640625" style="9" customWidth="1"/>
    <col min="21" max="16384" width="12.6640625" style="9"/>
  </cols>
  <sheetData>
    <row r="1" spans="1:37" s="3" customFormat="1" ht="35.35" x14ac:dyDescent="0.2">
      <c r="A1" s="217" t="s">
        <v>507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140"/>
      <c r="P1" s="140"/>
      <c r="Q1" s="140"/>
      <c r="R1" s="140"/>
      <c r="S1" s="140"/>
    </row>
    <row r="2" spans="1:37" s="3" customFormat="1" ht="35.35" x14ac:dyDescent="0.2">
      <c r="A2" s="217" t="s">
        <v>508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4"/>
      <c r="P2" s="4"/>
      <c r="Q2" s="4"/>
      <c r="R2" s="4"/>
      <c r="S2" s="77" t="s">
        <v>498</v>
      </c>
    </row>
    <row r="3" spans="1:37" s="3" customFormat="1" ht="35.35" x14ac:dyDescent="0.2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4"/>
      <c r="P3" s="4"/>
      <c r="Q3" s="4"/>
      <c r="R3" s="4"/>
      <c r="S3" s="77"/>
    </row>
    <row r="4" spans="1:37" s="7" customFormat="1" ht="49.95" customHeight="1" x14ac:dyDescent="0.2">
      <c r="A4" s="79" t="s">
        <v>506</v>
      </c>
      <c r="B4" s="79"/>
      <c r="C4" s="79"/>
      <c r="D4" s="5"/>
      <c r="E4" s="5"/>
      <c r="F4" s="5"/>
      <c r="G4" s="5"/>
      <c r="H4" s="5"/>
      <c r="I4" s="5"/>
      <c r="J4" s="5"/>
      <c r="K4" s="5"/>
      <c r="L4" s="5"/>
      <c r="M4" s="203"/>
      <c r="N4" s="203"/>
      <c r="O4" s="6"/>
      <c r="P4" s="6"/>
      <c r="Q4" s="6"/>
      <c r="R4" s="6"/>
      <c r="S4" s="6"/>
    </row>
    <row r="5" spans="1:37" s="8" customFormat="1" ht="32.950000000000003" customHeight="1" x14ac:dyDescent="0.55000000000000004">
      <c r="A5" s="218" t="s">
        <v>0</v>
      </c>
      <c r="B5" s="218" t="s">
        <v>86</v>
      </c>
      <c r="C5" s="219" t="s">
        <v>1</v>
      </c>
      <c r="D5" s="220" t="s">
        <v>2</v>
      </c>
      <c r="E5" s="208" t="s">
        <v>3</v>
      </c>
      <c r="F5" s="208" t="s">
        <v>93</v>
      </c>
      <c r="G5" s="208" t="s">
        <v>101</v>
      </c>
      <c r="H5" s="210" t="s">
        <v>116</v>
      </c>
      <c r="I5" s="86" t="s">
        <v>117</v>
      </c>
      <c r="J5" s="212" t="s">
        <v>368</v>
      </c>
      <c r="K5" s="204" t="s">
        <v>7</v>
      </c>
      <c r="L5" s="204" t="s">
        <v>6</v>
      </c>
      <c r="M5" s="206" t="s">
        <v>4</v>
      </c>
      <c r="N5" s="206" t="s">
        <v>5</v>
      </c>
      <c r="O5" s="214" t="s">
        <v>476</v>
      </c>
      <c r="P5" s="215"/>
      <c r="Q5" s="215"/>
      <c r="R5" s="215"/>
      <c r="S5" s="216"/>
    </row>
    <row r="6" spans="1:37" s="8" customFormat="1" ht="54.7" customHeight="1" x14ac:dyDescent="0.55000000000000004">
      <c r="A6" s="209"/>
      <c r="B6" s="209"/>
      <c r="C6" s="211"/>
      <c r="D6" s="221"/>
      <c r="E6" s="209"/>
      <c r="F6" s="209"/>
      <c r="G6" s="209"/>
      <c r="H6" s="211"/>
      <c r="I6" s="86"/>
      <c r="J6" s="213"/>
      <c r="K6" s="205"/>
      <c r="L6" s="205"/>
      <c r="M6" s="207"/>
      <c r="N6" s="207"/>
      <c r="O6" s="85" t="s">
        <v>474</v>
      </c>
      <c r="P6" s="85" t="s">
        <v>475</v>
      </c>
      <c r="Q6" s="87" t="s">
        <v>390</v>
      </c>
      <c r="R6" s="87" t="s">
        <v>391</v>
      </c>
      <c r="S6" s="85" t="s">
        <v>473</v>
      </c>
    </row>
    <row r="7" spans="1:37" s="90" customFormat="1" ht="32.6" x14ac:dyDescent="0.55000000000000004">
      <c r="A7" s="91"/>
      <c r="B7" s="91">
        <f t="shared" ref="B7:S7" si="0">SUBTOTAL(3,B10:B23)</f>
        <v>14</v>
      </c>
      <c r="C7" s="91">
        <f t="shared" si="0"/>
        <v>14</v>
      </c>
      <c r="D7" s="91">
        <f t="shared" si="0"/>
        <v>14</v>
      </c>
      <c r="E7" s="91">
        <f t="shared" si="0"/>
        <v>14</v>
      </c>
      <c r="F7" s="91">
        <f t="shared" si="0"/>
        <v>14</v>
      </c>
      <c r="G7" s="91">
        <f t="shared" si="0"/>
        <v>14</v>
      </c>
      <c r="H7" s="91">
        <f t="shared" si="0"/>
        <v>14</v>
      </c>
      <c r="I7" s="92">
        <f t="shared" si="0"/>
        <v>14</v>
      </c>
      <c r="J7" s="91">
        <f t="shared" si="0"/>
        <v>14</v>
      </c>
      <c r="K7" s="91">
        <f t="shared" si="0"/>
        <v>14</v>
      </c>
      <c r="L7" s="91">
        <f t="shared" si="0"/>
        <v>14</v>
      </c>
      <c r="M7" s="91">
        <f t="shared" si="0"/>
        <v>14</v>
      </c>
      <c r="N7" s="91">
        <f t="shared" si="0"/>
        <v>14</v>
      </c>
      <c r="O7" s="91">
        <f t="shared" si="0"/>
        <v>13</v>
      </c>
      <c r="P7" s="91">
        <f t="shared" si="0"/>
        <v>12</v>
      </c>
      <c r="Q7" s="91">
        <f t="shared" si="0"/>
        <v>6</v>
      </c>
      <c r="R7" s="91">
        <f t="shared" si="0"/>
        <v>0</v>
      </c>
      <c r="S7" s="91">
        <f t="shared" si="0"/>
        <v>14</v>
      </c>
    </row>
    <row r="8" spans="1:37" ht="32.6" x14ac:dyDescent="0.55000000000000004">
      <c r="A8" s="95">
        <v>1</v>
      </c>
      <c r="B8" s="135" t="s">
        <v>125</v>
      </c>
      <c r="C8" s="53" t="s">
        <v>82</v>
      </c>
      <c r="D8" s="53" t="s">
        <v>20</v>
      </c>
      <c r="E8" s="53" t="s">
        <v>18</v>
      </c>
      <c r="F8" s="53" t="s">
        <v>95</v>
      </c>
      <c r="G8" s="54" t="s">
        <v>103</v>
      </c>
      <c r="H8" s="56" t="s">
        <v>407</v>
      </c>
      <c r="I8" s="48" t="s">
        <v>112</v>
      </c>
      <c r="J8" s="48" t="s">
        <v>472</v>
      </c>
      <c r="K8" s="48">
        <v>60</v>
      </c>
      <c r="L8" s="48">
        <v>158</v>
      </c>
      <c r="M8" s="49">
        <v>16.204197000000001</v>
      </c>
      <c r="N8" s="49">
        <v>99.321010999999999</v>
      </c>
      <c r="O8" s="52">
        <v>244359</v>
      </c>
      <c r="P8" s="52">
        <v>244373</v>
      </c>
      <c r="Q8" s="76" t="s">
        <v>460</v>
      </c>
      <c r="R8" s="50"/>
      <c r="S8" s="120" t="str">
        <f>IF(P8&lt;&gt;"", "Complete", IF(O8&lt;&gt;"", "In progress", ""))</f>
        <v>Complete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</row>
    <row r="9" spans="1:37" ht="32.6" x14ac:dyDescent="0.55000000000000004">
      <c r="A9" s="95">
        <v>2</v>
      </c>
      <c r="B9" s="136" t="s">
        <v>131</v>
      </c>
      <c r="C9" s="55" t="s">
        <v>412</v>
      </c>
      <c r="D9" s="55" t="s">
        <v>66</v>
      </c>
      <c r="E9" s="55" t="s">
        <v>67</v>
      </c>
      <c r="F9" s="55" t="s">
        <v>100</v>
      </c>
      <c r="G9" s="54" t="s">
        <v>103</v>
      </c>
      <c r="H9" s="56" t="s">
        <v>407</v>
      </c>
      <c r="I9" s="48" t="s">
        <v>112</v>
      </c>
      <c r="J9" s="48" t="s">
        <v>472</v>
      </c>
      <c r="K9" s="48">
        <v>60</v>
      </c>
      <c r="L9" s="48">
        <v>55</v>
      </c>
      <c r="M9" s="49">
        <v>16.029156</v>
      </c>
      <c r="N9" s="49">
        <v>100.627809</v>
      </c>
      <c r="O9" s="52">
        <v>244359</v>
      </c>
      <c r="P9" s="52">
        <v>244374</v>
      </c>
      <c r="Q9" s="76" t="s">
        <v>460</v>
      </c>
      <c r="R9" s="50"/>
      <c r="S9" s="120" t="str">
        <f>IF(P9&lt;&gt;"", "Complete", IF(O9&lt;&gt;"", "In progress", ""))</f>
        <v>Complete</v>
      </c>
    </row>
    <row r="10" spans="1:37" s="8" customFormat="1" ht="32.6" x14ac:dyDescent="0.55000000000000004">
      <c r="A10" s="95">
        <v>3</v>
      </c>
      <c r="B10" s="137" t="s">
        <v>122</v>
      </c>
      <c r="C10" s="46" t="s">
        <v>14</v>
      </c>
      <c r="D10" s="46" t="s">
        <v>14</v>
      </c>
      <c r="E10" s="46" t="s">
        <v>10</v>
      </c>
      <c r="F10" s="46" t="s">
        <v>94</v>
      </c>
      <c r="G10" s="47" t="s">
        <v>106</v>
      </c>
      <c r="H10" s="56" t="s">
        <v>407</v>
      </c>
      <c r="I10" s="48" t="s">
        <v>113</v>
      </c>
      <c r="J10" s="48" t="s">
        <v>472</v>
      </c>
      <c r="K10" s="48">
        <v>60</v>
      </c>
      <c r="L10" s="48">
        <v>72</v>
      </c>
      <c r="M10" s="49">
        <v>14.326589</v>
      </c>
      <c r="N10" s="49">
        <v>99.667237999999998</v>
      </c>
      <c r="O10" s="52">
        <v>244359</v>
      </c>
      <c r="P10" s="52">
        <v>244373</v>
      </c>
      <c r="Q10" s="76" t="s">
        <v>460</v>
      </c>
      <c r="R10" s="50"/>
      <c r="S10" s="120" t="str">
        <f>IF(P10&lt;&gt;"", "Complete", IF(O10&lt;&gt;"", "In progress", ""))</f>
        <v>Complete</v>
      </c>
    </row>
    <row r="11" spans="1:37" ht="32.6" x14ac:dyDescent="0.55000000000000004">
      <c r="A11" s="95">
        <v>4</v>
      </c>
      <c r="B11" s="136" t="s">
        <v>126</v>
      </c>
      <c r="C11" s="55" t="s">
        <v>83</v>
      </c>
      <c r="D11" s="55" t="s">
        <v>24</v>
      </c>
      <c r="E11" s="55" t="s">
        <v>25</v>
      </c>
      <c r="F11" s="55" t="s">
        <v>96</v>
      </c>
      <c r="G11" s="47" t="s">
        <v>104</v>
      </c>
      <c r="H11" s="56" t="s">
        <v>407</v>
      </c>
      <c r="I11" s="48" t="s">
        <v>113</v>
      </c>
      <c r="J11" s="48" t="s">
        <v>472</v>
      </c>
      <c r="K11" s="48">
        <v>60</v>
      </c>
      <c r="L11" s="48">
        <v>186</v>
      </c>
      <c r="M11" s="49">
        <v>16.859711999999998</v>
      </c>
      <c r="N11" s="49">
        <v>102.860911</v>
      </c>
      <c r="O11" s="52">
        <v>244359</v>
      </c>
      <c r="P11" s="52">
        <v>244373</v>
      </c>
      <c r="Q11" s="76" t="s">
        <v>460</v>
      </c>
      <c r="R11" s="50"/>
      <c r="S11" s="120" t="str">
        <f t="shared" ref="S11:S23" si="1">IF(P11&lt;&gt;"", "Complete", IF(O11&lt;&gt;"", "In progress", ""))</f>
        <v>Complete</v>
      </c>
    </row>
    <row r="12" spans="1:37" ht="32.6" x14ac:dyDescent="0.55000000000000004">
      <c r="A12" s="95">
        <v>5</v>
      </c>
      <c r="B12" s="136" t="s">
        <v>129</v>
      </c>
      <c r="C12" s="55" t="s">
        <v>50</v>
      </c>
      <c r="D12" s="55" t="s">
        <v>50</v>
      </c>
      <c r="E12" s="55" t="s">
        <v>48</v>
      </c>
      <c r="F12" s="55" t="s">
        <v>99</v>
      </c>
      <c r="G12" s="47" t="s">
        <v>104</v>
      </c>
      <c r="H12" s="56" t="s">
        <v>407</v>
      </c>
      <c r="I12" s="48" t="s">
        <v>113</v>
      </c>
      <c r="J12" s="48" t="s">
        <v>472</v>
      </c>
      <c r="K12" s="48">
        <v>60</v>
      </c>
      <c r="L12" s="48">
        <v>417</v>
      </c>
      <c r="M12" s="49">
        <v>14.417370999999999</v>
      </c>
      <c r="N12" s="49">
        <v>101.849906</v>
      </c>
      <c r="O12" s="52">
        <v>244359</v>
      </c>
      <c r="P12" s="52">
        <v>244373</v>
      </c>
      <c r="Q12" s="76" t="s">
        <v>460</v>
      </c>
      <c r="R12" s="50"/>
      <c r="S12" s="120" t="str">
        <f>IF(P12&lt;&gt;"", "Complete", IF(O12&lt;&gt;"", "In progress", ""))</f>
        <v>Complete</v>
      </c>
    </row>
    <row r="13" spans="1:37" ht="32.6" x14ac:dyDescent="0.55000000000000004">
      <c r="A13" s="95">
        <v>6</v>
      </c>
      <c r="B13" s="136" t="s">
        <v>127</v>
      </c>
      <c r="C13" s="55" t="s">
        <v>84</v>
      </c>
      <c r="D13" s="55" t="s">
        <v>35</v>
      </c>
      <c r="E13" s="55" t="s">
        <v>33</v>
      </c>
      <c r="F13" s="55" t="s">
        <v>97</v>
      </c>
      <c r="G13" s="47" t="s">
        <v>105</v>
      </c>
      <c r="H13" s="56" t="s">
        <v>407</v>
      </c>
      <c r="I13" s="48" t="s">
        <v>113</v>
      </c>
      <c r="J13" s="48" t="s">
        <v>472</v>
      </c>
      <c r="K13" s="48">
        <v>60</v>
      </c>
      <c r="L13" s="48">
        <v>20</v>
      </c>
      <c r="M13" s="49">
        <v>12.80444</v>
      </c>
      <c r="N13" s="49">
        <v>102.114643</v>
      </c>
      <c r="O13" s="52">
        <v>244370</v>
      </c>
      <c r="P13" s="52">
        <v>244385</v>
      </c>
      <c r="Q13" s="50"/>
      <c r="R13" s="50"/>
      <c r="S13" s="120" t="s">
        <v>124</v>
      </c>
    </row>
    <row r="14" spans="1:37" ht="32.6" x14ac:dyDescent="0.55000000000000004">
      <c r="A14" s="95">
        <v>7</v>
      </c>
      <c r="B14" s="136" t="s">
        <v>128</v>
      </c>
      <c r="C14" s="55" t="s">
        <v>44</v>
      </c>
      <c r="D14" s="55" t="s">
        <v>44</v>
      </c>
      <c r="E14" s="55" t="s">
        <v>40</v>
      </c>
      <c r="F14" s="55" t="s">
        <v>98</v>
      </c>
      <c r="G14" s="47" t="s">
        <v>107</v>
      </c>
      <c r="H14" s="56" t="s">
        <v>407</v>
      </c>
      <c r="I14" s="48" t="s">
        <v>112</v>
      </c>
      <c r="J14" s="48" t="s">
        <v>472</v>
      </c>
      <c r="K14" s="48">
        <v>60</v>
      </c>
      <c r="L14" s="48">
        <v>23</v>
      </c>
      <c r="M14" s="49">
        <v>7.3856919999999997</v>
      </c>
      <c r="N14" s="49">
        <v>99.666228000000004</v>
      </c>
      <c r="O14" s="52">
        <v>244359</v>
      </c>
      <c r="P14" s="52">
        <v>244373</v>
      </c>
      <c r="Q14" s="76" t="s">
        <v>460</v>
      </c>
      <c r="R14" s="51"/>
      <c r="S14" s="120" t="str">
        <f t="shared" si="1"/>
        <v>Complete</v>
      </c>
    </row>
    <row r="15" spans="1:37" ht="32.6" x14ac:dyDescent="0.55000000000000004">
      <c r="A15" s="95">
        <v>8</v>
      </c>
      <c r="B15" s="136" t="s">
        <v>130</v>
      </c>
      <c r="C15" s="55" t="s">
        <v>60</v>
      </c>
      <c r="D15" s="55" t="s">
        <v>60</v>
      </c>
      <c r="E15" s="55" t="s">
        <v>54</v>
      </c>
      <c r="F15" s="55" t="s">
        <v>98</v>
      </c>
      <c r="G15" s="47" t="s">
        <v>107</v>
      </c>
      <c r="H15" s="56" t="s">
        <v>407</v>
      </c>
      <c r="I15" s="48" t="s">
        <v>112</v>
      </c>
      <c r="J15" s="48" t="s">
        <v>472</v>
      </c>
      <c r="K15" s="48">
        <v>60</v>
      </c>
      <c r="L15" s="48">
        <v>11</v>
      </c>
      <c r="M15" s="49">
        <v>8.0405899999999999</v>
      </c>
      <c r="N15" s="49">
        <v>100.27467</v>
      </c>
      <c r="O15" s="52">
        <v>244370</v>
      </c>
      <c r="P15" s="52">
        <v>244394</v>
      </c>
      <c r="Q15" s="50"/>
      <c r="R15" s="50"/>
      <c r="S15" s="120" t="s">
        <v>124</v>
      </c>
    </row>
    <row r="16" spans="1:37" s="8" customFormat="1" ht="32.6" x14ac:dyDescent="0.55000000000000004">
      <c r="A16" s="95">
        <v>9</v>
      </c>
      <c r="B16" s="138" t="s">
        <v>132</v>
      </c>
      <c r="C16" s="46" t="s">
        <v>11</v>
      </c>
      <c r="D16" s="46" t="s">
        <v>9</v>
      </c>
      <c r="E16" s="46" t="s">
        <v>10</v>
      </c>
      <c r="F16" s="46" t="s">
        <v>94</v>
      </c>
      <c r="G16" s="47" t="s">
        <v>106</v>
      </c>
      <c r="H16" s="56" t="s">
        <v>408</v>
      </c>
      <c r="I16" s="48" t="s">
        <v>113</v>
      </c>
      <c r="J16" s="48" t="s">
        <v>472</v>
      </c>
      <c r="K16" s="48">
        <v>60</v>
      </c>
      <c r="L16" s="48">
        <v>72</v>
      </c>
      <c r="M16" s="49">
        <v>14.514783</v>
      </c>
      <c r="N16" s="49">
        <v>99.709058999999996</v>
      </c>
      <c r="O16" s="52">
        <v>244359</v>
      </c>
      <c r="P16" s="52">
        <v>244373</v>
      </c>
      <c r="Q16" s="76" t="s">
        <v>460</v>
      </c>
      <c r="R16" s="50"/>
      <c r="S16" s="120" t="str">
        <f t="shared" si="1"/>
        <v>Complete</v>
      </c>
    </row>
    <row r="17" spans="1:19" ht="32.6" x14ac:dyDescent="0.55000000000000004">
      <c r="A17" s="95">
        <v>10</v>
      </c>
      <c r="B17" s="139" t="s">
        <v>133</v>
      </c>
      <c r="C17" s="53" t="s">
        <v>21</v>
      </c>
      <c r="D17" s="53" t="s">
        <v>22</v>
      </c>
      <c r="E17" s="53" t="s">
        <v>18</v>
      </c>
      <c r="F17" s="53" t="s">
        <v>95</v>
      </c>
      <c r="G17" s="54" t="s">
        <v>103</v>
      </c>
      <c r="H17" s="56" t="s">
        <v>410</v>
      </c>
      <c r="I17" s="48" t="s">
        <v>112</v>
      </c>
      <c r="J17" s="48" t="s">
        <v>472</v>
      </c>
      <c r="K17" s="48">
        <v>60</v>
      </c>
      <c r="L17" s="48">
        <v>155</v>
      </c>
      <c r="M17" s="49">
        <v>15.993741</v>
      </c>
      <c r="N17" s="49">
        <v>99.364570999999998</v>
      </c>
      <c r="O17" s="52">
        <v>244361</v>
      </c>
      <c r="P17" s="52">
        <v>244375</v>
      </c>
      <c r="Q17" s="76" t="s">
        <v>460</v>
      </c>
      <c r="R17" s="50"/>
      <c r="S17" s="120" t="str">
        <f t="shared" ref="S17" si="2">IF(P17&lt;&gt;"", "Complete", IF(O17&lt;&gt;"", "In progress", ""))</f>
        <v>Complete</v>
      </c>
    </row>
    <row r="18" spans="1:19" ht="32.6" x14ac:dyDescent="0.55000000000000004">
      <c r="A18" s="95">
        <v>11</v>
      </c>
      <c r="B18" s="122" t="s">
        <v>134</v>
      </c>
      <c r="C18" s="55" t="s">
        <v>30</v>
      </c>
      <c r="D18" s="55" t="s">
        <v>29</v>
      </c>
      <c r="E18" s="55" t="s">
        <v>25</v>
      </c>
      <c r="F18" s="55" t="s">
        <v>96</v>
      </c>
      <c r="G18" s="47" t="s">
        <v>104</v>
      </c>
      <c r="H18" s="56" t="s">
        <v>408</v>
      </c>
      <c r="I18" s="48" t="s">
        <v>113</v>
      </c>
      <c r="J18" s="48" t="s">
        <v>472</v>
      </c>
      <c r="K18" s="48">
        <v>60</v>
      </c>
      <c r="L18" s="48">
        <v>200</v>
      </c>
      <c r="M18" s="49">
        <v>16.919523999999999</v>
      </c>
      <c r="N18" s="49">
        <v>102.72752300000001</v>
      </c>
      <c r="O18" s="52">
        <v>244363</v>
      </c>
      <c r="P18" s="52">
        <v>244384</v>
      </c>
      <c r="Q18" s="50"/>
      <c r="R18" s="50"/>
      <c r="S18" s="120" t="str">
        <f t="shared" si="1"/>
        <v>Complete</v>
      </c>
    </row>
    <row r="19" spans="1:19" ht="32.6" x14ac:dyDescent="0.55000000000000004">
      <c r="A19" s="95">
        <v>12</v>
      </c>
      <c r="B19" s="122" t="s">
        <v>136</v>
      </c>
      <c r="C19" s="55" t="s">
        <v>34</v>
      </c>
      <c r="D19" s="55" t="s">
        <v>85</v>
      </c>
      <c r="E19" s="55" t="s">
        <v>33</v>
      </c>
      <c r="F19" s="55" t="s">
        <v>97</v>
      </c>
      <c r="G19" s="47" t="s">
        <v>105</v>
      </c>
      <c r="H19" s="56" t="s">
        <v>409</v>
      </c>
      <c r="I19" s="48" t="s">
        <v>113</v>
      </c>
      <c r="J19" s="48" t="s">
        <v>472</v>
      </c>
      <c r="K19" s="48">
        <v>60</v>
      </c>
      <c r="L19" s="48">
        <v>43</v>
      </c>
      <c r="M19" s="49">
        <v>12.935093999999999</v>
      </c>
      <c r="N19" s="49">
        <v>102.05857399999999</v>
      </c>
      <c r="O19" s="52">
        <v>244359</v>
      </c>
      <c r="P19" s="52">
        <v>244374</v>
      </c>
      <c r="Q19" s="50"/>
      <c r="R19" s="50"/>
      <c r="S19" s="120" t="str">
        <f>IF(P19&lt;&gt;"", "Complete", IF(O19&lt;&gt;"", "In progress", ""))</f>
        <v>Complete</v>
      </c>
    </row>
    <row r="20" spans="1:19" ht="32.6" x14ac:dyDescent="0.55000000000000004">
      <c r="A20" s="95">
        <v>13</v>
      </c>
      <c r="B20" s="122" t="s">
        <v>138</v>
      </c>
      <c r="C20" s="55" t="s">
        <v>46</v>
      </c>
      <c r="D20" s="55" t="s">
        <v>47</v>
      </c>
      <c r="E20" s="55" t="s">
        <v>48</v>
      </c>
      <c r="F20" s="55" t="s">
        <v>99</v>
      </c>
      <c r="G20" s="47" t="s">
        <v>104</v>
      </c>
      <c r="H20" s="56" t="s">
        <v>304</v>
      </c>
      <c r="I20" s="48" t="s">
        <v>113</v>
      </c>
      <c r="J20" s="48" t="s">
        <v>472</v>
      </c>
      <c r="K20" s="48">
        <v>60</v>
      </c>
      <c r="L20" s="48">
        <v>426</v>
      </c>
      <c r="M20" s="49">
        <v>14.480402</v>
      </c>
      <c r="N20" s="49">
        <v>101.726573</v>
      </c>
      <c r="O20" s="52">
        <v>244361</v>
      </c>
      <c r="P20" s="52">
        <v>244374</v>
      </c>
      <c r="Q20" s="76"/>
      <c r="R20" s="50"/>
      <c r="S20" s="120" t="str">
        <f>IF(P20&lt;&gt;"", "Complete", IF(O20&lt;&gt;"", "In progress", ""))</f>
        <v>Complete</v>
      </c>
    </row>
    <row r="21" spans="1:19" ht="32.6" x14ac:dyDescent="0.55000000000000004">
      <c r="A21" s="95">
        <v>14</v>
      </c>
      <c r="B21" s="122" t="s">
        <v>139</v>
      </c>
      <c r="C21" s="55" t="s">
        <v>65</v>
      </c>
      <c r="D21" s="55" t="s">
        <v>66</v>
      </c>
      <c r="E21" s="55" t="s">
        <v>67</v>
      </c>
      <c r="F21" s="55" t="s">
        <v>100</v>
      </c>
      <c r="G21" s="54" t="s">
        <v>103</v>
      </c>
      <c r="H21" s="56" t="s">
        <v>408</v>
      </c>
      <c r="I21" s="48" t="s">
        <v>112</v>
      </c>
      <c r="J21" s="48" t="s">
        <v>472</v>
      </c>
      <c r="K21" s="48">
        <v>60</v>
      </c>
      <c r="L21" s="48">
        <v>74</v>
      </c>
      <c r="M21" s="49">
        <v>16.016102</v>
      </c>
      <c r="N21" s="49" t="s">
        <v>140</v>
      </c>
      <c r="O21" s="52" t="s">
        <v>450</v>
      </c>
      <c r="P21" s="52">
        <v>244393</v>
      </c>
      <c r="Q21" s="50"/>
      <c r="R21" s="50"/>
      <c r="S21" s="120" t="str">
        <f>IF(P21&lt;&gt;"", "Complete", IF(O21&lt;&gt;"", "In progress", ""))</f>
        <v>Complete</v>
      </c>
    </row>
    <row r="22" spans="1:19" ht="32.6" x14ac:dyDescent="0.55000000000000004">
      <c r="A22" s="95">
        <v>15</v>
      </c>
      <c r="B22" s="122" t="s">
        <v>137</v>
      </c>
      <c r="C22" s="55" t="s">
        <v>41</v>
      </c>
      <c r="D22" s="55" t="s">
        <v>39</v>
      </c>
      <c r="E22" s="55" t="s">
        <v>40</v>
      </c>
      <c r="F22" s="55" t="s">
        <v>98</v>
      </c>
      <c r="G22" s="47" t="s">
        <v>107</v>
      </c>
      <c r="H22" s="56" t="s">
        <v>408</v>
      </c>
      <c r="I22" s="48" t="s">
        <v>112</v>
      </c>
      <c r="J22" s="48" t="s">
        <v>472</v>
      </c>
      <c r="K22" s="48">
        <v>60</v>
      </c>
      <c r="L22" s="48">
        <v>55</v>
      </c>
      <c r="M22" s="49">
        <v>7.5242699999999996</v>
      </c>
      <c r="N22" s="49">
        <v>99.758809999999997</v>
      </c>
      <c r="O22" s="52">
        <v>244425</v>
      </c>
      <c r="P22" s="51"/>
      <c r="Q22" s="50"/>
      <c r="R22" s="50"/>
      <c r="S22" s="121" t="str">
        <f t="shared" si="1"/>
        <v>In progress</v>
      </c>
    </row>
    <row r="23" spans="1:19" ht="32.6" x14ac:dyDescent="0.55000000000000004">
      <c r="A23" s="95">
        <v>16</v>
      </c>
      <c r="B23" s="122" t="s">
        <v>499</v>
      </c>
      <c r="C23" s="55" t="s">
        <v>55</v>
      </c>
      <c r="D23" s="55" t="s">
        <v>56</v>
      </c>
      <c r="E23" s="55" t="s">
        <v>54</v>
      </c>
      <c r="F23" s="55" t="s">
        <v>98</v>
      </c>
      <c r="G23" s="47" t="s">
        <v>107</v>
      </c>
      <c r="H23" s="56" t="s">
        <v>500</v>
      </c>
      <c r="I23" s="48" t="s">
        <v>112</v>
      </c>
      <c r="J23" s="48" t="s">
        <v>472</v>
      </c>
      <c r="K23" s="48">
        <v>60</v>
      </c>
      <c r="L23" s="48">
        <v>10</v>
      </c>
      <c r="M23" s="49">
        <v>8.2046200000000002</v>
      </c>
      <c r="N23" s="49">
        <v>100.25501</v>
      </c>
      <c r="O23" s="52"/>
      <c r="P23" s="51"/>
      <c r="Q23" s="50"/>
      <c r="R23" s="50"/>
      <c r="S23" s="51" t="str">
        <f t="shared" si="1"/>
        <v/>
      </c>
    </row>
    <row r="24" spans="1:19" ht="32.6" x14ac:dyDescent="0.5500000000000000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5" spans="1:19" x14ac:dyDescent="0.55000000000000004">
      <c r="A25" s="3"/>
      <c r="B25" s="10"/>
      <c r="C25" s="10"/>
      <c r="D25" s="12"/>
      <c r="E25" s="12"/>
      <c r="F25" s="12"/>
      <c r="G25" s="12"/>
      <c r="H25" s="12"/>
      <c r="I25" s="4"/>
      <c r="J25" s="4"/>
      <c r="K25" s="4"/>
      <c r="L25" s="4"/>
      <c r="M25" s="4"/>
      <c r="N25" s="4"/>
      <c r="O25" s="28"/>
      <c r="P25" s="28"/>
      <c r="Q25" s="28"/>
      <c r="R25" s="28"/>
      <c r="S25" s="4"/>
    </row>
    <row r="26" spans="1:19" ht="24.45" x14ac:dyDescent="0.55000000000000004">
      <c r="B26" s="202"/>
      <c r="C26" s="202"/>
      <c r="D26" s="10"/>
      <c r="E26" s="10"/>
      <c r="F26" s="10"/>
      <c r="G26" s="10"/>
      <c r="H26" s="10"/>
      <c r="M26" s="11"/>
      <c r="N26" s="11"/>
    </row>
    <row r="27" spans="1:19" x14ac:dyDescent="0.55000000000000004">
      <c r="B27" s="10"/>
      <c r="C27" s="45"/>
      <c r="D27" s="10"/>
      <c r="E27" s="10"/>
      <c r="F27" s="10"/>
      <c r="G27" s="10"/>
      <c r="H27" s="10"/>
      <c r="M27" s="11"/>
      <c r="N27" s="11"/>
    </row>
    <row r="28" spans="1:19" x14ac:dyDescent="0.55000000000000004">
      <c r="B28" s="10"/>
      <c r="C28" s="45"/>
      <c r="D28" s="10"/>
      <c r="E28" s="10"/>
      <c r="F28" s="10"/>
      <c r="G28" s="10"/>
      <c r="H28" s="10"/>
      <c r="M28" s="11"/>
      <c r="N28" s="11"/>
    </row>
    <row r="29" spans="1:19" x14ac:dyDescent="0.55000000000000004">
      <c r="B29" s="10"/>
      <c r="C29" s="10"/>
      <c r="D29" s="10"/>
      <c r="E29" s="10"/>
      <c r="F29" s="10"/>
      <c r="G29" s="10"/>
      <c r="H29" s="10"/>
      <c r="M29" s="11"/>
      <c r="N29" s="11"/>
    </row>
    <row r="30" spans="1:19" x14ac:dyDescent="0.55000000000000004">
      <c r="B30" s="10"/>
      <c r="C30" s="10"/>
      <c r="D30" s="10"/>
      <c r="E30" s="10"/>
      <c r="F30" s="10"/>
      <c r="G30" s="10"/>
      <c r="H30" s="10"/>
      <c r="M30" s="11"/>
      <c r="N30" s="11"/>
    </row>
    <row r="31" spans="1:19" x14ac:dyDescent="0.55000000000000004">
      <c r="B31" s="10"/>
      <c r="C31" s="10"/>
      <c r="D31" s="10"/>
      <c r="E31" s="10"/>
      <c r="F31" s="10"/>
      <c r="G31" s="10"/>
      <c r="H31" s="10"/>
      <c r="M31" s="11"/>
      <c r="N31" s="11"/>
    </row>
    <row r="32" spans="1:19" x14ac:dyDescent="0.55000000000000004">
      <c r="B32" s="10"/>
      <c r="C32" s="10"/>
      <c r="D32" s="10"/>
      <c r="E32" s="10"/>
      <c r="F32" s="10"/>
      <c r="G32" s="10"/>
      <c r="H32" s="10"/>
      <c r="M32" s="11"/>
      <c r="N32" s="11"/>
    </row>
    <row r="33" spans="2:14" x14ac:dyDescent="0.55000000000000004">
      <c r="B33" s="10"/>
      <c r="C33" s="10"/>
      <c r="D33" s="10"/>
      <c r="E33" s="10"/>
      <c r="F33" s="10"/>
      <c r="G33" s="10"/>
      <c r="H33" s="10"/>
      <c r="M33" s="11"/>
      <c r="N33" s="11"/>
    </row>
    <row r="34" spans="2:14" x14ac:dyDescent="0.55000000000000004">
      <c r="B34" s="10"/>
      <c r="C34" s="10"/>
      <c r="D34" s="10"/>
      <c r="E34" s="10"/>
      <c r="F34" s="10"/>
      <c r="G34" s="10"/>
      <c r="H34" s="10"/>
      <c r="M34" s="11"/>
      <c r="N34" s="11"/>
    </row>
    <row r="35" spans="2:14" x14ac:dyDescent="0.55000000000000004">
      <c r="B35" s="10"/>
      <c r="C35" s="10"/>
      <c r="D35" s="10"/>
      <c r="E35" s="10"/>
      <c r="F35" s="10"/>
      <c r="G35" s="10"/>
      <c r="H35" s="10"/>
      <c r="M35" s="11"/>
      <c r="N35" s="11"/>
    </row>
    <row r="36" spans="2:14" x14ac:dyDescent="0.55000000000000004">
      <c r="B36" s="10"/>
      <c r="C36" s="10"/>
      <c r="D36" s="10"/>
      <c r="E36" s="10"/>
      <c r="F36" s="10"/>
      <c r="G36" s="10"/>
      <c r="H36" s="10"/>
      <c r="M36" s="11"/>
      <c r="N36" s="11"/>
    </row>
    <row r="37" spans="2:14" x14ac:dyDescent="0.55000000000000004">
      <c r="B37" s="10"/>
      <c r="C37" s="10"/>
      <c r="D37" s="10"/>
      <c r="E37" s="10"/>
      <c r="F37" s="10"/>
      <c r="G37" s="10"/>
      <c r="H37" s="10"/>
      <c r="M37" s="11"/>
      <c r="N37" s="11"/>
    </row>
    <row r="38" spans="2:14" x14ac:dyDescent="0.55000000000000004">
      <c r="B38" s="10"/>
      <c r="C38" s="10"/>
      <c r="D38" s="10"/>
      <c r="E38" s="10"/>
      <c r="F38" s="10"/>
      <c r="G38" s="10"/>
      <c r="H38" s="10"/>
      <c r="M38" s="11"/>
      <c r="N38" s="11"/>
    </row>
    <row r="39" spans="2:14" x14ac:dyDescent="0.55000000000000004">
      <c r="B39" s="10"/>
      <c r="C39" s="10"/>
      <c r="D39" s="10"/>
      <c r="E39" s="10"/>
      <c r="F39" s="10"/>
      <c r="G39" s="10"/>
      <c r="H39" s="10"/>
      <c r="M39" s="11"/>
      <c r="N39" s="11"/>
    </row>
    <row r="40" spans="2:14" x14ac:dyDescent="0.55000000000000004">
      <c r="B40" s="10"/>
      <c r="C40" s="10"/>
      <c r="D40" s="10"/>
      <c r="E40" s="10"/>
      <c r="F40" s="10"/>
      <c r="G40" s="10"/>
      <c r="H40" s="10"/>
      <c r="M40" s="11"/>
      <c r="N40" s="11"/>
    </row>
    <row r="41" spans="2:14" x14ac:dyDescent="0.55000000000000004">
      <c r="B41" s="10"/>
      <c r="C41" s="10"/>
      <c r="D41" s="10"/>
      <c r="E41" s="10"/>
      <c r="F41" s="10"/>
      <c r="G41" s="10"/>
      <c r="H41" s="10"/>
      <c r="M41" s="11"/>
      <c r="N41" s="11"/>
    </row>
    <row r="42" spans="2:14" x14ac:dyDescent="0.55000000000000004">
      <c r="B42" s="10"/>
      <c r="C42" s="10"/>
      <c r="D42" s="10"/>
      <c r="E42" s="10"/>
      <c r="F42" s="10"/>
      <c r="G42" s="10"/>
      <c r="H42" s="10"/>
      <c r="M42" s="11"/>
      <c r="N42" s="11"/>
    </row>
    <row r="43" spans="2:14" x14ac:dyDescent="0.55000000000000004">
      <c r="B43" s="10"/>
      <c r="C43" s="10"/>
      <c r="D43" s="10"/>
      <c r="E43" s="10"/>
      <c r="F43" s="10"/>
      <c r="G43" s="10"/>
      <c r="H43" s="10"/>
      <c r="M43" s="11"/>
      <c r="N43" s="11"/>
    </row>
    <row r="44" spans="2:14" x14ac:dyDescent="0.55000000000000004">
      <c r="B44" s="10"/>
      <c r="C44" s="10"/>
      <c r="D44" s="10"/>
      <c r="E44" s="10"/>
      <c r="F44" s="10"/>
      <c r="G44" s="10"/>
      <c r="H44" s="10"/>
      <c r="M44" s="11"/>
      <c r="N44" s="11"/>
    </row>
    <row r="45" spans="2:14" x14ac:dyDescent="0.55000000000000004">
      <c r="B45" s="10"/>
      <c r="C45" s="10"/>
      <c r="D45" s="10"/>
      <c r="E45" s="10"/>
      <c r="F45" s="10"/>
      <c r="G45" s="10"/>
      <c r="H45" s="10"/>
      <c r="M45" s="11"/>
      <c r="N45" s="11"/>
    </row>
    <row r="46" spans="2:14" x14ac:dyDescent="0.55000000000000004">
      <c r="B46" s="10"/>
      <c r="C46" s="10"/>
      <c r="D46" s="10"/>
      <c r="E46" s="10"/>
      <c r="F46" s="10"/>
      <c r="G46" s="10"/>
      <c r="H46" s="10"/>
      <c r="M46" s="11"/>
      <c r="N46" s="11"/>
    </row>
    <row r="47" spans="2:14" x14ac:dyDescent="0.55000000000000004">
      <c r="B47" s="10"/>
      <c r="C47" s="10"/>
      <c r="D47" s="10"/>
      <c r="E47" s="10"/>
      <c r="F47" s="10"/>
      <c r="G47" s="10"/>
      <c r="H47" s="10"/>
      <c r="M47" s="11"/>
      <c r="N47" s="11"/>
    </row>
    <row r="48" spans="2:14" x14ac:dyDescent="0.55000000000000004">
      <c r="B48" s="10"/>
      <c r="C48" s="10"/>
      <c r="D48" s="10"/>
      <c r="E48" s="10"/>
      <c r="F48" s="10"/>
      <c r="G48" s="10"/>
      <c r="H48" s="10"/>
      <c r="M48" s="11"/>
      <c r="N48" s="11"/>
    </row>
    <row r="49" spans="2:14" x14ac:dyDescent="0.55000000000000004">
      <c r="B49" s="10"/>
      <c r="C49" s="10"/>
      <c r="D49" s="10"/>
      <c r="E49" s="10"/>
      <c r="F49" s="10"/>
      <c r="G49" s="10"/>
      <c r="H49" s="10"/>
      <c r="M49" s="11"/>
      <c r="N49" s="11"/>
    </row>
    <row r="50" spans="2:14" x14ac:dyDescent="0.55000000000000004">
      <c r="B50" s="10"/>
      <c r="C50" s="10"/>
      <c r="D50" s="10"/>
      <c r="E50" s="10"/>
      <c r="F50" s="10"/>
      <c r="G50" s="10"/>
      <c r="H50" s="10"/>
      <c r="M50" s="11"/>
      <c r="N50" s="11"/>
    </row>
    <row r="51" spans="2:14" x14ac:dyDescent="0.55000000000000004">
      <c r="B51" s="10"/>
      <c r="C51" s="10"/>
      <c r="D51" s="10"/>
      <c r="E51" s="10"/>
      <c r="F51" s="10"/>
      <c r="G51" s="10"/>
      <c r="H51" s="10"/>
      <c r="M51" s="11"/>
      <c r="N51" s="11"/>
    </row>
    <row r="52" spans="2:14" x14ac:dyDescent="0.55000000000000004">
      <c r="B52" s="10"/>
      <c r="C52" s="10"/>
      <c r="D52" s="10"/>
      <c r="E52" s="10"/>
      <c r="F52" s="10"/>
      <c r="G52" s="10"/>
      <c r="H52" s="10"/>
      <c r="M52" s="11"/>
      <c r="N52" s="11"/>
    </row>
    <row r="53" spans="2:14" x14ac:dyDescent="0.55000000000000004">
      <c r="B53" s="10"/>
      <c r="C53" s="10"/>
      <c r="D53" s="10"/>
      <c r="E53" s="10"/>
      <c r="F53" s="10"/>
      <c r="G53" s="10"/>
      <c r="H53" s="10"/>
      <c r="M53" s="11"/>
      <c r="N53" s="11"/>
    </row>
    <row r="54" spans="2:14" x14ac:dyDescent="0.55000000000000004">
      <c r="B54" s="10"/>
      <c r="C54" s="10"/>
      <c r="D54" s="10"/>
      <c r="E54" s="10"/>
      <c r="F54" s="10"/>
      <c r="G54" s="10"/>
      <c r="H54" s="10"/>
      <c r="M54" s="11"/>
      <c r="N54" s="11"/>
    </row>
    <row r="55" spans="2:14" x14ac:dyDescent="0.55000000000000004">
      <c r="B55" s="10"/>
      <c r="C55" s="10"/>
      <c r="D55" s="10"/>
      <c r="E55" s="10"/>
      <c r="F55" s="10"/>
      <c r="G55" s="10"/>
      <c r="H55" s="10"/>
      <c r="M55" s="11"/>
      <c r="N55" s="11"/>
    </row>
    <row r="56" spans="2:14" x14ac:dyDescent="0.55000000000000004">
      <c r="B56" s="10"/>
      <c r="C56" s="10"/>
      <c r="D56" s="10"/>
      <c r="E56" s="10"/>
      <c r="F56" s="10"/>
      <c r="G56" s="10"/>
      <c r="H56" s="10"/>
      <c r="M56" s="11"/>
      <c r="N56" s="11"/>
    </row>
    <row r="57" spans="2:14" x14ac:dyDescent="0.55000000000000004">
      <c r="B57" s="10"/>
      <c r="C57" s="10"/>
      <c r="D57" s="10"/>
      <c r="E57" s="10"/>
      <c r="F57" s="10"/>
      <c r="G57" s="10"/>
      <c r="H57" s="10"/>
      <c r="M57" s="11"/>
      <c r="N57" s="11"/>
    </row>
    <row r="58" spans="2:14" x14ac:dyDescent="0.55000000000000004">
      <c r="B58" s="10"/>
      <c r="C58" s="10"/>
      <c r="D58" s="10"/>
      <c r="E58" s="10"/>
      <c r="F58" s="10"/>
      <c r="G58" s="10"/>
      <c r="H58" s="10"/>
      <c r="M58" s="11"/>
      <c r="N58" s="11"/>
    </row>
    <row r="59" spans="2:14" x14ac:dyDescent="0.55000000000000004">
      <c r="B59" s="10"/>
      <c r="C59" s="10"/>
      <c r="D59" s="10"/>
      <c r="E59" s="10"/>
      <c r="F59" s="10"/>
      <c r="G59" s="10"/>
      <c r="H59" s="10"/>
      <c r="M59" s="11"/>
      <c r="N59" s="11"/>
    </row>
    <row r="60" spans="2:14" x14ac:dyDescent="0.55000000000000004">
      <c r="B60" s="10"/>
      <c r="C60" s="10"/>
      <c r="D60" s="10"/>
      <c r="E60" s="10"/>
      <c r="F60" s="10"/>
      <c r="G60" s="10"/>
      <c r="H60" s="10"/>
      <c r="M60" s="11"/>
      <c r="N60" s="11"/>
    </row>
    <row r="61" spans="2:14" x14ac:dyDescent="0.55000000000000004">
      <c r="B61" s="10"/>
      <c r="C61" s="10"/>
      <c r="D61" s="10"/>
      <c r="E61" s="10"/>
      <c r="F61" s="10"/>
      <c r="G61" s="10"/>
      <c r="H61" s="10"/>
      <c r="M61" s="11"/>
      <c r="N61" s="11"/>
    </row>
    <row r="62" spans="2:14" x14ac:dyDescent="0.55000000000000004">
      <c r="B62" s="10"/>
      <c r="C62" s="10"/>
      <c r="D62" s="10"/>
      <c r="E62" s="10"/>
      <c r="F62" s="10"/>
      <c r="G62" s="10"/>
      <c r="H62" s="10"/>
      <c r="M62" s="11"/>
      <c r="N62" s="11"/>
    </row>
    <row r="63" spans="2:14" x14ac:dyDescent="0.55000000000000004">
      <c r="B63" s="10"/>
      <c r="C63" s="10"/>
      <c r="D63" s="10"/>
      <c r="E63" s="10"/>
      <c r="F63" s="10"/>
      <c r="G63" s="10"/>
      <c r="H63" s="10"/>
      <c r="M63" s="11"/>
      <c r="N63" s="11"/>
    </row>
    <row r="64" spans="2:14" x14ac:dyDescent="0.55000000000000004">
      <c r="B64" s="10"/>
      <c r="C64" s="10"/>
      <c r="D64" s="10"/>
      <c r="E64" s="10"/>
      <c r="F64" s="10"/>
      <c r="G64" s="10"/>
      <c r="H64" s="10"/>
      <c r="M64" s="11"/>
      <c r="N64" s="11"/>
    </row>
    <row r="65" spans="2:14" x14ac:dyDescent="0.55000000000000004">
      <c r="B65" s="10"/>
      <c r="C65" s="10"/>
      <c r="D65" s="10"/>
      <c r="E65" s="10"/>
      <c r="F65" s="10"/>
      <c r="G65" s="10"/>
      <c r="H65" s="10"/>
      <c r="M65" s="11"/>
      <c r="N65" s="11"/>
    </row>
    <row r="66" spans="2:14" x14ac:dyDescent="0.55000000000000004">
      <c r="B66" s="10"/>
      <c r="C66" s="10"/>
      <c r="D66" s="10"/>
      <c r="E66" s="10"/>
      <c r="F66" s="10"/>
      <c r="G66" s="10"/>
      <c r="H66" s="10"/>
      <c r="M66" s="11"/>
      <c r="N66" s="11"/>
    </row>
    <row r="67" spans="2:14" x14ac:dyDescent="0.55000000000000004">
      <c r="B67" s="10"/>
      <c r="C67" s="10"/>
      <c r="D67" s="10"/>
      <c r="E67" s="10"/>
      <c r="F67" s="10"/>
      <c r="G67" s="10"/>
      <c r="H67" s="10"/>
      <c r="M67" s="11"/>
      <c r="N67" s="11"/>
    </row>
    <row r="68" spans="2:14" x14ac:dyDescent="0.55000000000000004">
      <c r="B68" s="10"/>
      <c r="C68" s="10"/>
      <c r="D68" s="10"/>
      <c r="E68" s="10"/>
      <c r="F68" s="10"/>
      <c r="G68" s="10"/>
      <c r="H68" s="10"/>
      <c r="M68" s="11"/>
      <c r="N68" s="11"/>
    </row>
    <row r="69" spans="2:14" x14ac:dyDescent="0.55000000000000004">
      <c r="B69" s="10"/>
      <c r="C69" s="10"/>
      <c r="D69" s="10"/>
      <c r="E69" s="10"/>
      <c r="F69" s="10"/>
      <c r="G69" s="10"/>
      <c r="H69" s="10"/>
      <c r="M69" s="11"/>
      <c r="N69" s="11"/>
    </row>
    <row r="70" spans="2:14" x14ac:dyDescent="0.55000000000000004">
      <c r="B70" s="10"/>
      <c r="C70" s="10"/>
      <c r="D70" s="10"/>
      <c r="E70" s="10"/>
      <c r="F70" s="10"/>
      <c r="G70" s="10"/>
      <c r="H70" s="10"/>
      <c r="M70" s="11"/>
      <c r="N70" s="11"/>
    </row>
    <row r="71" spans="2:14" x14ac:dyDescent="0.55000000000000004">
      <c r="B71" s="10"/>
      <c r="C71" s="10"/>
      <c r="D71" s="10"/>
      <c r="E71" s="10"/>
      <c r="F71" s="10"/>
      <c r="G71" s="10"/>
      <c r="H71" s="10"/>
      <c r="M71" s="11"/>
      <c r="N71" s="11"/>
    </row>
    <row r="72" spans="2:14" x14ac:dyDescent="0.55000000000000004">
      <c r="B72" s="10"/>
      <c r="C72" s="10"/>
      <c r="D72" s="10"/>
      <c r="E72" s="10"/>
      <c r="F72" s="10"/>
      <c r="G72" s="10"/>
      <c r="H72" s="10"/>
      <c r="M72" s="11"/>
      <c r="N72" s="11"/>
    </row>
    <row r="73" spans="2:14" x14ac:dyDescent="0.55000000000000004">
      <c r="B73" s="10"/>
      <c r="C73" s="10"/>
      <c r="D73" s="10"/>
      <c r="E73" s="10"/>
      <c r="F73" s="10"/>
      <c r="G73" s="10"/>
      <c r="H73" s="10"/>
      <c r="M73" s="11"/>
      <c r="N73" s="11"/>
    </row>
    <row r="74" spans="2:14" x14ac:dyDescent="0.55000000000000004">
      <c r="B74" s="10"/>
      <c r="C74" s="10"/>
      <c r="D74" s="10"/>
      <c r="E74" s="10"/>
      <c r="F74" s="10"/>
      <c r="G74" s="10"/>
      <c r="H74" s="10"/>
      <c r="M74" s="11"/>
      <c r="N74" s="11"/>
    </row>
    <row r="75" spans="2:14" x14ac:dyDescent="0.55000000000000004">
      <c r="B75" s="10"/>
      <c r="C75" s="10"/>
      <c r="D75" s="10"/>
      <c r="E75" s="10"/>
      <c r="F75" s="10"/>
      <c r="G75" s="10"/>
      <c r="H75" s="10"/>
      <c r="M75" s="11"/>
      <c r="N75" s="11"/>
    </row>
    <row r="76" spans="2:14" x14ac:dyDescent="0.55000000000000004">
      <c r="B76" s="10"/>
      <c r="C76" s="10"/>
      <c r="D76" s="10"/>
      <c r="E76" s="10"/>
      <c r="F76" s="10"/>
      <c r="G76" s="10"/>
      <c r="H76" s="10"/>
      <c r="M76" s="11"/>
      <c r="N76" s="11"/>
    </row>
    <row r="77" spans="2:14" x14ac:dyDescent="0.55000000000000004">
      <c r="B77" s="10"/>
      <c r="C77" s="10"/>
      <c r="D77" s="10"/>
      <c r="E77" s="10"/>
      <c r="F77" s="10"/>
      <c r="G77" s="10"/>
      <c r="H77" s="10"/>
      <c r="M77" s="11"/>
      <c r="N77" s="11"/>
    </row>
    <row r="78" spans="2:14" x14ac:dyDescent="0.55000000000000004">
      <c r="B78" s="10"/>
      <c r="C78" s="10"/>
      <c r="D78" s="10"/>
      <c r="E78" s="10"/>
      <c r="F78" s="10"/>
      <c r="G78" s="10"/>
      <c r="H78" s="10"/>
      <c r="M78" s="11"/>
      <c r="N78" s="11"/>
    </row>
    <row r="79" spans="2:14" x14ac:dyDescent="0.55000000000000004">
      <c r="B79" s="10"/>
      <c r="C79" s="10"/>
      <c r="D79" s="10"/>
      <c r="E79" s="10"/>
      <c r="F79" s="10"/>
      <c r="G79" s="10"/>
      <c r="H79" s="10"/>
      <c r="M79" s="11"/>
      <c r="N79" s="11"/>
    </row>
    <row r="80" spans="2:14" x14ac:dyDescent="0.55000000000000004">
      <c r="B80" s="10"/>
      <c r="C80" s="10"/>
      <c r="D80" s="10"/>
      <c r="E80" s="10"/>
      <c r="F80" s="10"/>
      <c r="G80" s="10"/>
      <c r="H80" s="10"/>
      <c r="M80" s="11"/>
      <c r="N80" s="11"/>
    </row>
    <row r="81" spans="2:14" x14ac:dyDescent="0.55000000000000004">
      <c r="B81" s="10"/>
      <c r="C81" s="10"/>
      <c r="D81" s="10"/>
      <c r="E81" s="10"/>
      <c r="F81" s="10"/>
      <c r="G81" s="10"/>
      <c r="H81" s="10"/>
      <c r="M81" s="11"/>
      <c r="N81" s="11"/>
    </row>
    <row r="82" spans="2:14" x14ac:dyDescent="0.55000000000000004">
      <c r="B82" s="10"/>
      <c r="C82" s="10"/>
      <c r="D82" s="10"/>
      <c r="E82" s="10"/>
      <c r="F82" s="10"/>
      <c r="G82" s="10"/>
      <c r="H82" s="10"/>
      <c r="M82" s="11"/>
      <c r="N82" s="11"/>
    </row>
    <row r="83" spans="2:14" x14ac:dyDescent="0.55000000000000004">
      <c r="B83" s="10"/>
      <c r="C83" s="10"/>
      <c r="D83" s="10"/>
      <c r="E83" s="10"/>
      <c r="F83" s="10"/>
      <c r="G83" s="10"/>
      <c r="H83" s="10"/>
      <c r="M83" s="11"/>
      <c r="N83" s="11"/>
    </row>
    <row r="84" spans="2:14" x14ac:dyDescent="0.55000000000000004">
      <c r="B84" s="10"/>
      <c r="C84" s="10"/>
      <c r="D84" s="10"/>
      <c r="E84" s="10"/>
      <c r="F84" s="10"/>
      <c r="G84" s="10"/>
      <c r="H84" s="10"/>
      <c r="M84" s="11"/>
      <c r="N84" s="11"/>
    </row>
    <row r="85" spans="2:14" x14ac:dyDescent="0.55000000000000004">
      <c r="B85" s="10"/>
      <c r="C85" s="10"/>
      <c r="D85" s="10"/>
      <c r="E85" s="10"/>
      <c r="F85" s="10"/>
      <c r="G85" s="10"/>
      <c r="H85" s="10"/>
      <c r="M85" s="11"/>
      <c r="N85" s="11"/>
    </row>
    <row r="86" spans="2:14" x14ac:dyDescent="0.55000000000000004">
      <c r="B86" s="10"/>
      <c r="C86" s="10"/>
      <c r="D86" s="10"/>
      <c r="E86" s="10"/>
      <c r="F86" s="10"/>
      <c r="G86" s="10"/>
      <c r="H86" s="10"/>
      <c r="M86" s="11"/>
      <c r="N86" s="11"/>
    </row>
    <row r="87" spans="2:14" x14ac:dyDescent="0.55000000000000004">
      <c r="B87" s="10"/>
      <c r="C87" s="10"/>
      <c r="D87" s="10"/>
      <c r="E87" s="10"/>
      <c r="F87" s="10"/>
      <c r="G87" s="10"/>
      <c r="H87" s="10"/>
      <c r="M87" s="11"/>
      <c r="N87" s="11"/>
    </row>
    <row r="88" spans="2:14" x14ac:dyDescent="0.55000000000000004">
      <c r="B88" s="10"/>
      <c r="C88" s="10"/>
      <c r="D88" s="10"/>
      <c r="E88" s="10"/>
      <c r="F88" s="10"/>
      <c r="G88" s="10"/>
      <c r="H88" s="10"/>
      <c r="M88" s="11"/>
      <c r="N88" s="11"/>
    </row>
    <row r="89" spans="2:14" x14ac:dyDescent="0.55000000000000004">
      <c r="B89" s="10"/>
      <c r="C89" s="10"/>
      <c r="D89" s="10"/>
      <c r="E89" s="10"/>
      <c r="F89" s="10"/>
      <c r="G89" s="10"/>
      <c r="H89" s="10"/>
      <c r="M89" s="11"/>
      <c r="N89" s="11"/>
    </row>
    <row r="90" spans="2:14" x14ac:dyDescent="0.55000000000000004">
      <c r="B90" s="10"/>
      <c r="C90" s="10"/>
      <c r="D90" s="10"/>
      <c r="E90" s="10"/>
      <c r="F90" s="10"/>
      <c r="G90" s="10"/>
      <c r="H90" s="10"/>
      <c r="M90" s="11"/>
      <c r="N90" s="11"/>
    </row>
    <row r="91" spans="2:14" x14ac:dyDescent="0.55000000000000004">
      <c r="B91" s="10"/>
      <c r="C91" s="10"/>
      <c r="D91" s="10"/>
      <c r="E91" s="10"/>
      <c r="F91" s="10"/>
      <c r="G91" s="10"/>
      <c r="H91" s="10"/>
      <c r="M91" s="11"/>
      <c r="N91" s="11"/>
    </row>
    <row r="92" spans="2:14" x14ac:dyDescent="0.55000000000000004">
      <c r="B92" s="10"/>
      <c r="C92" s="10"/>
      <c r="D92" s="10"/>
      <c r="E92" s="10"/>
      <c r="F92" s="10"/>
      <c r="G92" s="10"/>
      <c r="H92" s="10"/>
      <c r="M92" s="11"/>
      <c r="N92" s="11"/>
    </row>
    <row r="93" spans="2:14" x14ac:dyDescent="0.55000000000000004">
      <c r="B93" s="10"/>
      <c r="C93" s="10"/>
      <c r="D93" s="10"/>
      <c r="E93" s="10"/>
      <c r="F93" s="10"/>
      <c r="G93" s="10"/>
      <c r="H93" s="10"/>
      <c r="M93" s="11"/>
      <c r="N93" s="11"/>
    </row>
    <row r="94" spans="2:14" x14ac:dyDescent="0.55000000000000004">
      <c r="B94" s="10"/>
      <c r="C94" s="10"/>
      <c r="D94" s="10"/>
      <c r="E94" s="10"/>
      <c r="F94" s="10"/>
      <c r="G94" s="10"/>
      <c r="H94" s="10"/>
      <c r="M94" s="11"/>
      <c r="N94" s="11"/>
    </row>
    <row r="95" spans="2:14" x14ac:dyDescent="0.55000000000000004">
      <c r="B95" s="10"/>
      <c r="C95" s="10"/>
      <c r="D95" s="10"/>
      <c r="E95" s="10"/>
      <c r="F95" s="10"/>
      <c r="G95" s="10"/>
      <c r="H95" s="10"/>
      <c r="M95" s="11"/>
      <c r="N95" s="11"/>
    </row>
    <row r="96" spans="2:14" x14ac:dyDescent="0.55000000000000004">
      <c r="B96" s="10"/>
      <c r="C96" s="10"/>
      <c r="D96" s="10"/>
      <c r="E96" s="10"/>
      <c r="F96" s="10"/>
      <c r="G96" s="10"/>
      <c r="H96" s="10"/>
      <c r="M96" s="11"/>
      <c r="N96" s="11"/>
    </row>
    <row r="97" spans="2:14" x14ac:dyDescent="0.55000000000000004">
      <c r="B97" s="10"/>
      <c r="C97" s="10"/>
      <c r="D97" s="10"/>
      <c r="E97" s="10"/>
      <c r="F97" s="10"/>
      <c r="G97" s="10"/>
      <c r="H97" s="10"/>
      <c r="M97" s="11"/>
      <c r="N97" s="11"/>
    </row>
    <row r="98" spans="2:14" x14ac:dyDescent="0.55000000000000004">
      <c r="B98" s="10"/>
      <c r="C98" s="10"/>
      <c r="D98" s="10"/>
      <c r="E98" s="10"/>
      <c r="F98" s="10"/>
      <c r="G98" s="10"/>
      <c r="H98" s="10"/>
      <c r="M98" s="11"/>
      <c r="N98" s="11"/>
    </row>
    <row r="99" spans="2:14" x14ac:dyDescent="0.55000000000000004">
      <c r="B99" s="10"/>
      <c r="C99" s="10"/>
      <c r="D99" s="10"/>
      <c r="E99" s="10"/>
      <c r="F99" s="10"/>
      <c r="G99" s="10"/>
      <c r="H99" s="10"/>
      <c r="M99" s="11"/>
      <c r="N99" s="11"/>
    </row>
    <row r="100" spans="2:14" x14ac:dyDescent="0.55000000000000004">
      <c r="B100" s="10"/>
      <c r="C100" s="10"/>
      <c r="D100" s="10"/>
      <c r="E100" s="10"/>
      <c r="F100" s="10"/>
      <c r="G100" s="10"/>
      <c r="H100" s="10"/>
      <c r="M100" s="11"/>
      <c r="N100" s="11"/>
    </row>
    <row r="101" spans="2:14" x14ac:dyDescent="0.55000000000000004">
      <c r="B101" s="10"/>
      <c r="C101" s="10"/>
      <c r="D101" s="10"/>
      <c r="E101" s="10"/>
      <c r="F101" s="10"/>
      <c r="G101" s="10"/>
      <c r="H101" s="10"/>
      <c r="M101" s="11"/>
      <c r="N101" s="11"/>
    </row>
    <row r="102" spans="2:14" x14ac:dyDescent="0.55000000000000004">
      <c r="B102" s="10"/>
      <c r="C102" s="10"/>
      <c r="D102" s="10"/>
      <c r="E102" s="10"/>
      <c r="F102" s="10"/>
      <c r="G102" s="10"/>
      <c r="H102" s="10"/>
      <c r="M102" s="11"/>
      <c r="N102" s="11"/>
    </row>
    <row r="103" spans="2:14" x14ac:dyDescent="0.55000000000000004">
      <c r="B103" s="10"/>
      <c r="C103" s="10"/>
      <c r="D103" s="10"/>
      <c r="E103" s="10"/>
      <c r="F103" s="10"/>
      <c r="G103" s="10"/>
      <c r="H103" s="10"/>
      <c r="M103" s="11"/>
      <c r="N103" s="11"/>
    </row>
    <row r="104" spans="2:14" x14ac:dyDescent="0.55000000000000004">
      <c r="B104" s="10"/>
      <c r="C104" s="10"/>
      <c r="D104" s="10"/>
      <c r="E104" s="10"/>
      <c r="F104" s="10"/>
      <c r="G104" s="10"/>
      <c r="H104" s="10"/>
      <c r="M104" s="11"/>
      <c r="N104" s="11"/>
    </row>
    <row r="105" spans="2:14" x14ac:dyDescent="0.55000000000000004">
      <c r="B105" s="10"/>
      <c r="C105" s="10"/>
      <c r="D105" s="10"/>
      <c r="E105" s="10"/>
      <c r="F105" s="10"/>
      <c r="G105" s="10"/>
      <c r="H105" s="10"/>
      <c r="M105" s="11"/>
      <c r="N105" s="11"/>
    </row>
    <row r="106" spans="2:14" x14ac:dyDescent="0.55000000000000004">
      <c r="B106" s="10"/>
      <c r="C106" s="10"/>
      <c r="D106" s="10"/>
      <c r="E106" s="10"/>
      <c r="F106" s="10"/>
      <c r="G106" s="10"/>
      <c r="H106" s="10"/>
      <c r="M106" s="11"/>
      <c r="N106" s="11"/>
    </row>
    <row r="107" spans="2:14" x14ac:dyDescent="0.55000000000000004">
      <c r="B107" s="10"/>
      <c r="C107" s="10"/>
      <c r="D107" s="10"/>
      <c r="E107" s="10"/>
      <c r="F107" s="10"/>
      <c r="G107" s="10"/>
      <c r="H107" s="10"/>
      <c r="M107" s="11"/>
      <c r="N107" s="11"/>
    </row>
    <row r="108" spans="2:14" x14ac:dyDescent="0.55000000000000004">
      <c r="B108" s="10"/>
      <c r="C108" s="10"/>
      <c r="D108" s="10"/>
      <c r="E108" s="10"/>
      <c r="F108" s="10"/>
      <c r="G108" s="10"/>
      <c r="H108" s="10"/>
      <c r="M108" s="11"/>
      <c r="N108" s="11"/>
    </row>
    <row r="109" spans="2:14" x14ac:dyDescent="0.55000000000000004">
      <c r="B109" s="10"/>
      <c r="C109" s="10"/>
      <c r="D109" s="10"/>
      <c r="E109" s="10"/>
      <c r="F109" s="10"/>
      <c r="G109" s="10"/>
      <c r="H109" s="10"/>
      <c r="M109" s="11"/>
      <c r="N109" s="11"/>
    </row>
    <row r="110" spans="2:14" x14ac:dyDescent="0.55000000000000004">
      <c r="B110" s="10"/>
      <c r="C110" s="10"/>
      <c r="D110" s="10"/>
      <c r="E110" s="10"/>
      <c r="F110" s="10"/>
      <c r="G110" s="10"/>
      <c r="H110" s="10"/>
      <c r="M110" s="11"/>
      <c r="N110" s="11"/>
    </row>
    <row r="111" spans="2:14" x14ac:dyDescent="0.55000000000000004">
      <c r="B111" s="10"/>
      <c r="C111" s="10"/>
      <c r="D111" s="10"/>
      <c r="E111" s="10"/>
      <c r="F111" s="10"/>
      <c r="G111" s="10"/>
      <c r="H111" s="10"/>
      <c r="M111" s="11"/>
      <c r="N111" s="11"/>
    </row>
    <row r="112" spans="2:14" x14ac:dyDescent="0.55000000000000004">
      <c r="B112" s="10"/>
      <c r="C112" s="10"/>
      <c r="D112" s="10"/>
      <c r="E112" s="10"/>
      <c r="F112" s="10"/>
      <c r="G112" s="10"/>
      <c r="H112" s="10"/>
      <c r="M112" s="11"/>
      <c r="N112" s="11"/>
    </row>
    <row r="113" spans="1:18" x14ac:dyDescent="0.55000000000000004">
      <c r="B113" s="10"/>
      <c r="C113" s="10"/>
      <c r="D113" s="10"/>
      <c r="E113" s="10"/>
      <c r="F113" s="10"/>
      <c r="G113" s="10"/>
      <c r="H113" s="10"/>
      <c r="M113" s="11"/>
      <c r="N113" s="11"/>
    </row>
    <row r="114" spans="1:18" x14ac:dyDescent="0.55000000000000004">
      <c r="B114" s="10"/>
      <c r="C114" s="10"/>
      <c r="D114" s="10"/>
      <c r="E114" s="10"/>
      <c r="F114" s="10"/>
      <c r="G114" s="10"/>
      <c r="H114" s="10"/>
      <c r="M114" s="11"/>
      <c r="N114" s="11"/>
    </row>
    <row r="115" spans="1:18" x14ac:dyDescent="0.55000000000000004">
      <c r="B115" s="10"/>
      <c r="C115" s="10"/>
      <c r="D115" s="10"/>
      <c r="E115" s="10"/>
      <c r="F115" s="10"/>
      <c r="G115" s="10"/>
      <c r="H115" s="10"/>
      <c r="M115" s="11"/>
      <c r="N115" s="11"/>
    </row>
    <row r="116" spans="1:18" x14ac:dyDescent="0.55000000000000004">
      <c r="B116" s="10"/>
      <c r="C116" s="10"/>
      <c r="D116" s="10"/>
      <c r="E116" s="10"/>
      <c r="F116" s="10"/>
      <c r="G116" s="10"/>
      <c r="H116" s="10"/>
      <c r="M116" s="11"/>
      <c r="N116" s="11"/>
    </row>
    <row r="117" spans="1:18" x14ac:dyDescent="0.55000000000000004">
      <c r="B117" s="10"/>
      <c r="C117" s="10"/>
      <c r="D117" s="10"/>
      <c r="E117" s="10"/>
      <c r="F117" s="10"/>
      <c r="G117" s="10"/>
      <c r="H117" s="10"/>
      <c r="M117" s="11"/>
      <c r="N117" s="11"/>
    </row>
    <row r="118" spans="1:18" x14ac:dyDescent="0.55000000000000004">
      <c r="B118" s="10"/>
      <c r="C118" s="10"/>
      <c r="D118" s="10"/>
      <c r="E118" s="10"/>
      <c r="F118" s="10"/>
      <c r="G118" s="10"/>
      <c r="H118" s="10"/>
      <c r="M118" s="11"/>
      <c r="N118" s="11"/>
    </row>
    <row r="119" spans="1:18" s="11" customFormat="1" x14ac:dyDescent="0.55000000000000004">
      <c r="A119" s="9"/>
      <c r="B119" s="10"/>
      <c r="C119" s="10"/>
      <c r="D119" s="10"/>
      <c r="E119" s="10"/>
      <c r="F119" s="10"/>
      <c r="G119" s="10"/>
      <c r="H119" s="10"/>
      <c r="O119" s="27"/>
      <c r="P119" s="27"/>
      <c r="Q119" s="27"/>
      <c r="R119" s="27"/>
    </row>
    <row r="120" spans="1:18" s="11" customFormat="1" x14ac:dyDescent="0.55000000000000004">
      <c r="A120" s="9"/>
      <c r="B120" s="10"/>
      <c r="C120" s="10"/>
      <c r="D120" s="10"/>
      <c r="E120" s="10"/>
      <c r="F120" s="10"/>
      <c r="G120" s="10"/>
      <c r="H120" s="10"/>
      <c r="O120" s="27"/>
      <c r="P120" s="27"/>
      <c r="Q120" s="27"/>
      <c r="R120" s="27"/>
    </row>
    <row r="121" spans="1:18" s="11" customFormat="1" x14ac:dyDescent="0.55000000000000004">
      <c r="A121" s="9"/>
      <c r="B121" s="10"/>
      <c r="C121" s="10"/>
      <c r="D121" s="10"/>
      <c r="E121" s="10"/>
      <c r="F121" s="10"/>
      <c r="G121" s="10"/>
      <c r="H121" s="10"/>
      <c r="O121" s="27"/>
      <c r="P121" s="27"/>
      <c r="Q121" s="27"/>
      <c r="R121" s="27"/>
    </row>
    <row r="122" spans="1:18" s="11" customFormat="1" x14ac:dyDescent="0.55000000000000004">
      <c r="A122" s="9"/>
      <c r="B122" s="10"/>
      <c r="C122" s="10"/>
      <c r="D122" s="10"/>
      <c r="E122" s="10"/>
      <c r="F122" s="10"/>
      <c r="G122" s="10"/>
      <c r="H122" s="10"/>
      <c r="O122" s="27"/>
      <c r="P122" s="27"/>
      <c r="Q122" s="27"/>
      <c r="R122" s="27"/>
    </row>
    <row r="123" spans="1:18" s="11" customFormat="1" x14ac:dyDescent="0.55000000000000004">
      <c r="A123" s="9"/>
      <c r="B123" s="10"/>
      <c r="C123" s="10"/>
      <c r="D123" s="10"/>
      <c r="E123" s="10"/>
      <c r="F123" s="10"/>
      <c r="G123" s="10"/>
      <c r="H123" s="10"/>
      <c r="O123" s="27"/>
      <c r="P123" s="27"/>
      <c r="Q123" s="27"/>
      <c r="R123" s="27"/>
    </row>
    <row r="124" spans="1:18" s="11" customFormat="1" x14ac:dyDescent="0.55000000000000004">
      <c r="A124" s="9"/>
      <c r="B124" s="10"/>
      <c r="C124" s="10"/>
      <c r="D124" s="10"/>
      <c r="E124" s="10"/>
      <c r="F124" s="10"/>
      <c r="G124" s="10"/>
      <c r="H124" s="10"/>
      <c r="O124" s="27"/>
      <c r="P124" s="27"/>
      <c r="Q124" s="27"/>
      <c r="R124" s="27"/>
    </row>
    <row r="125" spans="1:18" s="11" customFormat="1" x14ac:dyDescent="0.55000000000000004">
      <c r="A125" s="9"/>
      <c r="B125" s="10"/>
      <c r="C125" s="10"/>
      <c r="D125" s="10"/>
      <c r="E125" s="10"/>
      <c r="F125" s="10"/>
      <c r="G125" s="10"/>
      <c r="H125" s="10"/>
      <c r="O125" s="27"/>
      <c r="P125" s="27"/>
      <c r="Q125" s="27"/>
      <c r="R125" s="27"/>
    </row>
    <row r="126" spans="1:18" s="11" customFormat="1" x14ac:dyDescent="0.55000000000000004">
      <c r="A126" s="9"/>
      <c r="B126" s="10"/>
      <c r="C126" s="10"/>
      <c r="D126" s="10"/>
      <c r="E126" s="10"/>
      <c r="F126" s="10"/>
      <c r="G126" s="10"/>
      <c r="H126" s="10"/>
      <c r="O126" s="27"/>
      <c r="P126" s="27"/>
      <c r="Q126" s="27"/>
      <c r="R126" s="27"/>
    </row>
    <row r="127" spans="1:18" s="11" customFormat="1" x14ac:dyDescent="0.55000000000000004">
      <c r="A127" s="9"/>
      <c r="B127" s="10"/>
      <c r="C127" s="10"/>
      <c r="D127" s="10"/>
      <c r="E127" s="10"/>
      <c r="F127" s="10"/>
      <c r="G127" s="10"/>
      <c r="H127" s="10"/>
      <c r="O127" s="27"/>
      <c r="P127" s="27"/>
      <c r="Q127" s="27"/>
      <c r="R127" s="27"/>
    </row>
    <row r="128" spans="1:18" s="11" customFormat="1" x14ac:dyDescent="0.55000000000000004">
      <c r="A128" s="9"/>
      <c r="B128" s="10"/>
      <c r="C128" s="10"/>
      <c r="D128" s="10"/>
      <c r="E128" s="10"/>
      <c r="F128" s="10"/>
      <c r="G128" s="10"/>
      <c r="H128" s="10"/>
      <c r="O128" s="27"/>
      <c r="P128" s="27"/>
      <c r="Q128" s="27"/>
      <c r="R128" s="27"/>
    </row>
    <row r="129" spans="1:18" s="11" customFormat="1" x14ac:dyDescent="0.55000000000000004">
      <c r="A129" s="9"/>
      <c r="B129" s="10"/>
      <c r="C129" s="10"/>
      <c r="D129" s="10"/>
      <c r="E129" s="10"/>
      <c r="F129" s="10"/>
      <c r="G129" s="10"/>
      <c r="H129" s="10"/>
      <c r="O129" s="27"/>
      <c r="P129" s="27"/>
      <c r="Q129" s="27"/>
      <c r="R129" s="27"/>
    </row>
    <row r="130" spans="1:18" s="11" customFormat="1" x14ac:dyDescent="0.55000000000000004">
      <c r="A130" s="9"/>
      <c r="B130" s="10"/>
      <c r="C130" s="10"/>
      <c r="D130" s="10"/>
      <c r="E130" s="10"/>
      <c r="F130" s="10"/>
      <c r="G130" s="10"/>
      <c r="H130" s="10"/>
      <c r="O130" s="27"/>
      <c r="P130" s="27"/>
      <c r="Q130" s="27"/>
      <c r="R130" s="27"/>
    </row>
    <row r="131" spans="1:18" s="11" customFormat="1" x14ac:dyDescent="0.55000000000000004">
      <c r="A131" s="9"/>
      <c r="B131" s="10"/>
      <c r="C131" s="10"/>
      <c r="D131" s="10"/>
      <c r="E131" s="10"/>
      <c r="F131" s="10"/>
      <c r="G131" s="10"/>
      <c r="H131" s="10"/>
      <c r="O131" s="27"/>
      <c r="P131" s="27"/>
      <c r="Q131" s="27"/>
      <c r="R131" s="27"/>
    </row>
    <row r="132" spans="1:18" s="11" customFormat="1" x14ac:dyDescent="0.55000000000000004">
      <c r="A132" s="9"/>
      <c r="B132" s="10"/>
      <c r="C132" s="10"/>
      <c r="D132" s="10"/>
      <c r="E132" s="10"/>
      <c r="F132" s="10"/>
      <c r="G132" s="10"/>
      <c r="H132" s="10"/>
      <c r="O132" s="27"/>
      <c r="P132" s="27"/>
      <c r="Q132" s="27"/>
      <c r="R132" s="27"/>
    </row>
    <row r="133" spans="1:18" s="11" customFormat="1" x14ac:dyDescent="0.55000000000000004">
      <c r="A133" s="9"/>
      <c r="B133" s="10"/>
      <c r="C133" s="10"/>
      <c r="D133" s="10"/>
      <c r="E133" s="10"/>
      <c r="F133" s="10"/>
      <c r="G133" s="10"/>
      <c r="H133" s="10"/>
      <c r="O133" s="27"/>
      <c r="P133" s="27"/>
      <c r="Q133" s="27"/>
      <c r="R133" s="27"/>
    </row>
    <row r="134" spans="1:18" s="11" customFormat="1" x14ac:dyDescent="0.55000000000000004">
      <c r="A134" s="9"/>
      <c r="B134" s="10"/>
      <c r="C134" s="10"/>
      <c r="D134" s="10"/>
      <c r="E134" s="10"/>
      <c r="F134" s="10"/>
      <c r="G134" s="10"/>
      <c r="H134" s="10"/>
      <c r="O134" s="27"/>
      <c r="P134" s="27"/>
      <c r="Q134" s="27"/>
      <c r="R134" s="27"/>
    </row>
    <row r="135" spans="1:18" s="11" customFormat="1" x14ac:dyDescent="0.55000000000000004">
      <c r="A135" s="9"/>
      <c r="B135" s="10"/>
      <c r="C135" s="10"/>
      <c r="D135" s="10"/>
      <c r="E135" s="10"/>
      <c r="F135" s="10"/>
      <c r="G135" s="10"/>
      <c r="H135" s="10"/>
      <c r="O135" s="27"/>
      <c r="P135" s="27"/>
      <c r="Q135" s="27"/>
      <c r="R135" s="27"/>
    </row>
    <row r="136" spans="1:18" s="11" customFormat="1" x14ac:dyDescent="0.55000000000000004">
      <c r="A136" s="9"/>
      <c r="B136" s="10"/>
      <c r="C136" s="10"/>
      <c r="D136" s="10"/>
      <c r="E136" s="10"/>
      <c r="F136" s="10"/>
      <c r="G136" s="10"/>
      <c r="H136" s="10"/>
      <c r="O136" s="27"/>
      <c r="P136" s="27"/>
      <c r="Q136" s="27"/>
      <c r="R136" s="27"/>
    </row>
    <row r="137" spans="1:18" s="11" customFormat="1" x14ac:dyDescent="0.55000000000000004">
      <c r="A137" s="9"/>
      <c r="B137" s="10"/>
      <c r="C137" s="10"/>
      <c r="D137" s="10"/>
      <c r="E137" s="10"/>
      <c r="F137" s="10"/>
      <c r="G137" s="10"/>
      <c r="H137" s="10"/>
      <c r="O137" s="27"/>
      <c r="P137" s="27"/>
      <c r="Q137" s="27"/>
      <c r="R137" s="27"/>
    </row>
    <row r="138" spans="1:18" s="11" customFormat="1" x14ac:dyDescent="0.55000000000000004">
      <c r="A138" s="9"/>
      <c r="B138" s="10"/>
      <c r="C138" s="10"/>
      <c r="D138" s="10"/>
      <c r="E138" s="10"/>
      <c r="F138" s="10"/>
      <c r="G138" s="10"/>
      <c r="H138" s="10"/>
      <c r="O138" s="27"/>
      <c r="P138" s="27"/>
      <c r="Q138" s="27"/>
      <c r="R138" s="27"/>
    </row>
    <row r="139" spans="1:18" s="11" customFormat="1" x14ac:dyDescent="0.55000000000000004">
      <c r="A139" s="9"/>
      <c r="B139" s="10"/>
      <c r="C139" s="10"/>
      <c r="D139" s="10"/>
      <c r="E139" s="10"/>
      <c r="F139" s="10"/>
      <c r="G139" s="10"/>
      <c r="H139" s="10"/>
      <c r="O139" s="27"/>
      <c r="P139" s="27"/>
      <c r="Q139" s="27"/>
      <c r="R139" s="27"/>
    </row>
    <row r="140" spans="1:18" s="11" customFormat="1" x14ac:dyDescent="0.55000000000000004">
      <c r="A140" s="9"/>
      <c r="B140" s="10"/>
      <c r="C140" s="10"/>
      <c r="D140" s="10"/>
      <c r="E140" s="10"/>
      <c r="F140" s="10"/>
      <c r="G140" s="10"/>
      <c r="H140" s="10"/>
      <c r="O140" s="27"/>
      <c r="P140" s="27"/>
      <c r="Q140" s="27"/>
      <c r="R140" s="27"/>
    </row>
    <row r="141" spans="1:18" s="11" customFormat="1" x14ac:dyDescent="0.55000000000000004">
      <c r="A141" s="9"/>
      <c r="B141" s="10"/>
      <c r="C141" s="10"/>
      <c r="D141" s="10"/>
      <c r="E141" s="10"/>
      <c r="F141" s="10"/>
      <c r="G141" s="10"/>
      <c r="H141" s="10"/>
      <c r="O141" s="27"/>
      <c r="P141" s="27"/>
      <c r="Q141" s="27"/>
      <c r="R141" s="27"/>
    </row>
    <row r="142" spans="1:18" s="11" customFormat="1" x14ac:dyDescent="0.55000000000000004">
      <c r="A142" s="9"/>
      <c r="B142" s="10"/>
      <c r="C142" s="10"/>
      <c r="D142" s="10"/>
      <c r="E142" s="10"/>
      <c r="F142" s="10"/>
      <c r="G142" s="10"/>
      <c r="H142" s="10"/>
      <c r="O142" s="27"/>
      <c r="P142" s="27"/>
      <c r="Q142" s="27"/>
      <c r="R142" s="27"/>
    </row>
    <row r="143" spans="1:18" s="11" customFormat="1" x14ac:dyDescent="0.55000000000000004">
      <c r="A143" s="9"/>
      <c r="B143" s="10"/>
      <c r="C143" s="10"/>
      <c r="D143" s="10"/>
      <c r="E143" s="10"/>
      <c r="F143" s="10"/>
      <c r="G143" s="10"/>
      <c r="H143" s="10"/>
      <c r="O143" s="27"/>
      <c r="P143" s="27"/>
      <c r="Q143" s="27"/>
      <c r="R143" s="27"/>
    </row>
    <row r="144" spans="1:18" s="11" customFormat="1" x14ac:dyDescent="0.55000000000000004">
      <c r="A144" s="9"/>
      <c r="B144" s="10"/>
      <c r="C144" s="10"/>
      <c r="D144" s="10"/>
      <c r="E144" s="10"/>
      <c r="F144" s="10"/>
      <c r="G144" s="10"/>
      <c r="H144" s="10"/>
      <c r="O144" s="27"/>
      <c r="P144" s="27"/>
      <c r="Q144" s="27"/>
      <c r="R144" s="27"/>
    </row>
    <row r="145" spans="1:18" s="11" customFormat="1" x14ac:dyDescent="0.55000000000000004">
      <c r="A145" s="9"/>
      <c r="B145" s="10"/>
      <c r="C145" s="10"/>
      <c r="D145" s="10"/>
      <c r="E145" s="10"/>
      <c r="F145" s="10"/>
      <c r="G145" s="10"/>
      <c r="H145" s="10"/>
      <c r="O145" s="27"/>
      <c r="P145" s="27"/>
      <c r="Q145" s="27"/>
      <c r="R145" s="27"/>
    </row>
    <row r="146" spans="1:18" s="11" customFormat="1" x14ac:dyDescent="0.55000000000000004">
      <c r="A146" s="9"/>
      <c r="B146" s="10"/>
      <c r="C146" s="10"/>
      <c r="D146" s="10"/>
      <c r="E146" s="10"/>
      <c r="F146" s="10"/>
      <c r="G146" s="10"/>
      <c r="H146" s="10"/>
      <c r="O146" s="27"/>
      <c r="P146" s="27"/>
      <c r="Q146" s="27"/>
      <c r="R146" s="27"/>
    </row>
    <row r="147" spans="1:18" s="11" customFormat="1" x14ac:dyDescent="0.55000000000000004">
      <c r="A147" s="9"/>
      <c r="B147" s="10"/>
      <c r="C147" s="10"/>
      <c r="D147" s="10"/>
      <c r="E147" s="10"/>
      <c r="F147" s="10"/>
      <c r="G147" s="10"/>
      <c r="H147" s="10"/>
      <c r="O147" s="27"/>
      <c r="P147" s="27"/>
      <c r="Q147" s="27"/>
      <c r="R147" s="27"/>
    </row>
    <row r="148" spans="1:18" s="11" customFormat="1" x14ac:dyDescent="0.55000000000000004">
      <c r="A148" s="9"/>
      <c r="B148" s="10"/>
      <c r="C148" s="10"/>
      <c r="D148" s="10"/>
      <c r="E148" s="10"/>
      <c r="F148" s="10"/>
      <c r="G148" s="10"/>
      <c r="H148" s="10"/>
      <c r="O148" s="27"/>
      <c r="P148" s="27"/>
      <c r="Q148" s="27"/>
      <c r="R148" s="27"/>
    </row>
    <row r="149" spans="1:18" s="11" customFormat="1" x14ac:dyDescent="0.55000000000000004">
      <c r="A149" s="9"/>
      <c r="B149" s="10"/>
      <c r="C149" s="10"/>
      <c r="D149" s="10"/>
      <c r="E149" s="10"/>
      <c r="F149" s="10"/>
      <c r="G149" s="10"/>
      <c r="H149" s="10"/>
      <c r="O149" s="27"/>
      <c r="P149" s="27"/>
      <c r="Q149" s="27"/>
      <c r="R149" s="27"/>
    </row>
    <row r="150" spans="1:18" s="11" customFormat="1" x14ac:dyDescent="0.55000000000000004">
      <c r="A150" s="9"/>
      <c r="B150" s="10"/>
      <c r="C150" s="10"/>
      <c r="D150" s="10"/>
      <c r="E150" s="10"/>
      <c r="F150" s="10"/>
      <c r="G150" s="10"/>
      <c r="H150" s="10"/>
      <c r="O150" s="27"/>
      <c r="P150" s="27"/>
      <c r="Q150" s="27"/>
      <c r="R150" s="27"/>
    </row>
    <row r="151" spans="1:18" s="11" customFormat="1" x14ac:dyDescent="0.55000000000000004">
      <c r="A151" s="9"/>
      <c r="B151" s="10"/>
      <c r="C151" s="10"/>
      <c r="D151" s="10"/>
      <c r="E151" s="10"/>
      <c r="F151" s="10"/>
      <c r="G151" s="10"/>
      <c r="H151" s="10"/>
      <c r="O151" s="27"/>
      <c r="P151" s="27"/>
      <c r="Q151" s="27"/>
      <c r="R151" s="27"/>
    </row>
    <row r="152" spans="1:18" s="11" customFormat="1" x14ac:dyDescent="0.55000000000000004">
      <c r="A152" s="9"/>
      <c r="B152" s="10"/>
      <c r="C152" s="10"/>
      <c r="D152" s="10"/>
      <c r="E152" s="10"/>
      <c r="F152" s="10"/>
      <c r="G152" s="10"/>
      <c r="H152" s="10"/>
      <c r="O152" s="27"/>
      <c r="P152" s="27"/>
      <c r="Q152" s="27"/>
      <c r="R152" s="27"/>
    </row>
    <row r="153" spans="1:18" s="11" customFormat="1" x14ac:dyDescent="0.55000000000000004">
      <c r="A153" s="9"/>
      <c r="B153" s="10"/>
      <c r="C153" s="10"/>
      <c r="D153" s="10"/>
      <c r="E153" s="10"/>
      <c r="F153" s="10"/>
      <c r="G153" s="10"/>
      <c r="H153" s="10"/>
      <c r="O153" s="27"/>
      <c r="P153" s="27"/>
      <c r="Q153" s="27"/>
      <c r="R153" s="27"/>
    </row>
    <row r="154" spans="1:18" s="11" customFormat="1" x14ac:dyDescent="0.55000000000000004">
      <c r="A154" s="9"/>
      <c r="B154" s="10"/>
      <c r="C154" s="10"/>
      <c r="D154" s="10"/>
      <c r="E154" s="10"/>
      <c r="F154" s="10"/>
      <c r="G154" s="10"/>
      <c r="H154" s="10"/>
      <c r="O154" s="27"/>
      <c r="P154" s="27"/>
      <c r="Q154" s="27"/>
      <c r="R154" s="27"/>
    </row>
    <row r="155" spans="1:18" s="11" customFormat="1" x14ac:dyDescent="0.55000000000000004">
      <c r="A155" s="9"/>
      <c r="B155" s="10"/>
      <c r="C155" s="10"/>
      <c r="D155" s="10"/>
      <c r="E155" s="10"/>
      <c r="F155" s="10"/>
      <c r="G155" s="10"/>
      <c r="H155" s="10"/>
      <c r="O155" s="27"/>
      <c r="P155" s="27"/>
      <c r="Q155" s="27"/>
      <c r="R155" s="27"/>
    </row>
    <row r="156" spans="1:18" s="11" customFormat="1" x14ac:dyDescent="0.55000000000000004">
      <c r="A156" s="9"/>
      <c r="B156" s="10"/>
      <c r="C156" s="10"/>
      <c r="D156" s="10"/>
      <c r="E156" s="10"/>
      <c r="F156" s="10"/>
      <c r="G156" s="10"/>
      <c r="H156" s="10"/>
      <c r="O156" s="27"/>
      <c r="P156" s="27"/>
      <c r="Q156" s="27"/>
      <c r="R156" s="27"/>
    </row>
    <row r="157" spans="1:18" s="11" customFormat="1" x14ac:dyDescent="0.55000000000000004">
      <c r="A157" s="9"/>
      <c r="B157" s="10"/>
      <c r="C157" s="10"/>
      <c r="D157" s="10"/>
      <c r="E157" s="10"/>
      <c r="F157" s="10"/>
      <c r="G157" s="10"/>
      <c r="H157" s="10"/>
      <c r="O157" s="27"/>
      <c r="P157" s="27"/>
      <c r="Q157" s="27"/>
      <c r="R157" s="27"/>
    </row>
    <row r="158" spans="1:18" s="11" customFormat="1" x14ac:dyDescent="0.55000000000000004">
      <c r="A158" s="9"/>
      <c r="B158" s="10"/>
      <c r="C158" s="10"/>
      <c r="D158" s="10"/>
      <c r="E158" s="10"/>
      <c r="F158" s="10"/>
      <c r="G158" s="10"/>
      <c r="H158" s="10"/>
      <c r="O158" s="27"/>
      <c r="P158" s="27"/>
      <c r="Q158" s="27"/>
      <c r="R158" s="27"/>
    </row>
    <row r="159" spans="1:18" s="11" customFormat="1" x14ac:dyDescent="0.55000000000000004">
      <c r="A159" s="9"/>
      <c r="B159" s="10"/>
      <c r="C159" s="10"/>
      <c r="D159" s="10"/>
      <c r="E159" s="10"/>
      <c r="F159" s="10"/>
      <c r="G159" s="10"/>
      <c r="H159" s="10"/>
      <c r="O159" s="27"/>
      <c r="P159" s="27"/>
      <c r="Q159" s="27"/>
      <c r="R159" s="27"/>
    </row>
    <row r="160" spans="1:18" s="11" customFormat="1" x14ac:dyDescent="0.55000000000000004">
      <c r="A160" s="9"/>
      <c r="B160" s="10"/>
      <c r="C160" s="10"/>
      <c r="D160" s="10"/>
      <c r="E160" s="10"/>
      <c r="F160" s="10"/>
      <c r="G160" s="10"/>
      <c r="H160" s="10"/>
      <c r="O160" s="27"/>
      <c r="P160" s="27"/>
      <c r="Q160" s="27"/>
      <c r="R160" s="27"/>
    </row>
    <row r="161" spans="1:18" s="11" customFormat="1" x14ac:dyDescent="0.55000000000000004">
      <c r="A161" s="9"/>
      <c r="B161" s="10"/>
      <c r="C161" s="10"/>
      <c r="D161" s="10"/>
      <c r="E161" s="10"/>
      <c r="F161" s="10"/>
      <c r="G161" s="10"/>
      <c r="H161" s="10"/>
      <c r="O161" s="27"/>
      <c r="P161" s="27"/>
      <c r="Q161" s="27"/>
      <c r="R161" s="27"/>
    </row>
    <row r="162" spans="1:18" s="11" customFormat="1" x14ac:dyDescent="0.55000000000000004">
      <c r="A162" s="9"/>
      <c r="B162" s="10"/>
      <c r="C162" s="10"/>
      <c r="D162" s="10"/>
      <c r="E162" s="10"/>
      <c r="F162" s="10"/>
      <c r="G162" s="10"/>
      <c r="H162" s="10"/>
      <c r="O162" s="27"/>
      <c r="P162" s="27"/>
      <c r="Q162" s="27"/>
      <c r="R162" s="27"/>
    </row>
    <row r="163" spans="1:18" s="11" customFormat="1" x14ac:dyDescent="0.55000000000000004">
      <c r="A163" s="9"/>
      <c r="B163" s="10"/>
      <c r="C163" s="10"/>
      <c r="D163" s="10"/>
      <c r="E163" s="10"/>
      <c r="F163" s="10"/>
      <c r="G163" s="10"/>
      <c r="H163" s="10"/>
      <c r="O163" s="27"/>
      <c r="P163" s="27"/>
      <c r="Q163" s="27"/>
      <c r="R163" s="27"/>
    </row>
    <row r="164" spans="1:18" s="11" customFormat="1" x14ac:dyDescent="0.55000000000000004">
      <c r="A164" s="9"/>
      <c r="B164" s="10"/>
      <c r="C164" s="10"/>
      <c r="D164" s="10"/>
      <c r="E164" s="10"/>
      <c r="F164" s="10"/>
      <c r="G164" s="10"/>
      <c r="H164" s="10"/>
      <c r="O164" s="27"/>
      <c r="P164" s="27"/>
      <c r="Q164" s="27"/>
      <c r="R164" s="27"/>
    </row>
    <row r="165" spans="1:18" s="11" customFormat="1" x14ac:dyDescent="0.55000000000000004">
      <c r="A165" s="9"/>
      <c r="B165" s="10"/>
      <c r="C165" s="10"/>
      <c r="D165" s="10"/>
      <c r="E165" s="10"/>
      <c r="F165" s="10"/>
      <c r="G165" s="10"/>
      <c r="H165" s="10"/>
      <c r="O165" s="27"/>
      <c r="P165" s="27"/>
      <c r="Q165" s="27"/>
      <c r="R165" s="27"/>
    </row>
    <row r="166" spans="1:18" s="11" customFormat="1" x14ac:dyDescent="0.55000000000000004">
      <c r="A166" s="9"/>
      <c r="B166" s="10"/>
      <c r="C166" s="10"/>
      <c r="D166" s="10"/>
      <c r="E166" s="10"/>
      <c r="F166" s="10"/>
      <c r="G166" s="10"/>
      <c r="H166" s="10"/>
      <c r="O166" s="27"/>
      <c r="P166" s="27"/>
      <c r="Q166" s="27"/>
      <c r="R166" s="27"/>
    </row>
    <row r="167" spans="1:18" s="11" customFormat="1" x14ac:dyDescent="0.55000000000000004">
      <c r="A167" s="9"/>
      <c r="B167" s="10"/>
      <c r="C167" s="10"/>
      <c r="D167" s="10"/>
      <c r="E167" s="10"/>
      <c r="F167" s="10"/>
      <c r="G167" s="10"/>
      <c r="H167" s="10"/>
      <c r="O167" s="27"/>
      <c r="P167" s="27"/>
      <c r="Q167" s="27"/>
      <c r="R167" s="27"/>
    </row>
    <row r="168" spans="1:18" s="11" customFormat="1" x14ac:dyDescent="0.55000000000000004">
      <c r="A168" s="9"/>
      <c r="B168" s="10"/>
      <c r="C168" s="10"/>
      <c r="D168" s="10"/>
      <c r="E168" s="10"/>
      <c r="F168" s="10"/>
      <c r="G168" s="10"/>
      <c r="H168" s="10"/>
      <c r="O168" s="27"/>
      <c r="P168" s="27"/>
      <c r="Q168" s="27"/>
      <c r="R168" s="27"/>
    </row>
    <row r="169" spans="1:18" s="11" customFormat="1" x14ac:dyDescent="0.55000000000000004">
      <c r="A169" s="9"/>
      <c r="B169" s="10"/>
      <c r="C169" s="10"/>
      <c r="D169" s="10"/>
      <c r="E169" s="10"/>
      <c r="F169" s="10"/>
      <c r="G169" s="10"/>
      <c r="H169" s="10"/>
      <c r="O169" s="27"/>
      <c r="P169" s="27"/>
      <c r="Q169" s="27"/>
      <c r="R169" s="27"/>
    </row>
    <row r="170" spans="1:18" s="11" customFormat="1" x14ac:dyDescent="0.55000000000000004">
      <c r="A170" s="9"/>
      <c r="B170" s="10"/>
      <c r="C170" s="10"/>
      <c r="D170" s="10"/>
      <c r="E170" s="10"/>
      <c r="F170" s="10"/>
      <c r="G170" s="10"/>
      <c r="H170" s="10"/>
      <c r="O170" s="27"/>
      <c r="P170" s="27"/>
      <c r="Q170" s="27"/>
      <c r="R170" s="27"/>
    </row>
    <row r="171" spans="1:18" s="11" customFormat="1" x14ac:dyDescent="0.55000000000000004">
      <c r="A171" s="9"/>
      <c r="B171" s="10"/>
      <c r="C171" s="10"/>
      <c r="D171" s="10"/>
      <c r="E171" s="10"/>
      <c r="F171" s="10"/>
      <c r="G171" s="10"/>
      <c r="H171" s="10"/>
      <c r="O171" s="27"/>
      <c r="P171" s="27"/>
      <c r="Q171" s="27"/>
      <c r="R171" s="27"/>
    </row>
    <row r="172" spans="1:18" s="11" customFormat="1" x14ac:dyDescent="0.55000000000000004">
      <c r="A172" s="9"/>
      <c r="B172" s="10"/>
      <c r="C172" s="10"/>
      <c r="D172" s="10"/>
      <c r="E172" s="10"/>
      <c r="F172" s="10"/>
      <c r="G172" s="10"/>
      <c r="H172" s="10"/>
      <c r="O172" s="27"/>
      <c r="P172" s="27"/>
      <c r="Q172" s="27"/>
      <c r="R172" s="27"/>
    </row>
    <row r="173" spans="1:18" s="11" customFormat="1" x14ac:dyDescent="0.55000000000000004">
      <c r="A173" s="9"/>
      <c r="B173" s="10"/>
      <c r="C173" s="10"/>
      <c r="D173" s="10"/>
      <c r="E173" s="10"/>
      <c r="F173" s="10"/>
      <c r="G173" s="10"/>
      <c r="H173" s="10"/>
      <c r="O173" s="27"/>
      <c r="P173" s="27"/>
      <c r="Q173" s="27"/>
      <c r="R173" s="27"/>
    </row>
    <row r="174" spans="1:18" s="11" customFormat="1" x14ac:dyDescent="0.55000000000000004">
      <c r="A174" s="9"/>
      <c r="B174" s="10"/>
      <c r="C174" s="10"/>
      <c r="D174" s="10"/>
      <c r="E174" s="10"/>
      <c r="F174" s="10"/>
      <c r="G174" s="10"/>
      <c r="H174" s="10"/>
      <c r="O174" s="27"/>
      <c r="P174" s="27"/>
      <c r="Q174" s="27"/>
      <c r="R174" s="27"/>
    </row>
    <row r="175" spans="1:18" s="11" customFormat="1" x14ac:dyDescent="0.55000000000000004">
      <c r="A175" s="9"/>
      <c r="B175" s="10"/>
      <c r="C175" s="10"/>
      <c r="D175" s="10"/>
      <c r="E175" s="10"/>
      <c r="F175" s="10"/>
      <c r="G175" s="10"/>
      <c r="H175" s="10"/>
      <c r="O175" s="27"/>
      <c r="P175" s="27"/>
      <c r="Q175" s="27"/>
      <c r="R175" s="27"/>
    </row>
    <row r="176" spans="1:18" s="11" customFormat="1" x14ac:dyDescent="0.55000000000000004">
      <c r="A176" s="9"/>
      <c r="B176" s="10"/>
      <c r="C176" s="10"/>
      <c r="D176" s="10"/>
      <c r="E176" s="10"/>
      <c r="F176" s="10"/>
      <c r="G176" s="10"/>
      <c r="H176" s="10"/>
      <c r="O176" s="27"/>
      <c r="P176" s="27"/>
      <c r="Q176" s="27"/>
      <c r="R176" s="27"/>
    </row>
    <row r="177" spans="1:18" s="11" customFormat="1" x14ac:dyDescent="0.55000000000000004">
      <c r="A177" s="9"/>
      <c r="B177" s="10"/>
      <c r="C177" s="10"/>
      <c r="D177" s="10"/>
      <c r="E177" s="10"/>
      <c r="F177" s="10"/>
      <c r="G177" s="10"/>
      <c r="H177" s="10"/>
      <c r="O177" s="27"/>
      <c r="P177" s="27"/>
      <c r="Q177" s="27"/>
      <c r="R177" s="27"/>
    </row>
    <row r="178" spans="1:18" s="11" customFormat="1" x14ac:dyDescent="0.55000000000000004">
      <c r="A178" s="9"/>
      <c r="B178" s="10"/>
      <c r="C178" s="10"/>
      <c r="D178" s="10"/>
      <c r="E178" s="10"/>
      <c r="F178" s="10"/>
      <c r="G178" s="10"/>
      <c r="H178" s="10"/>
      <c r="O178" s="27"/>
      <c r="P178" s="27"/>
      <c r="Q178" s="27"/>
      <c r="R178" s="27"/>
    </row>
    <row r="179" spans="1:18" s="11" customFormat="1" x14ac:dyDescent="0.55000000000000004">
      <c r="A179" s="9"/>
      <c r="B179" s="10"/>
      <c r="C179" s="10"/>
      <c r="D179" s="10"/>
      <c r="E179" s="10"/>
      <c r="F179" s="10"/>
      <c r="G179" s="10"/>
      <c r="H179" s="10"/>
      <c r="O179" s="27"/>
      <c r="P179" s="27"/>
      <c r="Q179" s="27"/>
      <c r="R179" s="27"/>
    </row>
    <row r="180" spans="1:18" s="11" customFormat="1" x14ac:dyDescent="0.55000000000000004">
      <c r="A180" s="9"/>
      <c r="B180" s="10"/>
      <c r="C180" s="10"/>
      <c r="D180" s="10"/>
      <c r="E180" s="10"/>
      <c r="F180" s="10"/>
      <c r="G180" s="10"/>
      <c r="H180" s="10"/>
      <c r="O180" s="27"/>
      <c r="P180" s="27"/>
      <c r="Q180" s="27"/>
      <c r="R180" s="27"/>
    </row>
    <row r="181" spans="1:18" s="11" customFormat="1" x14ac:dyDescent="0.55000000000000004">
      <c r="A181" s="9"/>
      <c r="B181" s="10"/>
      <c r="C181" s="10"/>
      <c r="D181" s="10"/>
      <c r="E181" s="10"/>
      <c r="F181" s="10"/>
      <c r="G181" s="10"/>
      <c r="H181" s="10"/>
      <c r="O181" s="27"/>
      <c r="P181" s="27"/>
      <c r="Q181" s="27"/>
      <c r="R181" s="27"/>
    </row>
    <row r="182" spans="1:18" s="11" customFormat="1" x14ac:dyDescent="0.55000000000000004">
      <c r="A182" s="9"/>
      <c r="B182" s="10"/>
      <c r="C182" s="10"/>
      <c r="D182" s="10"/>
      <c r="E182" s="10"/>
      <c r="F182" s="10"/>
      <c r="G182" s="10"/>
      <c r="H182" s="10"/>
      <c r="O182" s="27"/>
      <c r="P182" s="27"/>
      <c r="Q182" s="27"/>
      <c r="R182" s="27"/>
    </row>
    <row r="183" spans="1:18" s="11" customFormat="1" x14ac:dyDescent="0.55000000000000004">
      <c r="A183" s="9"/>
      <c r="B183" s="10"/>
      <c r="C183" s="10"/>
      <c r="D183" s="10"/>
      <c r="E183" s="10"/>
      <c r="F183" s="10"/>
      <c r="G183" s="10"/>
      <c r="H183" s="10"/>
      <c r="O183" s="27"/>
      <c r="P183" s="27"/>
      <c r="Q183" s="27"/>
      <c r="R183" s="27"/>
    </row>
    <row r="184" spans="1:18" s="11" customFormat="1" x14ac:dyDescent="0.55000000000000004">
      <c r="A184" s="9"/>
      <c r="B184" s="10"/>
      <c r="C184" s="10"/>
      <c r="D184" s="10"/>
      <c r="E184" s="10"/>
      <c r="F184" s="10"/>
      <c r="G184" s="10"/>
      <c r="H184" s="10"/>
      <c r="O184" s="27"/>
      <c r="P184" s="27"/>
      <c r="Q184" s="27"/>
      <c r="R184" s="27"/>
    </row>
    <row r="185" spans="1:18" s="11" customFormat="1" x14ac:dyDescent="0.55000000000000004">
      <c r="A185" s="9"/>
      <c r="B185" s="10"/>
      <c r="C185" s="10"/>
      <c r="D185" s="10"/>
      <c r="E185" s="10"/>
      <c r="F185" s="10"/>
      <c r="G185" s="10"/>
      <c r="H185" s="10"/>
      <c r="O185" s="27"/>
      <c r="P185" s="27"/>
      <c r="Q185" s="27"/>
      <c r="R185" s="27"/>
    </row>
    <row r="186" spans="1:18" s="11" customFormat="1" x14ac:dyDescent="0.55000000000000004">
      <c r="A186" s="9"/>
      <c r="B186" s="10"/>
      <c r="C186" s="10"/>
      <c r="D186" s="10"/>
      <c r="E186" s="10"/>
      <c r="F186" s="10"/>
      <c r="G186" s="10"/>
      <c r="H186" s="10"/>
      <c r="O186" s="27"/>
      <c r="P186" s="27"/>
      <c r="Q186" s="27"/>
      <c r="R186" s="27"/>
    </row>
    <row r="187" spans="1:18" s="11" customFormat="1" x14ac:dyDescent="0.55000000000000004">
      <c r="A187" s="9"/>
      <c r="B187" s="10"/>
      <c r="C187" s="10"/>
      <c r="D187" s="10"/>
      <c r="E187" s="10"/>
      <c r="F187" s="10"/>
      <c r="G187" s="10"/>
      <c r="H187" s="10"/>
      <c r="O187" s="27"/>
      <c r="P187" s="27"/>
      <c r="Q187" s="27"/>
      <c r="R187" s="27"/>
    </row>
    <row r="188" spans="1:18" s="11" customFormat="1" x14ac:dyDescent="0.55000000000000004">
      <c r="A188" s="9"/>
      <c r="B188" s="10"/>
      <c r="C188" s="10"/>
      <c r="D188" s="10"/>
      <c r="E188" s="10"/>
      <c r="F188" s="10"/>
      <c r="G188" s="10"/>
      <c r="H188" s="10"/>
      <c r="O188" s="27"/>
      <c r="P188" s="27"/>
      <c r="Q188" s="27"/>
      <c r="R188" s="27"/>
    </row>
    <row r="189" spans="1:18" s="11" customFormat="1" x14ac:dyDescent="0.55000000000000004">
      <c r="A189" s="9"/>
      <c r="B189" s="10"/>
      <c r="C189" s="10"/>
      <c r="D189" s="10"/>
      <c r="E189" s="10"/>
      <c r="F189" s="10"/>
      <c r="G189" s="10"/>
      <c r="H189" s="10"/>
      <c r="O189" s="27"/>
      <c r="P189" s="27"/>
      <c r="Q189" s="27"/>
      <c r="R189" s="27"/>
    </row>
    <row r="190" spans="1:18" s="11" customFormat="1" x14ac:dyDescent="0.55000000000000004">
      <c r="A190" s="9"/>
      <c r="B190" s="10"/>
      <c r="C190" s="10"/>
      <c r="D190" s="10"/>
      <c r="E190" s="10"/>
      <c r="F190" s="10"/>
      <c r="G190" s="10"/>
      <c r="H190" s="10"/>
      <c r="O190" s="27"/>
      <c r="P190" s="27"/>
      <c r="Q190" s="27"/>
      <c r="R190" s="27"/>
    </row>
    <row r="191" spans="1:18" s="11" customFormat="1" x14ac:dyDescent="0.55000000000000004">
      <c r="A191" s="9"/>
      <c r="B191" s="10"/>
      <c r="C191" s="10"/>
      <c r="D191" s="10"/>
      <c r="E191" s="10"/>
      <c r="F191" s="10"/>
      <c r="G191" s="10"/>
      <c r="H191" s="10"/>
      <c r="O191" s="27"/>
      <c r="P191" s="27"/>
      <c r="Q191" s="27"/>
      <c r="R191" s="27"/>
    </row>
    <row r="192" spans="1:18" s="11" customFormat="1" x14ac:dyDescent="0.55000000000000004">
      <c r="A192" s="9"/>
      <c r="B192" s="10"/>
      <c r="C192" s="10"/>
      <c r="D192" s="10"/>
      <c r="E192" s="10"/>
      <c r="F192" s="10"/>
      <c r="G192" s="10"/>
      <c r="H192" s="10"/>
      <c r="O192" s="27"/>
      <c r="P192" s="27"/>
      <c r="Q192" s="27"/>
      <c r="R192" s="27"/>
    </row>
    <row r="193" spans="1:18" s="11" customFormat="1" x14ac:dyDescent="0.55000000000000004">
      <c r="A193" s="9"/>
      <c r="B193" s="10"/>
      <c r="C193" s="10"/>
      <c r="D193" s="10"/>
      <c r="E193" s="10"/>
      <c r="F193" s="10"/>
      <c r="G193" s="10"/>
      <c r="H193" s="10"/>
      <c r="O193" s="27"/>
      <c r="P193" s="27"/>
      <c r="Q193" s="27"/>
      <c r="R193" s="27"/>
    </row>
    <row r="194" spans="1:18" s="11" customFormat="1" x14ac:dyDescent="0.55000000000000004">
      <c r="A194" s="9"/>
      <c r="B194" s="10"/>
      <c r="C194" s="10"/>
      <c r="D194" s="10"/>
      <c r="E194" s="10"/>
      <c r="F194" s="10"/>
      <c r="G194" s="10"/>
      <c r="H194" s="10"/>
      <c r="O194" s="27"/>
      <c r="P194" s="27"/>
      <c r="Q194" s="27"/>
      <c r="R194" s="27"/>
    </row>
    <row r="195" spans="1:18" s="11" customFormat="1" x14ac:dyDescent="0.55000000000000004">
      <c r="A195" s="9"/>
      <c r="B195" s="10"/>
      <c r="C195" s="10"/>
      <c r="D195" s="10"/>
      <c r="E195" s="10"/>
      <c r="F195" s="10"/>
      <c r="G195" s="10"/>
      <c r="H195" s="10"/>
      <c r="O195" s="27"/>
      <c r="P195" s="27"/>
      <c r="Q195" s="27"/>
      <c r="R195" s="27"/>
    </row>
    <row r="196" spans="1:18" s="11" customFormat="1" x14ac:dyDescent="0.55000000000000004">
      <c r="A196" s="9"/>
      <c r="B196" s="10"/>
      <c r="C196" s="10"/>
      <c r="D196" s="10"/>
      <c r="E196" s="10"/>
      <c r="F196" s="10"/>
      <c r="G196" s="10"/>
      <c r="H196" s="10"/>
      <c r="O196" s="27"/>
      <c r="P196" s="27"/>
      <c r="Q196" s="27"/>
      <c r="R196" s="27"/>
    </row>
    <row r="197" spans="1:18" s="11" customFormat="1" x14ac:dyDescent="0.55000000000000004">
      <c r="A197" s="9"/>
      <c r="B197" s="10"/>
      <c r="C197" s="10"/>
      <c r="D197" s="10"/>
      <c r="E197" s="10"/>
      <c r="F197" s="10"/>
      <c r="G197" s="10"/>
      <c r="H197" s="10"/>
      <c r="O197" s="27"/>
      <c r="P197" s="27"/>
      <c r="Q197" s="27"/>
      <c r="R197" s="27"/>
    </row>
    <row r="198" spans="1:18" s="11" customFormat="1" x14ac:dyDescent="0.55000000000000004">
      <c r="A198" s="9"/>
      <c r="B198" s="10"/>
      <c r="C198" s="10"/>
      <c r="D198" s="10"/>
      <c r="E198" s="10"/>
      <c r="F198" s="10"/>
      <c r="G198" s="10"/>
      <c r="H198" s="10"/>
      <c r="O198" s="27"/>
      <c r="P198" s="27"/>
      <c r="Q198" s="27"/>
      <c r="R198" s="27"/>
    </row>
    <row r="199" spans="1:18" s="11" customFormat="1" x14ac:dyDescent="0.55000000000000004">
      <c r="A199" s="9"/>
      <c r="B199" s="10"/>
      <c r="C199" s="10"/>
      <c r="D199" s="10"/>
      <c r="E199" s="10"/>
      <c r="F199" s="10"/>
      <c r="G199" s="10"/>
      <c r="H199" s="10"/>
      <c r="O199" s="27"/>
      <c r="P199" s="27"/>
      <c r="Q199" s="27"/>
      <c r="R199" s="27"/>
    </row>
    <row r="200" spans="1:18" s="11" customFormat="1" x14ac:dyDescent="0.55000000000000004">
      <c r="A200" s="9"/>
      <c r="B200" s="10"/>
      <c r="C200" s="10"/>
      <c r="D200" s="10"/>
      <c r="E200" s="10"/>
      <c r="F200" s="10"/>
      <c r="G200" s="10"/>
      <c r="H200" s="10"/>
      <c r="O200" s="27"/>
      <c r="P200" s="27"/>
      <c r="Q200" s="27"/>
      <c r="R200" s="27"/>
    </row>
    <row r="201" spans="1:18" s="11" customFormat="1" x14ac:dyDescent="0.55000000000000004">
      <c r="A201" s="9"/>
      <c r="B201" s="10"/>
      <c r="C201" s="10"/>
      <c r="D201" s="10"/>
      <c r="E201" s="10"/>
      <c r="F201" s="10"/>
      <c r="G201" s="10"/>
      <c r="H201" s="10"/>
      <c r="O201" s="27"/>
      <c r="P201" s="27"/>
      <c r="Q201" s="27"/>
      <c r="R201" s="27"/>
    </row>
    <row r="202" spans="1:18" s="11" customFormat="1" x14ac:dyDescent="0.55000000000000004">
      <c r="A202" s="9"/>
      <c r="B202" s="10"/>
      <c r="C202" s="10"/>
      <c r="D202" s="10"/>
      <c r="E202" s="10"/>
      <c r="F202" s="10"/>
      <c r="G202" s="10"/>
      <c r="H202" s="10"/>
      <c r="O202" s="27"/>
      <c r="P202" s="27"/>
      <c r="Q202" s="27"/>
      <c r="R202" s="27"/>
    </row>
    <row r="203" spans="1:18" s="11" customFormat="1" x14ac:dyDescent="0.55000000000000004">
      <c r="A203" s="9"/>
      <c r="B203" s="10"/>
      <c r="C203" s="10"/>
      <c r="D203" s="10"/>
      <c r="E203" s="10"/>
      <c r="F203" s="10"/>
      <c r="G203" s="10"/>
      <c r="H203" s="10"/>
      <c r="O203" s="27"/>
      <c r="P203" s="27"/>
      <c r="Q203" s="27"/>
      <c r="R203" s="27"/>
    </row>
    <row r="204" spans="1:18" s="11" customFormat="1" x14ac:dyDescent="0.55000000000000004">
      <c r="A204" s="9"/>
      <c r="B204" s="10"/>
      <c r="C204" s="10"/>
      <c r="D204" s="10"/>
      <c r="E204" s="10"/>
      <c r="F204" s="10"/>
      <c r="G204" s="10"/>
      <c r="H204" s="10"/>
      <c r="O204" s="27"/>
      <c r="P204" s="27"/>
      <c r="Q204" s="27"/>
      <c r="R204" s="27"/>
    </row>
    <row r="205" spans="1:18" s="11" customFormat="1" x14ac:dyDescent="0.55000000000000004">
      <c r="A205" s="9"/>
      <c r="B205" s="10"/>
      <c r="C205" s="10"/>
      <c r="D205" s="10"/>
      <c r="E205" s="10"/>
      <c r="F205" s="10"/>
      <c r="G205" s="10"/>
      <c r="H205" s="10"/>
      <c r="O205" s="27"/>
      <c r="P205" s="27"/>
      <c r="Q205" s="27"/>
      <c r="R205" s="27"/>
    </row>
    <row r="206" spans="1:18" s="11" customFormat="1" x14ac:dyDescent="0.55000000000000004">
      <c r="A206" s="9"/>
      <c r="B206" s="10"/>
      <c r="C206" s="10"/>
      <c r="D206" s="10"/>
      <c r="E206" s="10"/>
      <c r="F206" s="10"/>
      <c r="G206" s="10"/>
      <c r="H206" s="10"/>
      <c r="O206" s="27"/>
      <c r="P206" s="27"/>
      <c r="Q206" s="27"/>
      <c r="R206" s="27"/>
    </row>
    <row r="207" spans="1:18" s="11" customFormat="1" x14ac:dyDescent="0.55000000000000004">
      <c r="A207" s="9"/>
      <c r="B207" s="10"/>
      <c r="C207" s="10"/>
      <c r="D207" s="10"/>
      <c r="E207" s="10"/>
      <c r="F207" s="10"/>
      <c r="G207" s="10"/>
      <c r="H207" s="10"/>
      <c r="O207" s="27"/>
      <c r="P207" s="27"/>
      <c r="Q207" s="27"/>
      <c r="R207" s="27"/>
    </row>
    <row r="208" spans="1:18" s="11" customFormat="1" x14ac:dyDescent="0.55000000000000004">
      <c r="A208" s="9"/>
      <c r="B208" s="10"/>
      <c r="C208" s="10"/>
      <c r="D208" s="10"/>
      <c r="E208" s="10"/>
      <c r="F208" s="10"/>
      <c r="G208" s="10"/>
      <c r="H208" s="10"/>
      <c r="O208" s="27"/>
      <c r="P208" s="27"/>
      <c r="Q208" s="27"/>
      <c r="R208" s="27"/>
    </row>
    <row r="209" spans="1:18" s="11" customFormat="1" x14ac:dyDescent="0.55000000000000004">
      <c r="A209" s="9"/>
      <c r="B209" s="10"/>
      <c r="C209" s="10"/>
      <c r="D209" s="10"/>
      <c r="E209" s="10"/>
      <c r="F209" s="10"/>
      <c r="G209" s="10"/>
      <c r="H209" s="10"/>
      <c r="O209" s="27"/>
      <c r="P209" s="27"/>
      <c r="Q209" s="27"/>
      <c r="R209" s="27"/>
    </row>
    <row r="210" spans="1:18" s="11" customFormat="1" x14ac:dyDescent="0.55000000000000004">
      <c r="A210" s="9"/>
      <c r="B210" s="10"/>
      <c r="C210" s="10"/>
      <c r="D210" s="10"/>
      <c r="E210" s="10"/>
      <c r="F210" s="10"/>
      <c r="G210" s="10"/>
      <c r="H210" s="10"/>
      <c r="O210" s="27"/>
      <c r="P210" s="27"/>
      <c r="Q210" s="27"/>
      <c r="R210" s="27"/>
    </row>
    <row r="211" spans="1:18" s="11" customFormat="1" x14ac:dyDescent="0.55000000000000004">
      <c r="A211" s="9"/>
      <c r="B211" s="10"/>
      <c r="C211" s="10"/>
      <c r="D211" s="10"/>
      <c r="E211" s="10"/>
      <c r="F211" s="10"/>
      <c r="G211" s="10"/>
      <c r="H211" s="10"/>
      <c r="O211" s="27"/>
      <c r="P211" s="27"/>
      <c r="Q211" s="27"/>
      <c r="R211" s="27"/>
    </row>
    <row r="212" spans="1:18" s="11" customFormat="1" x14ac:dyDescent="0.55000000000000004">
      <c r="A212" s="9"/>
      <c r="B212" s="10"/>
      <c r="C212" s="10"/>
      <c r="D212" s="10"/>
      <c r="E212" s="10"/>
      <c r="F212" s="10"/>
      <c r="G212" s="10"/>
      <c r="H212" s="10"/>
      <c r="O212" s="27"/>
      <c r="P212" s="27"/>
      <c r="Q212" s="27"/>
      <c r="R212" s="27"/>
    </row>
    <row r="213" spans="1:18" s="11" customFormat="1" x14ac:dyDescent="0.55000000000000004">
      <c r="A213" s="9"/>
      <c r="B213" s="10"/>
      <c r="C213" s="10"/>
      <c r="D213" s="10"/>
      <c r="E213" s="10"/>
      <c r="F213" s="10"/>
      <c r="G213" s="10"/>
      <c r="H213" s="10"/>
      <c r="O213" s="27"/>
      <c r="P213" s="27"/>
      <c r="Q213" s="27"/>
      <c r="R213" s="27"/>
    </row>
    <row r="214" spans="1:18" s="11" customFormat="1" x14ac:dyDescent="0.55000000000000004">
      <c r="A214" s="9"/>
      <c r="B214" s="10"/>
      <c r="C214" s="10"/>
      <c r="D214" s="10"/>
      <c r="E214" s="10"/>
      <c r="F214" s="10"/>
      <c r="G214" s="10"/>
      <c r="H214" s="10"/>
      <c r="O214" s="27"/>
      <c r="P214" s="27"/>
      <c r="Q214" s="27"/>
      <c r="R214" s="27"/>
    </row>
    <row r="215" spans="1:18" s="11" customFormat="1" x14ac:dyDescent="0.55000000000000004">
      <c r="A215" s="9"/>
      <c r="B215" s="10"/>
      <c r="C215" s="10"/>
      <c r="D215" s="10"/>
      <c r="E215" s="10"/>
      <c r="F215" s="10"/>
      <c r="G215" s="10"/>
      <c r="H215" s="10"/>
      <c r="O215" s="27"/>
      <c r="P215" s="27"/>
      <c r="Q215" s="27"/>
      <c r="R215" s="27"/>
    </row>
    <row r="216" spans="1:18" s="11" customFormat="1" x14ac:dyDescent="0.55000000000000004">
      <c r="A216" s="9"/>
      <c r="B216" s="10"/>
      <c r="C216" s="10"/>
      <c r="D216" s="10"/>
      <c r="E216" s="10"/>
      <c r="F216" s="10"/>
      <c r="G216" s="10"/>
      <c r="H216" s="10"/>
      <c r="O216" s="27"/>
      <c r="P216" s="27"/>
      <c r="Q216" s="27"/>
      <c r="R216" s="27"/>
    </row>
    <row r="217" spans="1:18" s="11" customFormat="1" x14ac:dyDescent="0.55000000000000004">
      <c r="A217" s="9"/>
      <c r="B217" s="10"/>
      <c r="C217" s="10"/>
      <c r="D217" s="10"/>
      <c r="E217" s="10"/>
      <c r="F217" s="10"/>
      <c r="G217" s="10"/>
      <c r="H217" s="10"/>
      <c r="O217" s="27"/>
      <c r="P217" s="27"/>
      <c r="Q217" s="27"/>
      <c r="R217" s="27"/>
    </row>
    <row r="218" spans="1:18" s="11" customFormat="1" x14ac:dyDescent="0.55000000000000004">
      <c r="A218" s="9"/>
      <c r="B218" s="10"/>
      <c r="C218" s="10"/>
      <c r="D218" s="10"/>
      <c r="E218" s="10"/>
      <c r="F218" s="10"/>
      <c r="G218" s="10"/>
      <c r="H218" s="10"/>
      <c r="O218" s="27"/>
      <c r="P218" s="27"/>
      <c r="Q218" s="27"/>
      <c r="R218" s="27"/>
    </row>
    <row r="219" spans="1:18" s="11" customFormat="1" x14ac:dyDescent="0.55000000000000004">
      <c r="A219" s="9"/>
      <c r="B219" s="10"/>
      <c r="C219" s="10"/>
      <c r="D219" s="10"/>
      <c r="E219" s="10"/>
      <c r="F219" s="10"/>
      <c r="G219" s="10"/>
      <c r="H219" s="10"/>
      <c r="O219" s="27"/>
      <c r="P219" s="27"/>
      <c r="Q219" s="27"/>
      <c r="R219" s="27"/>
    </row>
    <row r="220" spans="1:18" s="11" customFormat="1" x14ac:dyDescent="0.55000000000000004">
      <c r="A220" s="9"/>
      <c r="B220" s="10"/>
      <c r="C220" s="10"/>
      <c r="D220" s="10"/>
      <c r="E220" s="10"/>
      <c r="F220" s="10"/>
      <c r="G220" s="10"/>
      <c r="H220" s="10"/>
      <c r="O220" s="27"/>
      <c r="P220" s="27"/>
      <c r="Q220" s="27"/>
      <c r="R220" s="27"/>
    </row>
    <row r="221" spans="1:18" s="11" customFormat="1" x14ac:dyDescent="0.55000000000000004">
      <c r="A221" s="9"/>
      <c r="B221" s="10"/>
      <c r="C221" s="10"/>
      <c r="D221" s="10"/>
      <c r="E221" s="10"/>
      <c r="F221" s="10"/>
      <c r="G221" s="10"/>
      <c r="H221" s="10"/>
      <c r="O221" s="27"/>
      <c r="P221" s="27"/>
      <c r="Q221" s="27"/>
      <c r="R221" s="27"/>
    </row>
    <row r="222" spans="1:18" s="11" customFormat="1" x14ac:dyDescent="0.55000000000000004">
      <c r="A222" s="9"/>
      <c r="B222" s="10"/>
      <c r="C222" s="10"/>
      <c r="D222" s="10"/>
      <c r="E222" s="10"/>
      <c r="F222" s="10"/>
      <c r="G222" s="10"/>
      <c r="H222" s="10"/>
      <c r="O222" s="27"/>
      <c r="P222" s="27"/>
      <c r="Q222" s="27"/>
      <c r="R222" s="27"/>
    </row>
    <row r="223" spans="1:18" s="11" customFormat="1" x14ac:dyDescent="0.55000000000000004">
      <c r="A223" s="9"/>
      <c r="B223" s="10"/>
      <c r="C223" s="10"/>
      <c r="D223" s="10"/>
      <c r="E223" s="10"/>
      <c r="F223" s="10"/>
      <c r="G223" s="10"/>
      <c r="H223" s="10"/>
      <c r="O223" s="27"/>
      <c r="P223" s="27"/>
      <c r="Q223" s="27"/>
      <c r="R223" s="27"/>
    </row>
    <row r="224" spans="1:18" s="11" customFormat="1" x14ac:dyDescent="0.55000000000000004">
      <c r="A224" s="9"/>
      <c r="B224" s="10"/>
      <c r="C224" s="10"/>
      <c r="D224" s="10"/>
      <c r="E224" s="10"/>
      <c r="F224" s="10"/>
      <c r="G224" s="10"/>
      <c r="H224" s="10"/>
      <c r="O224" s="27"/>
      <c r="P224" s="27"/>
      <c r="Q224" s="27"/>
      <c r="R224" s="27"/>
    </row>
    <row r="225" spans="1:18" s="11" customFormat="1" x14ac:dyDescent="0.55000000000000004">
      <c r="A225" s="9"/>
      <c r="B225" s="10"/>
      <c r="C225" s="10"/>
      <c r="D225" s="10"/>
      <c r="E225" s="10"/>
      <c r="F225" s="10"/>
      <c r="G225" s="10"/>
      <c r="H225" s="10"/>
      <c r="O225" s="27"/>
      <c r="P225" s="27"/>
      <c r="Q225" s="27"/>
      <c r="R225" s="27"/>
    </row>
    <row r="226" spans="1:18" s="11" customFormat="1" x14ac:dyDescent="0.55000000000000004">
      <c r="A226" s="9"/>
      <c r="B226" s="10"/>
      <c r="C226" s="10"/>
      <c r="D226" s="10"/>
      <c r="E226" s="10"/>
      <c r="F226" s="10"/>
      <c r="G226" s="10"/>
      <c r="H226" s="10"/>
      <c r="O226" s="27"/>
      <c r="P226" s="27"/>
      <c r="Q226" s="27"/>
      <c r="R226" s="27"/>
    </row>
    <row r="227" spans="1:18" s="11" customFormat="1" x14ac:dyDescent="0.55000000000000004">
      <c r="A227" s="9"/>
      <c r="B227" s="10"/>
      <c r="C227" s="10"/>
      <c r="D227" s="10"/>
      <c r="E227" s="10"/>
      <c r="F227" s="10"/>
      <c r="G227" s="10"/>
      <c r="H227" s="10"/>
      <c r="O227" s="27"/>
      <c r="P227" s="27"/>
      <c r="Q227" s="27"/>
      <c r="R227" s="27"/>
    </row>
    <row r="228" spans="1:18" s="11" customFormat="1" x14ac:dyDescent="0.55000000000000004">
      <c r="A228" s="9"/>
      <c r="B228" s="10"/>
      <c r="C228" s="10"/>
      <c r="D228" s="10"/>
      <c r="E228" s="10"/>
      <c r="F228" s="10"/>
      <c r="G228" s="10"/>
      <c r="H228" s="10"/>
      <c r="O228" s="27"/>
      <c r="P228" s="27"/>
      <c r="Q228" s="27"/>
      <c r="R228" s="27"/>
    </row>
    <row r="229" spans="1:18" s="11" customFormat="1" x14ac:dyDescent="0.55000000000000004">
      <c r="A229" s="9"/>
      <c r="B229" s="10"/>
      <c r="C229" s="10"/>
      <c r="D229" s="10"/>
      <c r="E229" s="10"/>
      <c r="F229" s="10"/>
      <c r="G229" s="10"/>
      <c r="H229" s="10"/>
      <c r="O229" s="27"/>
      <c r="P229" s="27"/>
      <c r="Q229" s="27"/>
      <c r="R229" s="27"/>
    </row>
    <row r="230" spans="1:18" s="11" customFormat="1" x14ac:dyDescent="0.55000000000000004">
      <c r="A230" s="9"/>
      <c r="B230" s="10"/>
      <c r="C230" s="10"/>
      <c r="D230" s="10"/>
      <c r="E230" s="10"/>
      <c r="F230" s="10"/>
      <c r="G230" s="10"/>
      <c r="H230" s="10"/>
      <c r="O230" s="27"/>
      <c r="P230" s="27"/>
      <c r="Q230" s="27"/>
      <c r="R230" s="27"/>
    </row>
    <row r="231" spans="1:18" s="11" customFormat="1" x14ac:dyDescent="0.55000000000000004">
      <c r="A231" s="9"/>
      <c r="B231" s="10"/>
      <c r="C231" s="10"/>
      <c r="D231" s="10"/>
      <c r="E231" s="10"/>
      <c r="F231" s="10"/>
      <c r="G231" s="10"/>
      <c r="H231" s="10"/>
      <c r="O231" s="27"/>
      <c r="P231" s="27"/>
      <c r="Q231" s="27"/>
      <c r="R231" s="27"/>
    </row>
    <row r="232" spans="1:18" s="11" customFormat="1" x14ac:dyDescent="0.55000000000000004">
      <c r="A232" s="9"/>
      <c r="B232" s="10"/>
      <c r="C232" s="10"/>
      <c r="D232" s="10"/>
      <c r="E232" s="10"/>
      <c r="F232" s="10"/>
      <c r="G232" s="10"/>
      <c r="H232" s="10"/>
      <c r="O232" s="27"/>
      <c r="P232" s="27"/>
      <c r="Q232" s="27"/>
      <c r="R232" s="27"/>
    </row>
    <row r="233" spans="1:18" s="11" customFormat="1" x14ac:dyDescent="0.55000000000000004">
      <c r="A233" s="9"/>
      <c r="B233" s="10"/>
      <c r="C233" s="10"/>
      <c r="D233" s="10"/>
      <c r="E233" s="10"/>
      <c r="F233" s="10"/>
      <c r="G233" s="10"/>
      <c r="H233" s="10"/>
      <c r="O233" s="27"/>
      <c r="P233" s="27"/>
      <c r="Q233" s="27"/>
      <c r="R233" s="27"/>
    </row>
    <row r="234" spans="1:18" s="11" customFormat="1" x14ac:dyDescent="0.55000000000000004">
      <c r="A234" s="9"/>
      <c r="B234" s="10"/>
      <c r="C234" s="10"/>
      <c r="D234" s="10"/>
      <c r="E234" s="10"/>
      <c r="F234" s="10"/>
      <c r="G234" s="10"/>
      <c r="H234" s="10"/>
      <c r="O234" s="27"/>
      <c r="P234" s="27"/>
      <c r="Q234" s="27"/>
      <c r="R234" s="27"/>
    </row>
    <row r="235" spans="1:18" s="11" customFormat="1" x14ac:dyDescent="0.55000000000000004">
      <c r="A235" s="9"/>
      <c r="B235" s="10"/>
      <c r="C235" s="10"/>
      <c r="D235" s="10"/>
      <c r="E235" s="10"/>
      <c r="F235" s="10"/>
      <c r="G235" s="10"/>
      <c r="H235" s="10"/>
      <c r="O235" s="27"/>
      <c r="P235" s="27"/>
      <c r="Q235" s="27"/>
      <c r="R235" s="27"/>
    </row>
    <row r="236" spans="1:18" s="11" customFormat="1" x14ac:dyDescent="0.55000000000000004">
      <c r="A236" s="9"/>
      <c r="B236" s="10"/>
      <c r="C236" s="10"/>
      <c r="D236" s="10"/>
      <c r="E236" s="10"/>
      <c r="F236" s="10"/>
      <c r="G236" s="10"/>
      <c r="H236" s="10"/>
      <c r="O236" s="27"/>
      <c r="P236" s="27"/>
      <c r="Q236" s="27"/>
      <c r="R236" s="27"/>
    </row>
    <row r="237" spans="1:18" s="11" customFormat="1" x14ac:dyDescent="0.55000000000000004">
      <c r="A237" s="9"/>
      <c r="B237" s="10"/>
      <c r="C237" s="10"/>
      <c r="D237" s="10"/>
      <c r="E237" s="10"/>
      <c r="F237" s="10"/>
      <c r="G237" s="10"/>
      <c r="H237" s="10"/>
      <c r="O237" s="27"/>
      <c r="P237" s="27"/>
      <c r="Q237" s="27"/>
      <c r="R237" s="27"/>
    </row>
    <row r="238" spans="1:18" s="11" customFormat="1" x14ac:dyDescent="0.55000000000000004">
      <c r="A238" s="9"/>
      <c r="B238" s="10"/>
      <c r="C238" s="10"/>
      <c r="D238" s="10"/>
      <c r="E238" s="10"/>
      <c r="F238" s="10"/>
      <c r="G238" s="10"/>
      <c r="H238" s="10"/>
      <c r="O238" s="27"/>
      <c r="P238" s="27"/>
      <c r="Q238" s="27"/>
      <c r="R238" s="27"/>
    </row>
    <row r="239" spans="1:18" s="11" customFormat="1" x14ac:dyDescent="0.55000000000000004">
      <c r="A239" s="9"/>
      <c r="B239" s="10"/>
      <c r="C239" s="10"/>
      <c r="D239" s="10"/>
      <c r="E239" s="10"/>
      <c r="F239" s="10"/>
      <c r="G239" s="10"/>
      <c r="H239" s="10"/>
      <c r="O239" s="27"/>
      <c r="P239" s="27"/>
      <c r="Q239" s="27"/>
      <c r="R239" s="27"/>
    </row>
    <row r="240" spans="1:18" s="11" customFormat="1" x14ac:dyDescent="0.55000000000000004">
      <c r="A240" s="9"/>
      <c r="B240" s="10"/>
      <c r="C240" s="10"/>
      <c r="D240" s="10"/>
      <c r="E240" s="10"/>
      <c r="F240" s="10"/>
      <c r="G240" s="10"/>
      <c r="H240" s="10"/>
      <c r="O240" s="27"/>
      <c r="P240" s="27"/>
      <c r="Q240" s="27"/>
      <c r="R240" s="27"/>
    </row>
    <row r="241" spans="1:18" s="11" customFormat="1" x14ac:dyDescent="0.55000000000000004">
      <c r="A241" s="9"/>
      <c r="B241" s="10"/>
      <c r="C241" s="10"/>
      <c r="D241" s="10"/>
      <c r="E241" s="10"/>
      <c r="F241" s="10"/>
      <c r="G241" s="10"/>
      <c r="H241" s="10"/>
      <c r="O241" s="27"/>
      <c r="P241" s="27"/>
      <c r="Q241" s="27"/>
      <c r="R241" s="27"/>
    </row>
    <row r="242" spans="1:18" s="11" customFormat="1" x14ac:dyDescent="0.55000000000000004">
      <c r="A242" s="9"/>
      <c r="B242" s="10"/>
      <c r="C242" s="10"/>
      <c r="D242" s="10"/>
      <c r="E242" s="10"/>
      <c r="F242" s="10"/>
      <c r="G242" s="10"/>
      <c r="H242" s="10"/>
      <c r="O242" s="27"/>
      <c r="P242" s="27"/>
      <c r="Q242" s="27"/>
      <c r="R242" s="27"/>
    </row>
    <row r="243" spans="1:18" s="11" customFormat="1" x14ac:dyDescent="0.55000000000000004">
      <c r="A243" s="9"/>
      <c r="B243" s="10"/>
      <c r="C243" s="10"/>
      <c r="D243" s="10"/>
      <c r="E243" s="10"/>
      <c r="F243" s="10"/>
      <c r="G243" s="10"/>
      <c r="H243" s="10"/>
      <c r="O243" s="27"/>
      <c r="P243" s="27"/>
      <c r="Q243" s="27"/>
      <c r="R243" s="27"/>
    </row>
    <row r="244" spans="1:18" s="11" customFormat="1" x14ac:dyDescent="0.55000000000000004">
      <c r="A244" s="9"/>
      <c r="B244" s="10"/>
      <c r="C244" s="10"/>
      <c r="D244" s="10"/>
      <c r="E244" s="10"/>
      <c r="F244" s="10"/>
      <c r="G244" s="10"/>
      <c r="H244" s="10"/>
      <c r="O244" s="27"/>
      <c r="P244" s="27"/>
      <c r="Q244" s="27"/>
      <c r="R244" s="27"/>
    </row>
    <row r="245" spans="1:18" s="11" customFormat="1" x14ac:dyDescent="0.55000000000000004">
      <c r="A245" s="9"/>
      <c r="B245" s="10"/>
      <c r="C245" s="10"/>
      <c r="D245" s="10"/>
      <c r="E245" s="10"/>
      <c r="F245" s="10"/>
      <c r="G245" s="10"/>
      <c r="H245" s="10"/>
      <c r="O245" s="27"/>
      <c r="P245" s="27"/>
      <c r="Q245" s="27"/>
      <c r="R245" s="27"/>
    </row>
    <row r="246" spans="1:18" s="11" customFormat="1" x14ac:dyDescent="0.55000000000000004">
      <c r="A246" s="9"/>
      <c r="B246" s="10"/>
      <c r="C246" s="10"/>
      <c r="D246" s="10"/>
      <c r="E246" s="10"/>
      <c r="F246" s="10"/>
      <c r="G246" s="10"/>
      <c r="H246" s="10"/>
      <c r="O246" s="27"/>
      <c r="P246" s="27"/>
      <c r="Q246" s="27"/>
      <c r="R246" s="27"/>
    </row>
    <row r="247" spans="1:18" s="11" customFormat="1" x14ac:dyDescent="0.55000000000000004">
      <c r="A247" s="9"/>
      <c r="B247" s="10"/>
      <c r="C247" s="10"/>
      <c r="D247" s="10"/>
      <c r="E247" s="10"/>
      <c r="F247" s="10"/>
      <c r="G247" s="10"/>
      <c r="H247" s="10"/>
      <c r="O247" s="27"/>
      <c r="P247" s="27"/>
      <c r="Q247" s="27"/>
      <c r="R247" s="27"/>
    </row>
    <row r="248" spans="1:18" s="11" customFormat="1" x14ac:dyDescent="0.55000000000000004">
      <c r="A248" s="9"/>
      <c r="B248" s="10"/>
      <c r="C248" s="10"/>
      <c r="D248" s="10"/>
      <c r="E248" s="10"/>
      <c r="F248" s="10"/>
      <c r="G248" s="10"/>
      <c r="H248" s="10"/>
      <c r="O248" s="27"/>
      <c r="P248" s="27"/>
      <c r="Q248" s="27"/>
      <c r="R248" s="27"/>
    </row>
    <row r="249" spans="1:18" s="11" customFormat="1" x14ac:dyDescent="0.55000000000000004">
      <c r="A249" s="9"/>
      <c r="B249" s="10"/>
      <c r="C249" s="10"/>
      <c r="D249" s="10"/>
      <c r="E249" s="10"/>
      <c r="F249" s="10"/>
      <c r="G249" s="10"/>
      <c r="H249" s="10"/>
      <c r="O249" s="27"/>
      <c r="P249" s="27"/>
      <c r="Q249" s="27"/>
      <c r="R249" s="27"/>
    </row>
    <row r="250" spans="1:18" s="11" customFormat="1" x14ac:dyDescent="0.55000000000000004">
      <c r="A250" s="9"/>
      <c r="B250" s="10"/>
      <c r="C250" s="10"/>
      <c r="D250" s="10"/>
      <c r="E250" s="10"/>
      <c r="F250" s="10"/>
      <c r="G250" s="10"/>
      <c r="H250" s="10"/>
      <c r="O250" s="27"/>
      <c r="P250" s="27"/>
      <c r="Q250" s="27"/>
      <c r="R250" s="27"/>
    </row>
    <row r="251" spans="1:18" s="11" customFormat="1" x14ac:dyDescent="0.55000000000000004">
      <c r="A251" s="9"/>
      <c r="B251" s="10"/>
      <c r="C251" s="10"/>
      <c r="D251" s="10"/>
      <c r="E251" s="10"/>
      <c r="F251" s="10"/>
      <c r="G251" s="10"/>
      <c r="H251" s="10"/>
      <c r="O251" s="27"/>
      <c r="P251" s="27"/>
      <c r="Q251" s="27"/>
      <c r="R251" s="27"/>
    </row>
    <row r="252" spans="1:18" s="11" customFormat="1" x14ac:dyDescent="0.55000000000000004">
      <c r="A252" s="9"/>
      <c r="B252" s="10"/>
      <c r="C252" s="10"/>
      <c r="D252" s="10"/>
      <c r="E252" s="10"/>
      <c r="F252" s="10"/>
      <c r="G252" s="10"/>
      <c r="H252" s="10"/>
      <c r="O252" s="27"/>
      <c r="P252" s="27"/>
      <c r="Q252" s="27"/>
      <c r="R252" s="27"/>
    </row>
    <row r="253" spans="1:18" s="11" customFormat="1" x14ac:dyDescent="0.55000000000000004">
      <c r="A253" s="9"/>
      <c r="B253" s="10"/>
      <c r="C253" s="10"/>
      <c r="D253" s="10"/>
      <c r="E253" s="10"/>
      <c r="F253" s="10"/>
      <c r="G253" s="10"/>
      <c r="H253" s="10"/>
      <c r="O253" s="27"/>
      <c r="P253" s="27"/>
      <c r="Q253" s="27"/>
      <c r="R253" s="27"/>
    </row>
    <row r="254" spans="1:18" s="11" customFormat="1" x14ac:dyDescent="0.55000000000000004">
      <c r="A254" s="9"/>
      <c r="B254" s="10"/>
      <c r="C254" s="10"/>
      <c r="D254" s="10"/>
      <c r="E254" s="10"/>
      <c r="F254" s="10"/>
      <c r="G254" s="10"/>
      <c r="H254" s="10"/>
      <c r="O254" s="27"/>
      <c r="P254" s="27"/>
      <c r="Q254" s="27"/>
      <c r="R254" s="27"/>
    </row>
    <row r="255" spans="1:18" s="11" customFormat="1" x14ac:dyDescent="0.55000000000000004">
      <c r="A255" s="9"/>
      <c r="B255" s="10"/>
      <c r="C255" s="10"/>
      <c r="D255" s="10"/>
      <c r="E255" s="10"/>
      <c r="F255" s="10"/>
      <c r="G255" s="10"/>
      <c r="H255" s="10"/>
      <c r="O255" s="27"/>
      <c r="P255" s="27"/>
      <c r="Q255" s="27"/>
      <c r="R255" s="27"/>
    </row>
    <row r="256" spans="1:18" s="11" customFormat="1" x14ac:dyDescent="0.55000000000000004">
      <c r="A256" s="9"/>
      <c r="B256" s="10"/>
      <c r="C256" s="10"/>
      <c r="D256" s="10"/>
      <c r="E256" s="10"/>
      <c r="F256" s="10"/>
      <c r="G256" s="10"/>
      <c r="H256" s="10"/>
      <c r="O256" s="27"/>
      <c r="P256" s="27"/>
      <c r="Q256" s="27"/>
      <c r="R256" s="27"/>
    </row>
    <row r="257" spans="1:18" s="11" customFormat="1" x14ac:dyDescent="0.55000000000000004">
      <c r="A257" s="9"/>
      <c r="B257" s="10"/>
      <c r="C257" s="10"/>
      <c r="D257" s="10"/>
      <c r="E257" s="10"/>
      <c r="F257" s="10"/>
      <c r="G257" s="10"/>
      <c r="H257" s="10"/>
      <c r="O257" s="27"/>
      <c r="P257" s="27"/>
      <c r="Q257" s="27"/>
      <c r="R257" s="27"/>
    </row>
    <row r="258" spans="1:18" s="11" customFormat="1" x14ac:dyDescent="0.55000000000000004">
      <c r="A258" s="9"/>
      <c r="B258" s="10"/>
      <c r="C258" s="10"/>
      <c r="D258" s="10"/>
      <c r="E258" s="10"/>
      <c r="F258" s="10"/>
      <c r="G258" s="10"/>
      <c r="H258" s="10"/>
      <c r="O258" s="27"/>
      <c r="P258" s="27"/>
      <c r="Q258" s="27"/>
      <c r="R258" s="27"/>
    </row>
    <row r="259" spans="1:18" s="11" customFormat="1" x14ac:dyDescent="0.55000000000000004">
      <c r="A259" s="9"/>
      <c r="B259" s="10"/>
      <c r="C259" s="10"/>
      <c r="D259" s="10"/>
      <c r="E259" s="10"/>
      <c r="F259" s="10"/>
      <c r="G259" s="10"/>
      <c r="H259" s="10"/>
      <c r="O259" s="27"/>
      <c r="P259" s="27"/>
      <c r="Q259" s="27"/>
      <c r="R259" s="27"/>
    </row>
    <row r="260" spans="1:18" s="11" customFormat="1" x14ac:dyDescent="0.55000000000000004">
      <c r="A260" s="9"/>
      <c r="B260" s="10"/>
      <c r="C260" s="10"/>
      <c r="D260" s="10"/>
      <c r="E260" s="10"/>
      <c r="F260" s="10"/>
      <c r="G260" s="10"/>
      <c r="H260" s="10"/>
      <c r="O260" s="27"/>
      <c r="P260" s="27"/>
      <c r="Q260" s="27"/>
      <c r="R260" s="27"/>
    </row>
    <row r="261" spans="1:18" s="11" customFormat="1" x14ac:dyDescent="0.55000000000000004">
      <c r="A261" s="9"/>
      <c r="B261" s="10"/>
      <c r="C261" s="10"/>
      <c r="D261" s="10"/>
      <c r="E261" s="10"/>
      <c r="F261" s="10"/>
      <c r="G261" s="10"/>
      <c r="H261" s="10"/>
      <c r="O261" s="27"/>
      <c r="P261" s="27"/>
      <c r="Q261" s="27"/>
      <c r="R261" s="27"/>
    </row>
    <row r="262" spans="1:18" s="11" customFormat="1" x14ac:dyDescent="0.55000000000000004">
      <c r="A262" s="9"/>
      <c r="B262" s="10"/>
      <c r="C262" s="10"/>
      <c r="D262" s="10"/>
      <c r="E262" s="10"/>
      <c r="F262" s="10"/>
      <c r="G262" s="10"/>
      <c r="H262" s="10"/>
      <c r="O262" s="27"/>
      <c r="P262" s="27"/>
      <c r="Q262" s="27"/>
      <c r="R262" s="27"/>
    </row>
    <row r="263" spans="1:18" s="11" customFormat="1" x14ac:dyDescent="0.55000000000000004">
      <c r="A263" s="9"/>
      <c r="B263" s="10"/>
      <c r="C263" s="10"/>
      <c r="D263" s="10"/>
      <c r="E263" s="10"/>
      <c r="F263" s="10"/>
      <c r="G263" s="10"/>
      <c r="H263" s="10"/>
      <c r="O263" s="27"/>
      <c r="P263" s="27"/>
      <c r="Q263" s="27"/>
      <c r="R263" s="27"/>
    </row>
    <row r="264" spans="1:18" s="11" customFormat="1" x14ac:dyDescent="0.55000000000000004">
      <c r="A264" s="9"/>
      <c r="B264" s="10"/>
      <c r="C264" s="10"/>
      <c r="D264" s="10"/>
      <c r="E264" s="10"/>
      <c r="F264" s="10"/>
      <c r="G264" s="10"/>
      <c r="H264" s="10"/>
      <c r="O264" s="27"/>
      <c r="P264" s="27"/>
      <c r="Q264" s="27"/>
      <c r="R264" s="27"/>
    </row>
    <row r="265" spans="1:18" s="11" customFormat="1" x14ac:dyDescent="0.55000000000000004">
      <c r="A265" s="9"/>
      <c r="B265" s="10"/>
      <c r="C265" s="10"/>
      <c r="D265" s="10"/>
      <c r="E265" s="10"/>
      <c r="F265" s="10"/>
      <c r="G265" s="10"/>
      <c r="H265" s="10"/>
      <c r="O265" s="27"/>
      <c r="P265" s="27"/>
      <c r="Q265" s="27"/>
      <c r="R265" s="27"/>
    </row>
    <row r="266" spans="1:18" s="11" customFormat="1" x14ac:dyDescent="0.55000000000000004">
      <c r="A266" s="9"/>
      <c r="B266" s="10"/>
      <c r="C266" s="10"/>
      <c r="D266" s="10"/>
      <c r="E266" s="10"/>
      <c r="F266" s="10"/>
      <c r="G266" s="10"/>
      <c r="H266" s="10"/>
      <c r="O266" s="27"/>
      <c r="P266" s="27"/>
      <c r="Q266" s="27"/>
      <c r="R266" s="27"/>
    </row>
    <row r="267" spans="1:18" s="11" customFormat="1" x14ac:dyDescent="0.55000000000000004">
      <c r="A267" s="9"/>
      <c r="B267" s="10"/>
      <c r="C267" s="10"/>
      <c r="D267" s="10"/>
      <c r="E267" s="10"/>
      <c r="F267" s="10"/>
      <c r="G267" s="10"/>
      <c r="H267" s="10"/>
      <c r="O267" s="27"/>
      <c r="P267" s="27"/>
      <c r="Q267" s="27"/>
      <c r="R267" s="27"/>
    </row>
    <row r="268" spans="1:18" s="11" customFormat="1" x14ac:dyDescent="0.55000000000000004">
      <c r="A268" s="9"/>
      <c r="B268" s="10"/>
      <c r="C268" s="10"/>
      <c r="D268" s="10"/>
      <c r="E268" s="10"/>
      <c r="F268" s="10"/>
      <c r="G268" s="10"/>
      <c r="H268" s="10"/>
      <c r="O268" s="27"/>
      <c r="P268" s="27"/>
      <c r="Q268" s="27"/>
      <c r="R268" s="27"/>
    </row>
    <row r="269" spans="1:18" s="11" customFormat="1" x14ac:dyDescent="0.55000000000000004">
      <c r="A269" s="9"/>
      <c r="B269" s="10"/>
      <c r="C269" s="10"/>
      <c r="D269" s="10"/>
      <c r="E269" s="10"/>
      <c r="F269" s="10"/>
      <c r="G269" s="10"/>
      <c r="H269" s="10"/>
      <c r="O269" s="27"/>
      <c r="P269" s="27"/>
      <c r="Q269" s="27"/>
      <c r="R269" s="27"/>
    </row>
    <row r="270" spans="1:18" s="11" customFormat="1" x14ac:dyDescent="0.55000000000000004">
      <c r="A270" s="9"/>
      <c r="B270" s="10"/>
      <c r="C270" s="10"/>
      <c r="D270" s="10"/>
      <c r="E270" s="10"/>
      <c r="F270" s="10"/>
      <c r="G270" s="10"/>
      <c r="H270" s="10"/>
      <c r="O270" s="27"/>
      <c r="P270" s="27"/>
      <c r="Q270" s="27"/>
      <c r="R270" s="27"/>
    </row>
    <row r="271" spans="1:18" s="11" customFormat="1" x14ac:dyDescent="0.55000000000000004">
      <c r="A271" s="9"/>
      <c r="B271" s="10"/>
      <c r="C271" s="10"/>
      <c r="D271" s="10"/>
      <c r="E271" s="10"/>
      <c r="F271" s="10"/>
      <c r="G271" s="10"/>
      <c r="H271" s="10"/>
      <c r="O271" s="27"/>
      <c r="P271" s="27"/>
      <c r="Q271" s="27"/>
      <c r="R271" s="27"/>
    </row>
    <row r="272" spans="1:18" s="11" customFormat="1" x14ac:dyDescent="0.55000000000000004">
      <c r="A272" s="9"/>
      <c r="B272" s="10"/>
      <c r="C272" s="10"/>
      <c r="D272" s="10"/>
      <c r="E272" s="10"/>
      <c r="F272" s="10"/>
      <c r="G272" s="10"/>
      <c r="H272" s="10"/>
      <c r="O272" s="27"/>
      <c r="P272" s="27"/>
      <c r="Q272" s="27"/>
      <c r="R272" s="27"/>
    </row>
    <row r="273" spans="1:18" s="11" customFormat="1" x14ac:dyDescent="0.55000000000000004">
      <c r="A273" s="9"/>
      <c r="B273" s="10"/>
      <c r="C273" s="10"/>
      <c r="D273" s="10"/>
      <c r="E273" s="10"/>
      <c r="F273" s="10"/>
      <c r="G273" s="10"/>
      <c r="H273" s="10"/>
      <c r="O273" s="27"/>
      <c r="P273" s="27"/>
      <c r="Q273" s="27"/>
      <c r="R273" s="27"/>
    </row>
    <row r="274" spans="1:18" s="11" customFormat="1" x14ac:dyDescent="0.55000000000000004">
      <c r="A274" s="9"/>
      <c r="B274" s="10"/>
      <c r="C274" s="10"/>
      <c r="D274" s="10"/>
      <c r="E274" s="10"/>
      <c r="F274" s="10"/>
      <c r="G274" s="10"/>
      <c r="H274" s="10"/>
      <c r="O274" s="27"/>
      <c r="P274" s="27"/>
      <c r="Q274" s="27"/>
      <c r="R274" s="27"/>
    </row>
    <row r="275" spans="1:18" s="11" customFormat="1" x14ac:dyDescent="0.55000000000000004">
      <c r="A275" s="9"/>
      <c r="B275" s="10"/>
      <c r="C275" s="10"/>
      <c r="D275" s="10"/>
      <c r="E275" s="10"/>
      <c r="F275" s="10"/>
      <c r="G275" s="10"/>
      <c r="H275" s="10"/>
      <c r="O275" s="27"/>
      <c r="P275" s="27"/>
      <c r="Q275" s="27"/>
      <c r="R275" s="27"/>
    </row>
    <row r="276" spans="1:18" s="11" customFormat="1" x14ac:dyDescent="0.55000000000000004">
      <c r="A276" s="9"/>
      <c r="B276" s="10"/>
      <c r="C276" s="10"/>
      <c r="D276" s="10"/>
      <c r="E276" s="10"/>
      <c r="F276" s="10"/>
      <c r="G276" s="10"/>
      <c r="H276" s="10"/>
      <c r="O276" s="27"/>
      <c r="P276" s="27"/>
      <c r="Q276" s="27"/>
      <c r="R276" s="27"/>
    </row>
    <row r="277" spans="1:18" s="11" customFormat="1" x14ac:dyDescent="0.55000000000000004">
      <c r="A277" s="9"/>
      <c r="B277" s="10"/>
      <c r="C277" s="10"/>
      <c r="D277" s="10"/>
      <c r="E277" s="10"/>
      <c r="F277" s="10"/>
      <c r="G277" s="10"/>
      <c r="H277" s="10"/>
      <c r="O277" s="27"/>
      <c r="P277" s="27"/>
      <c r="Q277" s="27"/>
      <c r="R277" s="27"/>
    </row>
    <row r="278" spans="1:18" s="11" customFormat="1" x14ac:dyDescent="0.55000000000000004">
      <c r="A278" s="9"/>
      <c r="B278" s="10"/>
      <c r="C278" s="10"/>
      <c r="D278" s="10"/>
      <c r="E278" s="10"/>
      <c r="F278" s="10"/>
      <c r="G278" s="10"/>
      <c r="H278" s="10"/>
      <c r="O278" s="27"/>
      <c r="P278" s="27"/>
      <c r="Q278" s="27"/>
      <c r="R278" s="27"/>
    </row>
    <row r="279" spans="1:18" s="11" customFormat="1" x14ac:dyDescent="0.55000000000000004">
      <c r="A279" s="9"/>
      <c r="B279" s="10"/>
      <c r="C279" s="10"/>
      <c r="D279" s="10"/>
      <c r="E279" s="10"/>
      <c r="F279" s="10"/>
      <c r="G279" s="10"/>
      <c r="H279" s="10"/>
      <c r="O279" s="27"/>
      <c r="P279" s="27"/>
      <c r="Q279" s="27"/>
      <c r="R279" s="27"/>
    </row>
    <row r="280" spans="1:18" s="11" customFormat="1" x14ac:dyDescent="0.55000000000000004">
      <c r="A280" s="9"/>
      <c r="B280" s="10"/>
      <c r="C280" s="10"/>
      <c r="D280" s="10"/>
      <c r="E280" s="10"/>
      <c r="F280" s="10"/>
      <c r="G280" s="10"/>
      <c r="H280" s="10"/>
      <c r="O280" s="27"/>
      <c r="P280" s="27"/>
      <c r="Q280" s="27"/>
      <c r="R280" s="27"/>
    </row>
    <row r="281" spans="1:18" s="11" customFormat="1" x14ac:dyDescent="0.55000000000000004">
      <c r="A281" s="9"/>
      <c r="B281" s="10"/>
      <c r="C281" s="10"/>
      <c r="D281" s="10"/>
      <c r="E281" s="10"/>
      <c r="F281" s="10"/>
      <c r="G281" s="10"/>
      <c r="H281" s="10"/>
      <c r="O281" s="27"/>
      <c r="P281" s="27"/>
      <c r="Q281" s="27"/>
      <c r="R281" s="27"/>
    </row>
    <row r="282" spans="1:18" s="11" customFormat="1" x14ac:dyDescent="0.55000000000000004">
      <c r="A282" s="9"/>
      <c r="B282" s="10"/>
      <c r="C282" s="10"/>
      <c r="D282" s="10"/>
      <c r="E282" s="10"/>
      <c r="F282" s="10"/>
      <c r="G282" s="10"/>
      <c r="H282" s="10"/>
      <c r="O282" s="27"/>
      <c r="P282" s="27"/>
      <c r="Q282" s="27"/>
      <c r="R282" s="27"/>
    </row>
    <row r="283" spans="1:18" s="11" customFormat="1" x14ac:dyDescent="0.55000000000000004">
      <c r="A283" s="9"/>
      <c r="B283" s="10"/>
      <c r="C283" s="10"/>
      <c r="D283" s="10"/>
      <c r="E283" s="10"/>
      <c r="F283" s="10"/>
      <c r="G283" s="10"/>
      <c r="H283" s="10"/>
      <c r="O283" s="27"/>
      <c r="P283" s="27"/>
      <c r="Q283" s="27"/>
      <c r="R283" s="27"/>
    </row>
    <row r="284" spans="1:18" s="11" customFormat="1" x14ac:dyDescent="0.55000000000000004">
      <c r="A284" s="9"/>
      <c r="B284" s="10"/>
      <c r="C284" s="10"/>
      <c r="D284" s="10"/>
      <c r="E284" s="10"/>
      <c r="F284" s="10"/>
      <c r="G284" s="10"/>
      <c r="H284" s="10"/>
      <c r="O284" s="27"/>
      <c r="P284" s="27"/>
      <c r="Q284" s="27"/>
      <c r="R284" s="27"/>
    </row>
    <row r="285" spans="1:18" s="11" customFormat="1" x14ac:dyDescent="0.55000000000000004">
      <c r="A285" s="9"/>
      <c r="B285" s="10"/>
      <c r="C285" s="10"/>
      <c r="D285" s="10"/>
      <c r="E285" s="10"/>
      <c r="F285" s="10"/>
      <c r="G285" s="10"/>
      <c r="H285" s="10"/>
      <c r="O285" s="27"/>
      <c r="P285" s="27"/>
      <c r="Q285" s="27"/>
      <c r="R285" s="27"/>
    </row>
    <row r="286" spans="1:18" s="11" customFormat="1" x14ac:dyDescent="0.55000000000000004">
      <c r="A286" s="9"/>
      <c r="B286" s="10"/>
      <c r="C286" s="10"/>
      <c r="D286" s="10"/>
      <c r="E286" s="10"/>
      <c r="F286" s="10"/>
      <c r="G286" s="10"/>
      <c r="H286" s="10"/>
      <c r="O286" s="27"/>
      <c r="P286" s="27"/>
      <c r="Q286" s="27"/>
      <c r="R286" s="27"/>
    </row>
    <row r="287" spans="1:18" s="11" customFormat="1" x14ac:dyDescent="0.55000000000000004">
      <c r="A287" s="9"/>
      <c r="B287" s="10"/>
      <c r="C287" s="10"/>
      <c r="D287" s="10"/>
      <c r="E287" s="10"/>
      <c r="F287" s="10"/>
      <c r="G287" s="10"/>
      <c r="H287" s="10"/>
      <c r="O287" s="27"/>
      <c r="P287" s="27"/>
      <c r="Q287" s="27"/>
      <c r="R287" s="27"/>
    </row>
    <row r="288" spans="1:18" s="11" customFormat="1" x14ac:dyDescent="0.55000000000000004">
      <c r="A288" s="9"/>
      <c r="B288" s="10"/>
      <c r="C288" s="10"/>
      <c r="D288" s="10"/>
      <c r="E288" s="10"/>
      <c r="F288" s="10"/>
      <c r="G288" s="10"/>
      <c r="H288" s="10"/>
      <c r="O288" s="27"/>
      <c r="P288" s="27"/>
      <c r="Q288" s="27"/>
      <c r="R288" s="27"/>
    </row>
    <row r="289" spans="1:18" s="11" customFormat="1" x14ac:dyDescent="0.55000000000000004">
      <c r="A289" s="9"/>
      <c r="B289" s="10"/>
      <c r="C289" s="10"/>
      <c r="D289" s="10"/>
      <c r="E289" s="10"/>
      <c r="F289" s="10"/>
      <c r="G289" s="10"/>
      <c r="H289" s="10"/>
      <c r="O289" s="27"/>
      <c r="P289" s="27"/>
      <c r="Q289" s="27"/>
      <c r="R289" s="27"/>
    </row>
    <row r="290" spans="1:18" s="11" customFormat="1" x14ac:dyDescent="0.55000000000000004">
      <c r="A290" s="9"/>
      <c r="B290" s="10"/>
      <c r="C290" s="10"/>
      <c r="D290" s="10"/>
      <c r="E290" s="10"/>
      <c r="F290" s="10"/>
      <c r="G290" s="10"/>
      <c r="H290" s="10"/>
      <c r="O290" s="27"/>
      <c r="P290" s="27"/>
      <c r="Q290" s="27"/>
      <c r="R290" s="27"/>
    </row>
    <row r="291" spans="1:18" s="11" customFormat="1" x14ac:dyDescent="0.55000000000000004">
      <c r="A291" s="9"/>
      <c r="B291" s="10"/>
      <c r="C291" s="10"/>
      <c r="D291" s="10"/>
      <c r="E291" s="10"/>
      <c r="F291" s="10"/>
      <c r="G291" s="10"/>
      <c r="H291" s="10"/>
      <c r="O291" s="27"/>
      <c r="P291" s="27"/>
      <c r="Q291" s="27"/>
      <c r="R291" s="27"/>
    </row>
    <row r="292" spans="1:18" s="11" customFormat="1" x14ac:dyDescent="0.55000000000000004">
      <c r="A292" s="9"/>
      <c r="B292" s="10"/>
      <c r="C292" s="10"/>
      <c r="D292" s="10"/>
      <c r="E292" s="10"/>
      <c r="F292" s="10"/>
      <c r="G292" s="10"/>
      <c r="H292" s="10"/>
      <c r="O292" s="27"/>
      <c r="P292" s="27"/>
      <c r="Q292" s="27"/>
      <c r="R292" s="27"/>
    </row>
    <row r="293" spans="1:18" s="11" customFormat="1" x14ac:dyDescent="0.55000000000000004">
      <c r="A293" s="9"/>
      <c r="B293" s="10"/>
      <c r="C293" s="10"/>
      <c r="D293" s="10"/>
      <c r="E293" s="10"/>
      <c r="F293" s="10"/>
      <c r="G293" s="10"/>
      <c r="H293" s="10"/>
      <c r="O293" s="27"/>
      <c r="P293" s="27"/>
      <c r="Q293" s="27"/>
      <c r="R293" s="27"/>
    </row>
    <row r="294" spans="1:18" s="11" customFormat="1" x14ac:dyDescent="0.55000000000000004">
      <c r="A294" s="9"/>
      <c r="B294" s="10"/>
      <c r="C294" s="10"/>
      <c r="D294" s="10"/>
      <c r="E294" s="10"/>
      <c r="F294" s="10"/>
      <c r="G294" s="10"/>
      <c r="H294" s="10"/>
      <c r="O294" s="27"/>
      <c r="P294" s="27"/>
      <c r="Q294" s="27"/>
      <c r="R294" s="27"/>
    </row>
    <row r="295" spans="1:18" s="11" customFormat="1" x14ac:dyDescent="0.55000000000000004">
      <c r="A295" s="9"/>
      <c r="B295" s="10"/>
      <c r="C295" s="10"/>
      <c r="D295" s="10"/>
      <c r="E295" s="10"/>
      <c r="F295" s="10"/>
      <c r="G295" s="10"/>
      <c r="H295" s="10"/>
      <c r="O295" s="27"/>
      <c r="P295" s="27"/>
      <c r="Q295" s="27"/>
      <c r="R295" s="27"/>
    </row>
    <row r="296" spans="1:18" s="11" customFormat="1" x14ac:dyDescent="0.55000000000000004">
      <c r="A296" s="9"/>
      <c r="B296" s="10"/>
      <c r="C296" s="10"/>
      <c r="D296" s="10"/>
      <c r="E296" s="10"/>
      <c r="F296" s="10"/>
      <c r="G296" s="10"/>
      <c r="H296" s="10"/>
      <c r="O296" s="27"/>
      <c r="P296" s="27"/>
      <c r="Q296" s="27"/>
      <c r="R296" s="27"/>
    </row>
    <row r="297" spans="1:18" s="11" customFormat="1" x14ac:dyDescent="0.55000000000000004">
      <c r="A297" s="9"/>
      <c r="B297" s="10"/>
      <c r="C297" s="10"/>
      <c r="D297" s="10"/>
      <c r="E297" s="10"/>
      <c r="F297" s="10"/>
      <c r="G297" s="10"/>
      <c r="H297" s="10"/>
      <c r="O297" s="27"/>
      <c r="P297" s="27"/>
      <c r="Q297" s="27"/>
      <c r="R297" s="27"/>
    </row>
    <row r="298" spans="1:18" s="11" customFormat="1" x14ac:dyDescent="0.55000000000000004">
      <c r="A298" s="9"/>
      <c r="B298" s="10"/>
      <c r="C298" s="10"/>
      <c r="D298" s="10"/>
      <c r="E298" s="10"/>
      <c r="F298" s="10"/>
      <c r="G298" s="10"/>
      <c r="H298" s="10"/>
      <c r="O298" s="27"/>
      <c r="P298" s="27"/>
      <c r="Q298" s="27"/>
      <c r="R298" s="27"/>
    </row>
    <row r="299" spans="1:18" s="11" customFormat="1" x14ac:dyDescent="0.55000000000000004">
      <c r="A299" s="9"/>
      <c r="B299" s="10"/>
      <c r="C299" s="10"/>
      <c r="D299" s="10"/>
      <c r="E299" s="10"/>
      <c r="F299" s="10"/>
      <c r="G299" s="10"/>
      <c r="H299" s="10"/>
      <c r="O299" s="27"/>
      <c r="P299" s="27"/>
      <c r="Q299" s="27"/>
      <c r="R299" s="27"/>
    </row>
    <row r="300" spans="1:18" s="11" customFormat="1" x14ac:dyDescent="0.55000000000000004">
      <c r="A300" s="9"/>
      <c r="B300" s="10"/>
      <c r="C300" s="10"/>
      <c r="D300" s="10"/>
      <c r="E300" s="10"/>
      <c r="F300" s="10"/>
      <c r="G300" s="10"/>
      <c r="H300" s="10"/>
      <c r="O300" s="27"/>
      <c r="P300" s="27"/>
      <c r="Q300" s="27"/>
      <c r="R300" s="27"/>
    </row>
    <row r="301" spans="1:18" s="11" customFormat="1" x14ac:dyDescent="0.55000000000000004">
      <c r="A301" s="9"/>
      <c r="B301" s="10"/>
      <c r="C301" s="10"/>
      <c r="D301" s="10"/>
      <c r="E301" s="10"/>
      <c r="F301" s="10"/>
      <c r="G301" s="10"/>
      <c r="H301" s="10"/>
      <c r="O301" s="27"/>
      <c r="P301" s="27"/>
      <c r="Q301" s="27"/>
      <c r="R301" s="27"/>
    </row>
    <row r="302" spans="1:18" s="11" customFormat="1" x14ac:dyDescent="0.55000000000000004">
      <c r="A302" s="9"/>
      <c r="B302" s="10"/>
      <c r="C302" s="10"/>
      <c r="D302" s="10"/>
      <c r="E302" s="10"/>
      <c r="F302" s="10"/>
      <c r="G302" s="10"/>
      <c r="H302" s="10"/>
      <c r="O302" s="27"/>
      <c r="P302" s="27"/>
      <c r="Q302" s="27"/>
      <c r="R302" s="27"/>
    </row>
    <row r="303" spans="1:18" s="11" customFormat="1" x14ac:dyDescent="0.55000000000000004">
      <c r="A303" s="9"/>
      <c r="B303" s="10"/>
      <c r="C303" s="10"/>
      <c r="D303" s="10"/>
      <c r="E303" s="10"/>
      <c r="F303" s="10"/>
      <c r="G303" s="10"/>
      <c r="H303" s="10"/>
      <c r="O303" s="27"/>
      <c r="P303" s="27"/>
      <c r="Q303" s="27"/>
      <c r="R303" s="27"/>
    </row>
    <row r="304" spans="1:18" s="11" customFormat="1" x14ac:dyDescent="0.55000000000000004">
      <c r="A304" s="9"/>
      <c r="B304" s="10"/>
      <c r="C304" s="10"/>
      <c r="D304" s="10"/>
      <c r="E304" s="10"/>
      <c r="F304" s="10"/>
      <c r="G304" s="10"/>
      <c r="H304" s="10"/>
      <c r="O304" s="27"/>
      <c r="P304" s="27"/>
      <c r="Q304" s="27"/>
      <c r="R304" s="27"/>
    </row>
    <row r="305" spans="1:18" s="11" customFormat="1" x14ac:dyDescent="0.55000000000000004">
      <c r="A305" s="9"/>
      <c r="B305" s="10"/>
      <c r="C305" s="10"/>
      <c r="D305" s="10"/>
      <c r="E305" s="10"/>
      <c r="F305" s="10"/>
      <c r="G305" s="10"/>
      <c r="H305" s="10"/>
      <c r="O305" s="27"/>
      <c r="P305" s="27"/>
      <c r="Q305" s="27"/>
      <c r="R305" s="27"/>
    </row>
    <row r="306" spans="1:18" s="11" customFormat="1" x14ac:dyDescent="0.55000000000000004">
      <c r="A306" s="9"/>
      <c r="B306" s="10"/>
      <c r="C306" s="10"/>
      <c r="D306" s="10"/>
      <c r="E306" s="10"/>
      <c r="F306" s="10"/>
      <c r="G306" s="10"/>
      <c r="H306" s="10"/>
      <c r="O306" s="27"/>
      <c r="P306" s="27"/>
      <c r="Q306" s="27"/>
      <c r="R306" s="27"/>
    </row>
    <row r="307" spans="1:18" s="11" customFormat="1" x14ac:dyDescent="0.55000000000000004">
      <c r="A307" s="9"/>
      <c r="B307" s="10"/>
      <c r="C307" s="10"/>
      <c r="D307" s="10"/>
      <c r="E307" s="10"/>
      <c r="F307" s="10"/>
      <c r="G307" s="10"/>
      <c r="H307" s="10"/>
      <c r="O307" s="27"/>
      <c r="P307" s="27"/>
      <c r="Q307" s="27"/>
      <c r="R307" s="27"/>
    </row>
    <row r="308" spans="1:18" s="11" customFormat="1" x14ac:dyDescent="0.55000000000000004">
      <c r="A308" s="9"/>
      <c r="B308" s="10"/>
      <c r="C308" s="10"/>
      <c r="D308" s="10"/>
      <c r="E308" s="10"/>
      <c r="F308" s="10"/>
      <c r="G308" s="10"/>
      <c r="H308" s="10"/>
      <c r="O308" s="27"/>
      <c r="P308" s="27"/>
      <c r="Q308" s="27"/>
      <c r="R308" s="27"/>
    </row>
    <row r="309" spans="1:18" s="11" customFormat="1" x14ac:dyDescent="0.55000000000000004">
      <c r="A309" s="9"/>
      <c r="B309" s="10"/>
      <c r="C309" s="10"/>
      <c r="D309" s="10"/>
      <c r="E309" s="10"/>
      <c r="F309" s="10"/>
      <c r="G309" s="10"/>
      <c r="H309" s="10"/>
      <c r="O309" s="27"/>
      <c r="P309" s="27"/>
      <c r="Q309" s="27"/>
      <c r="R309" s="27"/>
    </row>
    <row r="310" spans="1:18" s="11" customFormat="1" x14ac:dyDescent="0.55000000000000004">
      <c r="A310" s="9"/>
      <c r="B310" s="10"/>
      <c r="C310" s="10"/>
      <c r="D310" s="10"/>
      <c r="E310" s="10"/>
      <c r="F310" s="10"/>
      <c r="G310" s="10"/>
      <c r="H310" s="10"/>
      <c r="O310" s="27"/>
      <c r="P310" s="27"/>
      <c r="Q310" s="27"/>
      <c r="R310" s="27"/>
    </row>
    <row r="311" spans="1:18" s="11" customFormat="1" x14ac:dyDescent="0.55000000000000004">
      <c r="A311" s="9"/>
      <c r="B311" s="10"/>
      <c r="C311" s="10"/>
      <c r="D311" s="10"/>
      <c r="E311" s="10"/>
      <c r="F311" s="10"/>
      <c r="G311" s="10"/>
      <c r="H311" s="10"/>
      <c r="O311" s="27"/>
      <c r="P311" s="27"/>
      <c r="Q311" s="27"/>
      <c r="R311" s="27"/>
    </row>
    <row r="312" spans="1:18" s="11" customFormat="1" x14ac:dyDescent="0.55000000000000004">
      <c r="A312" s="9"/>
      <c r="B312" s="10"/>
      <c r="C312" s="10"/>
      <c r="D312" s="10"/>
      <c r="E312" s="10"/>
      <c r="F312" s="10"/>
      <c r="G312" s="10"/>
      <c r="H312" s="10"/>
      <c r="O312" s="27"/>
      <c r="P312" s="27"/>
      <c r="Q312" s="27"/>
      <c r="R312" s="27"/>
    </row>
    <row r="313" spans="1:18" s="11" customFormat="1" x14ac:dyDescent="0.55000000000000004">
      <c r="A313" s="9"/>
      <c r="B313" s="10"/>
      <c r="C313" s="10"/>
      <c r="D313" s="10"/>
      <c r="E313" s="10"/>
      <c r="F313" s="10"/>
      <c r="G313" s="10"/>
      <c r="H313" s="10"/>
      <c r="O313" s="27"/>
      <c r="P313" s="27"/>
      <c r="Q313" s="27"/>
      <c r="R313" s="27"/>
    </row>
    <row r="314" spans="1:18" s="11" customFormat="1" x14ac:dyDescent="0.55000000000000004">
      <c r="A314" s="9"/>
      <c r="B314" s="10"/>
      <c r="C314" s="10"/>
      <c r="D314" s="10"/>
      <c r="E314" s="10"/>
      <c r="F314" s="10"/>
      <c r="G314" s="10"/>
      <c r="H314" s="10"/>
      <c r="O314" s="27"/>
      <c r="P314" s="27"/>
      <c r="Q314" s="27"/>
      <c r="R314" s="27"/>
    </row>
    <row r="315" spans="1:18" s="11" customFormat="1" x14ac:dyDescent="0.55000000000000004">
      <c r="A315" s="9"/>
      <c r="B315" s="10"/>
      <c r="C315" s="10"/>
      <c r="D315" s="10"/>
      <c r="E315" s="10"/>
      <c r="F315" s="10"/>
      <c r="G315" s="10"/>
      <c r="H315" s="10"/>
      <c r="O315" s="27"/>
      <c r="P315" s="27"/>
      <c r="Q315" s="27"/>
      <c r="R315" s="27"/>
    </row>
    <row r="316" spans="1:18" s="11" customFormat="1" x14ac:dyDescent="0.55000000000000004">
      <c r="A316" s="9"/>
      <c r="B316" s="10"/>
      <c r="C316" s="10"/>
      <c r="D316" s="10"/>
      <c r="E316" s="10"/>
      <c r="F316" s="10"/>
      <c r="G316" s="10"/>
      <c r="H316" s="10"/>
      <c r="O316" s="27"/>
      <c r="P316" s="27"/>
      <c r="Q316" s="27"/>
      <c r="R316" s="27"/>
    </row>
    <row r="317" spans="1:18" s="11" customFormat="1" x14ac:dyDescent="0.55000000000000004">
      <c r="A317" s="9"/>
      <c r="B317" s="10"/>
      <c r="C317" s="10"/>
      <c r="D317" s="10"/>
      <c r="E317" s="10"/>
      <c r="F317" s="10"/>
      <c r="G317" s="10"/>
      <c r="H317" s="10"/>
      <c r="O317" s="27"/>
      <c r="P317" s="27"/>
      <c r="Q317" s="27"/>
      <c r="R317" s="27"/>
    </row>
    <row r="318" spans="1:18" s="11" customFormat="1" x14ac:dyDescent="0.55000000000000004">
      <c r="A318" s="9"/>
      <c r="B318" s="10"/>
      <c r="C318" s="10"/>
      <c r="D318" s="10"/>
      <c r="E318" s="10"/>
      <c r="F318" s="10"/>
      <c r="G318" s="10"/>
      <c r="H318" s="10"/>
      <c r="O318" s="27"/>
      <c r="P318" s="27"/>
      <c r="Q318" s="27"/>
      <c r="R318" s="27"/>
    </row>
    <row r="319" spans="1:18" s="11" customFormat="1" x14ac:dyDescent="0.55000000000000004">
      <c r="A319" s="9"/>
      <c r="B319" s="10"/>
      <c r="C319" s="10"/>
      <c r="D319" s="10"/>
      <c r="E319" s="10"/>
      <c r="F319" s="10"/>
      <c r="G319" s="10"/>
      <c r="H319" s="10"/>
      <c r="O319" s="27"/>
      <c r="P319" s="27"/>
      <c r="Q319" s="27"/>
      <c r="R319" s="27"/>
    </row>
    <row r="320" spans="1:18" s="11" customFormat="1" x14ac:dyDescent="0.55000000000000004">
      <c r="A320" s="9"/>
      <c r="B320" s="10"/>
      <c r="C320" s="10"/>
      <c r="D320" s="10"/>
      <c r="E320" s="10"/>
      <c r="F320" s="10"/>
      <c r="G320" s="10"/>
      <c r="H320" s="10"/>
      <c r="O320" s="27"/>
      <c r="P320" s="27"/>
      <c r="Q320" s="27"/>
      <c r="R320" s="27"/>
    </row>
    <row r="321" spans="1:18" s="11" customFormat="1" x14ac:dyDescent="0.55000000000000004">
      <c r="A321" s="9"/>
      <c r="B321" s="10"/>
      <c r="C321" s="10"/>
      <c r="D321" s="10"/>
      <c r="E321" s="10"/>
      <c r="F321" s="10"/>
      <c r="G321" s="10"/>
      <c r="H321" s="10"/>
      <c r="O321" s="27"/>
      <c r="P321" s="27"/>
      <c r="Q321" s="27"/>
      <c r="R321" s="27"/>
    </row>
    <row r="322" spans="1:18" s="11" customFormat="1" x14ac:dyDescent="0.55000000000000004">
      <c r="A322" s="9"/>
      <c r="B322" s="10"/>
      <c r="C322" s="10"/>
      <c r="D322" s="10"/>
      <c r="E322" s="10"/>
      <c r="F322" s="10"/>
      <c r="G322" s="10"/>
      <c r="H322" s="10"/>
      <c r="O322" s="27"/>
      <c r="P322" s="27"/>
      <c r="Q322" s="27"/>
      <c r="R322" s="27"/>
    </row>
    <row r="323" spans="1:18" s="11" customFormat="1" x14ac:dyDescent="0.55000000000000004">
      <c r="A323" s="9"/>
      <c r="B323" s="10"/>
      <c r="C323" s="10"/>
      <c r="D323" s="10"/>
      <c r="E323" s="10"/>
      <c r="F323" s="10"/>
      <c r="G323" s="10"/>
      <c r="H323" s="10"/>
      <c r="O323" s="27"/>
      <c r="P323" s="27"/>
      <c r="Q323" s="27"/>
      <c r="R323" s="27"/>
    </row>
    <row r="324" spans="1:18" s="11" customFormat="1" x14ac:dyDescent="0.55000000000000004">
      <c r="A324" s="9"/>
      <c r="B324" s="10"/>
      <c r="C324" s="10"/>
      <c r="D324" s="10"/>
      <c r="E324" s="10"/>
      <c r="F324" s="10"/>
      <c r="G324" s="10"/>
      <c r="H324" s="10"/>
      <c r="O324" s="27"/>
      <c r="P324" s="27"/>
      <c r="Q324" s="27"/>
      <c r="R324" s="27"/>
    </row>
    <row r="325" spans="1:18" s="11" customFormat="1" x14ac:dyDescent="0.55000000000000004">
      <c r="A325" s="9"/>
      <c r="B325" s="10"/>
      <c r="C325" s="10"/>
      <c r="D325" s="10"/>
      <c r="E325" s="10"/>
      <c r="F325" s="10"/>
      <c r="G325" s="10"/>
      <c r="H325" s="10"/>
      <c r="O325" s="27"/>
      <c r="P325" s="27"/>
      <c r="Q325" s="27"/>
      <c r="R325" s="27"/>
    </row>
    <row r="326" spans="1:18" s="11" customFormat="1" x14ac:dyDescent="0.55000000000000004">
      <c r="A326" s="9"/>
      <c r="B326" s="10"/>
      <c r="C326" s="10"/>
      <c r="D326" s="10"/>
      <c r="E326" s="10"/>
      <c r="F326" s="10"/>
      <c r="G326" s="10"/>
      <c r="H326" s="10"/>
      <c r="O326" s="27"/>
      <c r="P326" s="27"/>
      <c r="Q326" s="27"/>
      <c r="R326" s="27"/>
    </row>
    <row r="327" spans="1:18" s="11" customFormat="1" x14ac:dyDescent="0.55000000000000004">
      <c r="A327" s="9"/>
      <c r="B327" s="10"/>
      <c r="C327" s="10"/>
      <c r="D327" s="10"/>
      <c r="E327" s="10"/>
      <c r="F327" s="10"/>
      <c r="G327" s="10"/>
      <c r="H327" s="10"/>
      <c r="O327" s="27"/>
      <c r="P327" s="27"/>
      <c r="Q327" s="27"/>
      <c r="R327" s="27"/>
    </row>
    <row r="328" spans="1:18" s="11" customFormat="1" x14ac:dyDescent="0.55000000000000004">
      <c r="A328" s="9"/>
      <c r="B328" s="10"/>
      <c r="C328" s="10"/>
      <c r="D328" s="10"/>
      <c r="E328" s="10"/>
      <c r="F328" s="10"/>
      <c r="G328" s="10"/>
      <c r="H328" s="10"/>
      <c r="O328" s="27"/>
      <c r="P328" s="27"/>
      <c r="Q328" s="27"/>
      <c r="R328" s="27"/>
    </row>
    <row r="329" spans="1:18" s="11" customFormat="1" x14ac:dyDescent="0.55000000000000004">
      <c r="A329" s="9"/>
      <c r="B329" s="10"/>
      <c r="C329" s="10"/>
      <c r="D329" s="10"/>
      <c r="E329" s="10"/>
      <c r="F329" s="10"/>
      <c r="G329" s="10"/>
      <c r="H329" s="10"/>
      <c r="O329" s="27"/>
      <c r="P329" s="27"/>
      <c r="Q329" s="27"/>
      <c r="R329" s="27"/>
    </row>
    <row r="330" spans="1:18" s="11" customFormat="1" x14ac:dyDescent="0.55000000000000004">
      <c r="A330" s="9"/>
      <c r="B330" s="10"/>
      <c r="C330" s="10"/>
      <c r="D330" s="10"/>
      <c r="E330" s="10"/>
      <c r="F330" s="10"/>
      <c r="G330" s="10"/>
      <c r="H330" s="10"/>
      <c r="O330" s="27"/>
      <c r="P330" s="27"/>
      <c r="Q330" s="27"/>
      <c r="R330" s="27"/>
    </row>
    <row r="331" spans="1:18" s="11" customFormat="1" x14ac:dyDescent="0.55000000000000004">
      <c r="A331" s="9"/>
      <c r="B331" s="10"/>
      <c r="C331" s="10"/>
      <c r="D331" s="10"/>
      <c r="E331" s="10"/>
      <c r="F331" s="10"/>
      <c r="G331" s="10"/>
      <c r="H331" s="10"/>
      <c r="O331" s="27"/>
      <c r="P331" s="27"/>
      <c r="Q331" s="27"/>
      <c r="R331" s="27"/>
    </row>
    <row r="332" spans="1:18" s="11" customFormat="1" x14ac:dyDescent="0.55000000000000004">
      <c r="A332" s="9"/>
      <c r="B332" s="10"/>
      <c r="C332" s="10"/>
      <c r="D332" s="10"/>
      <c r="E332" s="10"/>
      <c r="F332" s="10"/>
      <c r="G332" s="10"/>
      <c r="H332" s="10"/>
      <c r="O332" s="27"/>
      <c r="P332" s="27"/>
      <c r="Q332" s="27"/>
      <c r="R332" s="27"/>
    </row>
    <row r="333" spans="1:18" s="11" customFormat="1" x14ac:dyDescent="0.55000000000000004">
      <c r="A333" s="9"/>
      <c r="B333" s="10"/>
      <c r="C333" s="10"/>
      <c r="D333" s="10"/>
      <c r="E333" s="10"/>
      <c r="F333" s="10"/>
      <c r="G333" s="10"/>
      <c r="H333" s="10"/>
      <c r="O333" s="27"/>
      <c r="P333" s="27"/>
      <c r="Q333" s="27"/>
      <c r="R333" s="27"/>
    </row>
    <row r="334" spans="1:18" s="11" customFormat="1" x14ac:dyDescent="0.55000000000000004">
      <c r="A334" s="9"/>
      <c r="B334" s="10"/>
      <c r="C334" s="10"/>
      <c r="D334" s="10"/>
      <c r="E334" s="10"/>
      <c r="F334" s="10"/>
      <c r="G334" s="10"/>
      <c r="H334" s="10"/>
      <c r="O334" s="27"/>
      <c r="P334" s="27"/>
      <c r="Q334" s="27"/>
      <c r="R334" s="27"/>
    </row>
    <row r="335" spans="1:18" s="11" customFormat="1" x14ac:dyDescent="0.55000000000000004">
      <c r="A335" s="9"/>
      <c r="B335" s="10"/>
      <c r="C335" s="10"/>
      <c r="D335" s="10"/>
      <c r="E335" s="10"/>
      <c r="F335" s="10"/>
      <c r="G335" s="10"/>
      <c r="H335" s="10"/>
      <c r="O335" s="27"/>
      <c r="P335" s="27"/>
      <c r="Q335" s="27"/>
      <c r="R335" s="27"/>
    </row>
    <row r="336" spans="1:18" s="11" customFormat="1" x14ac:dyDescent="0.55000000000000004">
      <c r="A336" s="9"/>
      <c r="B336" s="10"/>
      <c r="C336" s="10"/>
      <c r="D336" s="10"/>
      <c r="E336" s="10"/>
      <c r="F336" s="10"/>
      <c r="G336" s="10"/>
      <c r="H336" s="10"/>
      <c r="O336" s="27"/>
      <c r="P336" s="27"/>
      <c r="Q336" s="27"/>
      <c r="R336" s="27"/>
    </row>
    <row r="337" spans="1:18" s="11" customFormat="1" x14ac:dyDescent="0.55000000000000004">
      <c r="A337" s="9"/>
      <c r="B337" s="10"/>
      <c r="C337" s="10"/>
      <c r="D337" s="10"/>
      <c r="E337" s="10"/>
      <c r="F337" s="10"/>
      <c r="G337" s="10"/>
      <c r="H337" s="10"/>
      <c r="O337" s="27"/>
      <c r="P337" s="27"/>
      <c r="Q337" s="27"/>
      <c r="R337" s="27"/>
    </row>
    <row r="338" spans="1:18" s="11" customFormat="1" x14ac:dyDescent="0.55000000000000004">
      <c r="A338" s="9"/>
      <c r="B338" s="10"/>
      <c r="C338" s="10"/>
      <c r="D338" s="10"/>
      <c r="E338" s="10"/>
      <c r="F338" s="10"/>
      <c r="G338" s="10"/>
      <c r="H338" s="10"/>
      <c r="O338" s="27"/>
      <c r="P338" s="27"/>
      <c r="Q338" s="27"/>
      <c r="R338" s="27"/>
    </row>
    <row r="339" spans="1:18" s="11" customFormat="1" x14ac:dyDescent="0.55000000000000004">
      <c r="A339" s="9"/>
      <c r="B339" s="10"/>
      <c r="C339" s="10"/>
      <c r="D339" s="10"/>
      <c r="E339" s="10"/>
      <c r="F339" s="10"/>
      <c r="G339" s="10"/>
      <c r="H339" s="10"/>
      <c r="O339" s="27"/>
      <c r="P339" s="27"/>
      <c r="Q339" s="27"/>
      <c r="R339" s="27"/>
    </row>
    <row r="340" spans="1:18" s="11" customFormat="1" x14ac:dyDescent="0.55000000000000004">
      <c r="A340" s="9"/>
      <c r="B340" s="10"/>
      <c r="C340" s="10"/>
      <c r="D340" s="10"/>
      <c r="E340" s="10"/>
      <c r="F340" s="10"/>
      <c r="G340" s="10"/>
      <c r="H340" s="10"/>
      <c r="O340" s="27"/>
      <c r="P340" s="27"/>
      <c r="Q340" s="27"/>
      <c r="R340" s="27"/>
    </row>
    <row r="341" spans="1:18" s="11" customFormat="1" x14ac:dyDescent="0.55000000000000004">
      <c r="A341" s="9"/>
      <c r="B341" s="10"/>
      <c r="C341" s="10"/>
      <c r="D341" s="10"/>
      <c r="E341" s="10"/>
      <c r="F341" s="10"/>
      <c r="G341" s="10"/>
      <c r="H341" s="10"/>
      <c r="O341" s="27"/>
      <c r="P341" s="27"/>
      <c r="Q341" s="27"/>
      <c r="R341" s="27"/>
    </row>
    <row r="342" spans="1:18" s="11" customFormat="1" x14ac:dyDescent="0.55000000000000004">
      <c r="A342" s="9"/>
      <c r="B342" s="10"/>
      <c r="C342" s="10"/>
      <c r="D342" s="10"/>
      <c r="E342" s="10"/>
      <c r="F342" s="10"/>
      <c r="G342" s="10"/>
      <c r="H342" s="10"/>
      <c r="O342" s="27"/>
      <c r="P342" s="27"/>
      <c r="Q342" s="27"/>
      <c r="R342" s="27"/>
    </row>
    <row r="343" spans="1:18" s="11" customFormat="1" x14ac:dyDescent="0.55000000000000004">
      <c r="A343" s="9"/>
      <c r="B343" s="10"/>
      <c r="C343" s="10"/>
      <c r="D343" s="10"/>
      <c r="E343" s="10"/>
      <c r="F343" s="10"/>
      <c r="G343" s="10"/>
      <c r="H343" s="10"/>
      <c r="O343" s="27"/>
      <c r="P343" s="27"/>
      <c r="Q343" s="27"/>
      <c r="R343" s="27"/>
    </row>
    <row r="344" spans="1:18" s="11" customFormat="1" x14ac:dyDescent="0.55000000000000004">
      <c r="A344" s="9"/>
      <c r="B344" s="10"/>
      <c r="C344" s="10"/>
      <c r="D344" s="10"/>
      <c r="E344" s="10"/>
      <c r="F344" s="10"/>
      <c r="G344" s="10"/>
      <c r="H344" s="10"/>
      <c r="O344" s="27"/>
      <c r="P344" s="27"/>
      <c r="Q344" s="27"/>
      <c r="R344" s="27"/>
    </row>
    <row r="345" spans="1:18" s="11" customFormat="1" x14ac:dyDescent="0.55000000000000004">
      <c r="A345" s="9"/>
      <c r="B345" s="10"/>
      <c r="C345" s="10"/>
      <c r="D345" s="10"/>
      <c r="E345" s="10"/>
      <c r="F345" s="10"/>
      <c r="G345" s="10"/>
      <c r="H345" s="10"/>
      <c r="O345" s="27"/>
      <c r="P345" s="27"/>
      <c r="Q345" s="27"/>
      <c r="R345" s="27"/>
    </row>
    <row r="346" spans="1:18" s="11" customFormat="1" x14ac:dyDescent="0.55000000000000004">
      <c r="A346" s="9"/>
      <c r="B346" s="10"/>
      <c r="C346" s="10"/>
      <c r="D346" s="10"/>
      <c r="E346" s="10"/>
      <c r="F346" s="10"/>
      <c r="G346" s="10"/>
      <c r="H346" s="10"/>
      <c r="O346" s="27"/>
      <c r="P346" s="27"/>
      <c r="Q346" s="27"/>
      <c r="R346" s="27"/>
    </row>
    <row r="347" spans="1:18" s="11" customFormat="1" x14ac:dyDescent="0.55000000000000004">
      <c r="A347" s="9"/>
      <c r="B347" s="10"/>
      <c r="C347" s="10"/>
      <c r="D347" s="10"/>
      <c r="E347" s="10"/>
      <c r="F347" s="10"/>
      <c r="G347" s="10"/>
      <c r="H347" s="10"/>
      <c r="O347" s="27"/>
      <c r="P347" s="27"/>
      <c r="Q347" s="27"/>
      <c r="R347" s="27"/>
    </row>
    <row r="348" spans="1:18" s="11" customFormat="1" x14ac:dyDescent="0.55000000000000004">
      <c r="A348" s="9"/>
      <c r="B348" s="10"/>
      <c r="C348" s="10"/>
      <c r="D348" s="10"/>
      <c r="E348" s="10"/>
      <c r="F348" s="10"/>
      <c r="G348" s="10"/>
      <c r="H348" s="10"/>
      <c r="O348" s="27"/>
      <c r="P348" s="27"/>
      <c r="Q348" s="27"/>
      <c r="R348" s="27"/>
    </row>
    <row r="349" spans="1:18" s="11" customFormat="1" x14ac:dyDescent="0.55000000000000004">
      <c r="A349" s="9"/>
      <c r="B349" s="10"/>
      <c r="C349" s="10"/>
      <c r="D349" s="10"/>
      <c r="E349" s="10"/>
      <c r="F349" s="10"/>
      <c r="G349" s="10"/>
      <c r="H349" s="10"/>
      <c r="O349" s="27"/>
      <c r="P349" s="27"/>
      <c r="Q349" s="27"/>
      <c r="R349" s="27"/>
    </row>
    <row r="350" spans="1:18" s="11" customFormat="1" x14ac:dyDescent="0.55000000000000004">
      <c r="A350" s="9"/>
      <c r="B350" s="10"/>
      <c r="C350" s="10"/>
      <c r="D350" s="10"/>
      <c r="E350" s="10"/>
      <c r="F350" s="10"/>
      <c r="G350" s="10"/>
      <c r="H350" s="10"/>
      <c r="O350" s="27"/>
      <c r="P350" s="27"/>
      <c r="Q350" s="27"/>
      <c r="R350" s="27"/>
    </row>
    <row r="351" spans="1:18" s="11" customFormat="1" x14ac:dyDescent="0.55000000000000004">
      <c r="A351" s="9"/>
      <c r="B351" s="10"/>
      <c r="C351" s="10"/>
      <c r="D351" s="10"/>
      <c r="E351" s="10"/>
      <c r="F351" s="10"/>
      <c r="G351" s="10"/>
      <c r="H351" s="10"/>
      <c r="O351" s="27"/>
      <c r="P351" s="27"/>
      <c r="Q351" s="27"/>
      <c r="R351" s="27"/>
    </row>
    <row r="352" spans="1:18" s="11" customFormat="1" x14ac:dyDescent="0.55000000000000004">
      <c r="A352" s="9"/>
      <c r="B352" s="10"/>
      <c r="C352" s="10"/>
      <c r="D352" s="10"/>
      <c r="E352" s="10"/>
      <c r="F352" s="10"/>
      <c r="G352" s="10"/>
      <c r="H352" s="10"/>
      <c r="O352" s="27"/>
      <c r="P352" s="27"/>
      <c r="Q352" s="27"/>
      <c r="R352" s="27"/>
    </row>
    <row r="353" spans="1:18" s="11" customFormat="1" x14ac:dyDescent="0.55000000000000004">
      <c r="A353" s="9"/>
      <c r="B353" s="10"/>
      <c r="C353" s="10"/>
      <c r="D353" s="10"/>
      <c r="E353" s="10"/>
      <c r="F353" s="10"/>
      <c r="G353" s="10"/>
      <c r="H353" s="10"/>
      <c r="O353" s="27"/>
      <c r="P353" s="27"/>
      <c r="Q353" s="27"/>
      <c r="R353" s="27"/>
    </row>
    <row r="354" spans="1:18" s="11" customFormat="1" x14ac:dyDescent="0.55000000000000004">
      <c r="A354" s="9"/>
      <c r="B354" s="10"/>
      <c r="C354" s="10"/>
      <c r="D354" s="10"/>
      <c r="E354" s="10"/>
      <c r="F354" s="10"/>
      <c r="G354" s="10"/>
      <c r="H354" s="10"/>
      <c r="O354" s="27"/>
      <c r="P354" s="27"/>
      <c r="Q354" s="27"/>
      <c r="R354" s="27"/>
    </row>
    <row r="355" spans="1:18" s="11" customFormat="1" x14ac:dyDescent="0.55000000000000004">
      <c r="A355" s="9"/>
      <c r="B355" s="10"/>
      <c r="C355" s="10"/>
      <c r="D355" s="10"/>
      <c r="E355" s="10"/>
      <c r="F355" s="10"/>
      <c r="G355" s="10"/>
      <c r="H355" s="10"/>
      <c r="O355" s="27"/>
      <c r="P355" s="27"/>
      <c r="Q355" s="27"/>
      <c r="R355" s="27"/>
    </row>
    <row r="356" spans="1:18" s="11" customFormat="1" x14ac:dyDescent="0.55000000000000004">
      <c r="A356" s="9"/>
      <c r="B356" s="10"/>
      <c r="C356" s="10"/>
      <c r="D356" s="10"/>
      <c r="E356" s="10"/>
      <c r="F356" s="10"/>
      <c r="G356" s="10"/>
      <c r="H356" s="10"/>
      <c r="O356" s="27"/>
      <c r="P356" s="27"/>
      <c r="Q356" s="27"/>
      <c r="R356" s="27"/>
    </row>
    <row r="357" spans="1:18" s="11" customFormat="1" x14ac:dyDescent="0.55000000000000004">
      <c r="A357" s="9"/>
      <c r="B357" s="10"/>
      <c r="C357" s="10"/>
      <c r="D357" s="10"/>
      <c r="E357" s="10"/>
      <c r="F357" s="10"/>
      <c r="G357" s="10"/>
      <c r="H357" s="10"/>
      <c r="O357" s="27"/>
      <c r="P357" s="27"/>
      <c r="Q357" s="27"/>
      <c r="R357" s="27"/>
    </row>
    <row r="358" spans="1:18" s="11" customFormat="1" x14ac:dyDescent="0.55000000000000004">
      <c r="A358" s="9"/>
      <c r="B358" s="10"/>
      <c r="C358" s="10"/>
      <c r="D358" s="10"/>
      <c r="E358" s="10"/>
      <c r="F358" s="10"/>
      <c r="G358" s="10"/>
      <c r="H358" s="10"/>
      <c r="O358" s="27"/>
      <c r="P358" s="27"/>
      <c r="Q358" s="27"/>
      <c r="R358" s="27"/>
    </row>
    <row r="359" spans="1:18" s="11" customFormat="1" x14ac:dyDescent="0.55000000000000004">
      <c r="A359" s="9"/>
      <c r="B359" s="10"/>
      <c r="C359" s="10"/>
      <c r="D359" s="10"/>
      <c r="E359" s="10"/>
      <c r="F359" s="10"/>
      <c r="G359" s="10"/>
      <c r="H359" s="10"/>
      <c r="O359" s="27"/>
      <c r="P359" s="27"/>
      <c r="Q359" s="27"/>
      <c r="R359" s="27"/>
    </row>
    <row r="360" spans="1:18" s="11" customFormat="1" x14ac:dyDescent="0.55000000000000004">
      <c r="A360" s="9"/>
      <c r="B360" s="10"/>
      <c r="C360" s="10"/>
      <c r="D360" s="10"/>
      <c r="E360" s="10"/>
      <c r="F360" s="10"/>
      <c r="G360" s="10"/>
      <c r="H360" s="10"/>
      <c r="O360" s="27"/>
      <c r="P360" s="27"/>
      <c r="Q360" s="27"/>
      <c r="R360" s="27"/>
    </row>
    <row r="361" spans="1:18" s="11" customFormat="1" x14ac:dyDescent="0.55000000000000004">
      <c r="A361" s="9"/>
      <c r="B361" s="10"/>
      <c r="C361" s="10"/>
      <c r="D361" s="10"/>
      <c r="E361" s="10"/>
      <c r="F361" s="10"/>
      <c r="G361" s="10"/>
      <c r="H361" s="10"/>
      <c r="O361" s="27"/>
      <c r="P361" s="27"/>
      <c r="Q361" s="27"/>
      <c r="R361" s="27"/>
    </row>
    <row r="362" spans="1:18" s="11" customFormat="1" x14ac:dyDescent="0.55000000000000004">
      <c r="A362" s="9"/>
      <c r="B362" s="10"/>
      <c r="C362" s="10"/>
      <c r="D362" s="10"/>
      <c r="E362" s="10"/>
      <c r="F362" s="10"/>
      <c r="G362" s="10"/>
      <c r="H362" s="10"/>
      <c r="O362" s="27"/>
      <c r="P362" s="27"/>
      <c r="Q362" s="27"/>
      <c r="R362" s="27"/>
    </row>
    <row r="363" spans="1:18" s="11" customFormat="1" x14ac:dyDescent="0.55000000000000004">
      <c r="A363" s="9"/>
      <c r="B363" s="10"/>
      <c r="C363" s="10"/>
      <c r="D363" s="10"/>
      <c r="E363" s="10"/>
      <c r="F363" s="10"/>
      <c r="G363" s="10"/>
      <c r="H363" s="10"/>
      <c r="O363" s="27"/>
      <c r="P363" s="27"/>
      <c r="Q363" s="27"/>
      <c r="R363" s="27"/>
    </row>
    <row r="364" spans="1:18" s="11" customFormat="1" x14ac:dyDescent="0.55000000000000004">
      <c r="A364" s="9"/>
      <c r="B364" s="10"/>
      <c r="C364" s="10"/>
      <c r="D364" s="10"/>
      <c r="E364" s="10"/>
      <c r="F364" s="10"/>
      <c r="G364" s="10"/>
      <c r="H364" s="10"/>
      <c r="O364" s="27"/>
      <c r="P364" s="27"/>
      <c r="Q364" s="27"/>
      <c r="R364" s="27"/>
    </row>
    <row r="365" spans="1:18" s="11" customFormat="1" x14ac:dyDescent="0.55000000000000004">
      <c r="A365" s="9"/>
      <c r="B365" s="10"/>
      <c r="C365" s="10"/>
      <c r="D365" s="10"/>
      <c r="E365" s="10"/>
      <c r="F365" s="10"/>
      <c r="G365" s="10"/>
      <c r="H365" s="10"/>
      <c r="O365" s="27"/>
      <c r="P365" s="27"/>
      <c r="Q365" s="27"/>
      <c r="R365" s="27"/>
    </row>
    <row r="366" spans="1:18" s="11" customFormat="1" x14ac:dyDescent="0.55000000000000004">
      <c r="A366" s="9"/>
      <c r="B366" s="10"/>
      <c r="C366" s="10"/>
      <c r="D366" s="10"/>
      <c r="E366" s="10"/>
      <c r="F366" s="10"/>
      <c r="G366" s="10"/>
      <c r="H366" s="10"/>
      <c r="O366" s="27"/>
      <c r="P366" s="27"/>
      <c r="Q366" s="27"/>
      <c r="R366" s="27"/>
    </row>
    <row r="367" spans="1:18" s="11" customFormat="1" x14ac:dyDescent="0.55000000000000004">
      <c r="A367" s="9"/>
      <c r="B367" s="10"/>
      <c r="C367" s="10"/>
      <c r="D367" s="10"/>
      <c r="E367" s="10"/>
      <c r="F367" s="10"/>
      <c r="G367" s="10"/>
      <c r="H367" s="10"/>
      <c r="O367" s="27"/>
      <c r="P367" s="27"/>
      <c r="Q367" s="27"/>
      <c r="R367" s="27"/>
    </row>
    <row r="368" spans="1:18" s="11" customFormat="1" x14ac:dyDescent="0.55000000000000004">
      <c r="A368" s="9"/>
      <c r="B368" s="10"/>
      <c r="C368" s="10"/>
      <c r="D368" s="10"/>
      <c r="E368" s="10"/>
      <c r="F368" s="10"/>
      <c r="G368" s="10"/>
      <c r="H368" s="10"/>
      <c r="O368" s="27"/>
      <c r="P368" s="27"/>
      <c r="Q368" s="27"/>
      <c r="R368" s="27"/>
    </row>
    <row r="369" spans="1:18" s="11" customFormat="1" x14ac:dyDescent="0.55000000000000004">
      <c r="A369" s="9"/>
      <c r="B369" s="10"/>
      <c r="C369" s="10"/>
      <c r="D369" s="10"/>
      <c r="E369" s="10"/>
      <c r="F369" s="10"/>
      <c r="G369" s="10"/>
      <c r="H369" s="10"/>
      <c r="O369" s="27"/>
      <c r="P369" s="27"/>
      <c r="Q369" s="27"/>
      <c r="R369" s="27"/>
    </row>
    <row r="370" spans="1:18" s="11" customFormat="1" x14ac:dyDescent="0.55000000000000004">
      <c r="A370" s="9"/>
      <c r="B370" s="10"/>
      <c r="C370" s="10"/>
      <c r="D370" s="10"/>
      <c r="E370" s="10"/>
      <c r="F370" s="10"/>
      <c r="G370" s="10"/>
      <c r="H370" s="10"/>
      <c r="O370" s="27"/>
      <c r="P370" s="27"/>
      <c r="Q370" s="27"/>
      <c r="R370" s="27"/>
    </row>
    <row r="371" spans="1:18" s="11" customFormat="1" x14ac:dyDescent="0.55000000000000004">
      <c r="A371" s="9"/>
      <c r="B371" s="10"/>
      <c r="C371" s="10"/>
      <c r="D371" s="10"/>
      <c r="E371" s="10"/>
      <c r="F371" s="10"/>
      <c r="G371" s="10"/>
      <c r="H371" s="10"/>
      <c r="O371" s="27"/>
      <c r="P371" s="27"/>
      <c r="Q371" s="27"/>
      <c r="R371" s="27"/>
    </row>
    <row r="372" spans="1:18" s="11" customFormat="1" x14ac:dyDescent="0.55000000000000004">
      <c r="A372" s="9"/>
      <c r="B372" s="10"/>
      <c r="C372" s="10"/>
      <c r="D372" s="10"/>
      <c r="E372" s="10"/>
      <c r="F372" s="10"/>
      <c r="G372" s="10"/>
      <c r="H372" s="10"/>
      <c r="O372" s="27"/>
      <c r="P372" s="27"/>
      <c r="Q372" s="27"/>
      <c r="R372" s="27"/>
    </row>
    <row r="373" spans="1:18" s="11" customFormat="1" x14ac:dyDescent="0.55000000000000004">
      <c r="A373" s="9"/>
      <c r="B373" s="10"/>
      <c r="C373" s="10"/>
      <c r="D373" s="10"/>
      <c r="E373" s="10"/>
      <c r="F373" s="10"/>
      <c r="G373" s="10"/>
      <c r="H373" s="10"/>
      <c r="O373" s="27"/>
      <c r="P373" s="27"/>
      <c r="Q373" s="27"/>
      <c r="R373" s="27"/>
    </row>
    <row r="374" spans="1:18" s="11" customFormat="1" x14ac:dyDescent="0.55000000000000004">
      <c r="A374" s="9"/>
      <c r="B374" s="10"/>
      <c r="C374" s="10"/>
      <c r="D374" s="10"/>
      <c r="E374" s="10"/>
      <c r="F374" s="10"/>
      <c r="G374" s="10"/>
      <c r="H374" s="10"/>
      <c r="O374" s="27"/>
      <c r="P374" s="27"/>
      <c r="Q374" s="27"/>
      <c r="R374" s="27"/>
    </row>
    <row r="375" spans="1:18" s="11" customFormat="1" x14ac:dyDescent="0.55000000000000004">
      <c r="A375" s="9"/>
      <c r="B375" s="10"/>
      <c r="C375" s="10"/>
      <c r="D375" s="10"/>
      <c r="E375" s="10"/>
      <c r="F375" s="10"/>
      <c r="G375" s="10"/>
      <c r="H375" s="10"/>
      <c r="O375" s="27"/>
      <c r="P375" s="27"/>
      <c r="Q375" s="27"/>
      <c r="R375" s="27"/>
    </row>
    <row r="376" spans="1:18" s="11" customFormat="1" x14ac:dyDescent="0.55000000000000004">
      <c r="A376" s="9"/>
      <c r="B376" s="10"/>
      <c r="C376" s="10"/>
      <c r="D376" s="10"/>
      <c r="E376" s="10"/>
      <c r="F376" s="10"/>
      <c r="G376" s="10"/>
      <c r="H376" s="10"/>
      <c r="O376" s="27"/>
      <c r="P376" s="27"/>
      <c r="Q376" s="27"/>
      <c r="R376" s="27"/>
    </row>
    <row r="377" spans="1:18" s="11" customFormat="1" x14ac:dyDescent="0.55000000000000004">
      <c r="A377" s="9"/>
      <c r="B377" s="10"/>
      <c r="C377" s="10"/>
      <c r="D377" s="10"/>
      <c r="E377" s="10"/>
      <c r="F377" s="10"/>
      <c r="G377" s="10"/>
      <c r="H377" s="10"/>
      <c r="O377" s="27"/>
      <c r="P377" s="27"/>
      <c r="Q377" s="27"/>
      <c r="R377" s="27"/>
    </row>
    <row r="378" spans="1:18" s="11" customFormat="1" x14ac:dyDescent="0.55000000000000004">
      <c r="A378" s="9"/>
      <c r="B378" s="10"/>
      <c r="C378" s="10"/>
      <c r="D378" s="10"/>
      <c r="E378" s="10"/>
      <c r="F378" s="10"/>
      <c r="G378" s="10"/>
      <c r="H378" s="10"/>
      <c r="O378" s="27"/>
      <c r="P378" s="27"/>
      <c r="Q378" s="27"/>
      <c r="R378" s="27"/>
    </row>
    <row r="379" spans="1:18" s="11" customFormat="1" x14ac:dyDescent="0.55000000000000004">
      <c r="A379" s="9"/>
      <c r="B379" s="10"/>
      <c r="C379" s="10"/>
      <c r="D379" s="10"/>
      <c r="E379" s="10"/>
      <c r="F379" s="10"/>
      <c r="G379" s="10"/>
      <c r="H379" s="10"/>
      <c r="O379" s="27"/>
      <c r="P379" s="27"/>
      <c r="Q379" s="27"/>
      <c r="R379" s="27"/>
    </row>
    <row r="380" spans="1:18" s="11" customFormat="1" x14ac:dyDescent="0.55000000000000004">
      <c r="A380" s="9"/>
      <c r="B380" s="10"/>
      <c r="C380" s="10"/>
      <c r="D380" s="10"/>
      <c r="E380" s="10"/>
      <c r="F380" s="10"/>
      <c r="G380" s="10"/>
      <c r="H380" s="10"/>
      <c r="O380" s="27"/>
      <c r="P380" s="27"/>
      <c r="Q380" s="27"/>
      <c r="R380" s="27"/>
    </row>
    <row r="381" spans="1:18" s="11" customFormat="1" x14ac:dyDescent="0.55000000000000004">
      <c r="A381" s="9"/>
      <c r="B381" s="10"/>
      <c r="C381" s="10"/>
      <c r="D381" s="10"/>
      <c r="E381" s="10"/>
      <c r="F381" s="10"/>
      <c r="G381" s="10"/>
      <c r="H381" s="10"/>
      <c r="O381" s="27"/>
      <c r="P381" s="27"/>
      <c r="Q381" s="27"/>
      <c r="R381" s="27"/>
    </row>
    <row r="382" spans="1:18" s="11" customFormat="1" x14ac:dyDescent="0.55000000000000004">
      <c r="A382" s="9"/>
      <c r="B382" s="10"/>
      <c r="C382" s="10"/>
      <c r="D382" s="10"/>
      <c r="E382" s="10"/>
      <c r="F382" s="10"/>
      <c r="G382" s="10"/>
      <c r="H382" s="10"/>
      <c r="O382" s="27"/>
      <c r="P382" s="27"/>
      <c r="Q382" s="27"/>
      <c r="R382" s="27"/>
    </row>
    <row r="383" spans="1:18" s="11" customFormat="1" x14ac:dyDescent="0.55000000000000004">
      <c r="A383" s="9"/>
      <c r="B383" s="10"/>
      <c r="C383" s="10"/>
      <c r="D383" s="10"/>
      <c r="E383" s="10"/>
      <c r="F383" s="10"/>
      <c r="G383" s="10"/>
      <c r="H383" s="10"/>
      <c r="O383" s="27"/>
      <c r="P383" s="27"/>
      <c r="Q383" s="27"/>
      <c r="R383" s="27"/>
    </row>
    <row r="384" spans="1:18" s="11" customFormat="1" x14ac:dyDescent="0.55000000000000004">
      <c r="A384" s="9"/>
      <c r="B384" s="10"/>
      <c r="C384" s="10"/>
      <c r="D384" s="10"/>
      <c r="E384" s="10"/>
      <c r="F384" s="10"/>
      <c r="G384" s="10"/>
      <c r="H384" s="10"/>
      <c r="O384" s="27"/>
      <c r="P384" s="27"/>
      <c r="Q384" s="27"/>
      <c r="R384" s="27"/>
    </row>
    <row r="385" spans="1:18" s="11" customFormat="1" x14ac:dyDescent="0.55000000000000004">
      <c r="A385" s="9"/>
      <c r="B385" s="10"/>
      <c r="C385" s="10"/>
      <c r="D385" s="10"/>
      <c r="E385" s="10"/>
      <c r="F385" s="10"/>
      <c r="G385" s="10"/>
      <c r="H385" s="10"/>
      <c r="O385" s="27"/>
      <c r="P385" s="27"/>
      <c r="Q385" s="27"/>
      <c r="R385" s="27"/>
    </row>
    <row r="386" spans="1:18" s="11" customFormat="1" x14ac:dyDescent="0.55000000000000004">
      <c r="A386" s="9"/>
      <c r="B386" s="10"/>
      <c r="C386" s="10"/>
      <c r="D386" s="10"/>
      <c r="E386" s="10"/>
      <c r="F386" s="10"/>
      <c r="G386" s="10"/>
      <c r="H386" s="10"/>
      <c r="O386" s="27"/>
      <c r="P386" s="27"/>
      <c r="Q386" s="27"/>
      <c r="R386" s="27"/>
    </row>
    <row r="387" spans="1:18" s="11" customFormat="1" x14ac:dyDescent="0.55000000000000004">
      <c r="A387" s="9"/>
      <c r="B387" s="10"/>
      <c r="C387" s="10"/>
      <c r="D387" s="10"/>
      <c r="E387" s="10"/>
      <c r="F387" s="10"/>
      <c r="G387" s="10"/>
      <c r="H387" s="10"/>
      <c r="O387" s="27"/>
      <c r="P387" s="27"/>
      <c r="Q387" s="27"/>
      <c r="R387" s="27"/>
    </row>
    <row r="388" spans="1:18" s="11" customFormat="1" x14ac:dyDescent="0.55000000000000004">
      <c r="A388" s="9"/>
      <c r="B388" s="10"/>
      <c r="C388" s="10"/>
      <c r="D388" s="10"/>
      <c r="E388" s="10"/>
      <c r="F388" s="10"/>
      <c r="G388" s="10"/>
      <c r="H388" s="10"/>
      <c r="O388" s="27"/>
      <c r="P388" s="27"/>
      <c r="Q388" s="27"/>
      <c r="R388" s="27"/>
    </row>
    <row r="389" spans="1:18" s="11" customFormat="1" x14ac:dyDescent="0.55000000000000004">
      <c r="A389" s="9"/>
      <c r="B389" s="10"/>
      <c r="C389" s="10"/>
      <c r="D389" s="10"/>
      <c r="E389" s="10"/>
      <c r="F389" s="10"/>
      <c r="G389" s="10"/>
      <c r="H389" s="10"/>
      <c r="O389" s="27"/>
      <c r="P389" s="27"/>
      <c r="Q389" s="27"/>
      <c r="R389" s="27"/>
    </row>
    <row r="390" spans="1:18" s="11" customFormat="1" x14ac:dyDescent="0.55000000000000004">
      <c r="A390" s="9"/>
      <c r="B390" s="10"/>
      <c r="C390" s="10"/>
      <c r="D390" s="10"/>
      <c r="E390" s="10"/>
      <c r="F390" s="10"/>
      <c r="G390" s="10"/>
      <c r="H390" s="10"/>
      <c r="O390" s="27"/>
      <c r="P390" s="27"/>
      <c r="Q390" s="27"/>
      <c r="R390" s="27"/>
    </row>
    <row r="391" spans="1:18" s="11" customFormat="1" x14ac:dyDescent="0.55000000000000004">
      <c r="A391" s="9"/>
      <c r="B391" s="10"/>
      <c r="C391" s="10"/>
      <c r="D391" s="10"/>
      <c r="E391" s="10"/>
      <c r="F391" s="10"/>
      <c r="G391" s="10"/>
      <c r="H391" s="10"/>
      <c r="O391" s="27"/>
      <c r="P391" s="27"/>
      <c r="Q391" s="27"/>
      <c r="R391" s="27"/>
    </row>
    <row r="392" spans="1:18" s="11" customFormat="1" x14ac:dyDescent="0.55000000000000004">
      <c r="A392" s="9"/>
      <c r="B392" s="10"/>
      <c r="C392" s="10"/>
      <c r="D392" s="10"/>
      <c r="E392" s="10"/>
      <c r="F392" s="10"/>
      <c r="G392" s="10"/>
      <c r="H392" s="10"/>
      <c r="O392" s="27"/>
      <c r="P392" s="27"/>
      <c r="Q392" s="27"/>
      <c r="R392" s="27"/>
    </row>
    <row r="393" spans="1:18" s="11" customFormat="1" x14ac:dyDescent="0.55000000000000004">
      <c r="A393" s="9"/>
      <c r="B393" s="10"/>
      <c r="C393" s="10"/>
      <c r="D393" s="10"/>
      <c r="E393" s="10"/>
      <c r="F393" s="10"/>
      <c r="G393" s="10"/>
      <c r="H393" s="10"/>
      <c r="O393" s="27"/>
      <c r="P393" s="27"/>
      <c r="Q393" s="27"/>
      <c r="R393" s="27"/>
    </row>
    <row r="394" spans="1:18" s="11" customFormat="1" x14ac:dyDescent="0.55000000000000004">
      <c r="A394" s="9"/>
      <c r="B394" s="10"/>
      <c r="C394" s="10"/>
      <c r="D394" s="10"/>
      <c r="E394" s="10"/>
      <c r="F394" s="10"/>
      <c r="G394" s="10"/>
      <c r="H394" s="10"/>
      <c r="O394" s="27"/>
      <c r="P394" s="27"/>
      <c r="Q394" s="27"/>
      <c r="R394" s="27"/>
    </row>
    <row r="395" spans="1:18" s="11" customFormat="1" x14ac:dyDescent="0.55000000000000004">
      <c r="A395" s="9"/>
      <c r="B395" s="10"/>
      <c r="C395" s="10"/>
      <c r="D395" s="10"/>
      <c r="E395" s="10"/>
      <c r="F395" s="10"/>
      <c r="G395" s="10"/>
      <c r="H395" s="10"/>
      <c r="O395" s="27"/>
      <c r="P395" s="27"/>
      <c r="Q395" s="27"/>
      <c r="R395" s="27"/>
    </row>
    <row r="396" spans="1:18" s="11" customFormat="1" x14ac:dyDescent="0.55000000000000004">
      <c r="A396" s="9"/>
      <c r="B396" s="10"/>
      <c r="C396" s="10"/>
      <c r="D396" s="10"/>
      <c r="E396" s="10"/>
      <c r="F396" s="10"/>
      <c r="G396" s="10"/>
      <c r="H396" s="10"/>
      <c r="O396" s="27"/>
      <c r="P396" s="27"/>
      <c r="Q396" s="27"/>
      <c r="R396" s="27"/>
    </row>
    <row r="397" spans="1:18" s="11" customFormat="1" x14ac:dyDescent="0.55000000000000004">
      <c r="A397" s="9"/>
      <c r="B397" s="10"/>
      <c r="C397" s="10"/>
      <c r="D397" s="10"/>
      <c r="E397" s="10"/>
      <c r="F397" s="10"/>
      <c r="G397" s="10"/>
      <c r="H397" s="10"/>
      <c r="O397" s="27"/>
      <c r="P397" s="27"/>
      <c r="Q397" s="27"/>
      <c r="R397" s="27"/>
    </row>
    <row r="398" spans="1:18" s="11" customFormat="1" x14ac:dyDescent="0.55000000000000004">
      <c r="A398" s="9"/>
      <c r="B398" s="10"/>
      <c r="C398" s="10"/>
      <c r="D398" s="10"/>
      <c r="E398" s="10"/>
      <c r="F398" s="10"/>
      <c r="G398" s="10"/>
      <c r="H398" s="10"/>
      <c r="O398" s="27"/>
      <c r="P398" s="27"/>
      <c r="Q398" s="27"/>
      <c r="R398" s="27"/>
    </row>
    <row r="399" spans="1:18" s="11" customFormat="1" x14ac:dyDescent="0.55000000000000004">
      <c r="A399" s="9"/>
      <c r="B399" s="10"/>
      <c r="C399" s="10"/>
      <c r="D399" s="10"/>
      <c r="E399" s="10"/>
      <c r="F399" s="10"/>
      <c r="G399" s="10"/>
      <c r="H399" s="10"/>
      <c r="O399" s="27"/>
      <c r="P399" s="27"/>
      <c r="Q399" s="27"/>
      <c r="R399" s="27"/>
    </row>
    <row r="400" spans="1:18" s="11" customFormat="1" x14ac:dyDescent="0.55000000000000004">
      <c r="A400" s="9"/>
      <c r="B400" s="10"/>
      <c r="C400" s="10"/>
      <c r="D400" s="10"/>
      <c r="E400" s="10"/>
      <c r="F400" s="10"/>
      <c r="G400" s="10"/>
      <c r="H400" s="10"/>
      <c r="O400" s="27"/>
      <c r="P400" s="27"/>
      <c r="Q400" s="27"/>
      <c r="R400" s="27"/>
    </row>
    <row r="401" spans="1:18" s="11" customFormat="1" x14ac:dyDescent="0.55000000000000004">
      <c r="A401" s="9"/>
      <c r="B401" s="10"/>
      <c r="C401" s="10"/>
      <c r="D401" s="10"/>
      <c r="E401" s="10"/>
      <c r="F401" s="10"/>
      <c r="G401" s="10"/>
      <c r="H401" s="10"/>
      <c r="O401" s="27"/>
      <c r="P401" s="27"/>
      <c r="Q401" s="27"/>
      <c r="R401" s="27"/>
    </row>
    <row r="402" spans="1:18" s="11" customFormat="1" x14ac:dyDescent="0.55000000000000004">
      <c r="A402" s="9"/>
      <c r="B402" s="10"/>
      <c r="C402" s="10"/>
      <c r="D402" s="10"/>
      <c r="E402" s="10"/>
      <c r="F402" s="10"/>
      <c r="G402" s="10"/>
      <c r="H402" s="10"/>
      <c r="O402" s="27"/>
      <c r="P402" s="27"/>
      <c r="Q402" s="27"/>
      <c r="R402" s="27"/>
    </row>
    <row r="403" spans="1:18" s="11" customFormat="1" x14ac:dyDescent="0.55000000000000004">
      <c r="A403" s="9"/>
      <c r="B403" s="10"/>
      <c r="C403" s="10"/>
      <c r="D403" s="10"/>
      <c r="E403" s="10"/>
      <c r="F403" s="10"/>
      <c r="G403" s="10"/>
      <c r="H403" s="10"/>
      <c r="O403" s="27"/>
      <c r="P403" s="27"/>
      <c r="Q403" s="27"/>
      <c r="R403" s="27"/>
    </row>
    <row r="404" spans="1:18" s="11" customFormat="1" x14ac:dyDescent="0.55000000000000004">
      <c r="A404" s="9"/>
      <c r="B404" s="10"/>
      <c r="C404" s="10"/>
      <c r="D404" s="10"/>
      <c r="E404" s="10"/>
      <c r="F404" s="10"/>
      <c r="G404" s="10"/>
      <c r="H404" s="10"/>
      <c r="O404" s="27"/>
      <c r="P404" s="27"/>
      <c r="Q404" s="27"/>
      <c r="R404" s="27"/>
    </row>
    <row r="405" spans="1:18" s="11" customFormat="1" x14ac:dyDescent="0.55000000000000004">
      <c r="A405" s="9"/>
      <c r="B405" s="10"/>
      <c r="C405" s="10"/>
      <c r="D405" s="10"/>
      <c r="E405" s="10"/>
      <c r="F405" s="10"/>
      <c r="G405" s="10"/>
      <c r="H405" s="10"/>
      <c r="O405" s="27"/>
      <c r="P405" s="27"/>
      <c r="Q405" s="27"/>
      <c r="R405" s="27"/>
    </row>
    <row r="406" spans="1:18" s="11" customFormat="1" x14ac:dyDescent="0.55000000000000004">
      <c r="A406" s="9"/>
      <c r="B406" s="10"/>
      <c r="C406" s="10"/>
      <c r="D406" s="10"/>
      <c r="E406" s="10"/>
      <c r="F406" s="10"/>
      <c r="G406" s="10"/>
      <c r="H406" s="10"/>
      <c r="O406" s="27"/>
      <c r="P406" s="27"/>
      <c r="Q406" s="27"/>
      <c r="R406" s="27"/>
    </row>
    <row r="407" spans="1:18" s="11" customFormat="1" x14ac:dyDescent="0.55000000000000004">
      <c r="A407" s="9"/>
      <c r="B407" s="10"/>
      <c r="C407" s="10"/>
      <c r="D407" s="10"/>
      <c r="E407" s="10"/>
      <c r="F407" s="10"/>
      <c r="G407" s="10"/>
      <c r="H407" s="10"/>
      <c r="O407" s="27"/>
      <c r="P407" s="27"/>
      <c r="Q407" s="27"/>
      <c r="R407" s="27"/>
    </row>
    <row r="408" spans="1:18" s="11" customFormat="1" x14ac:dyDescent="0.55000000000000004">
      <c r="A408" s="9"/>
      <c r="B408" s="10"/>
      <c r="C408" s="10"/>
      <c r="D408" s="10"/>
      <c r="E408" s="10"/>
      <c r="F408" s="10"/>
      <c r="G408" s="10"/>
      <c r="H408" s="10"/>
      <c r="O408" s="27"/>
      <c r="P408" s="27"/>
      <c r="Q408" s="27"/>
      <c r="R408" s="27"/>
    </row>
    <row r="409" spans="1:18" s="11" customFormat="1" x14ac:dyDescent="0.55000000000000004">
      <c r="A409" s="9"/>
      <c r="B409" s="10"/>
      <c r="C409" s="10"/>
      <c r="D409" s="10"/>
      <c r="E409" s="10"/>
      <c r="F409" s="10"/>
      <c r="G409" s="10"/>
      <c r="H409" s="10"/>
      <c r="O409" s="27"/>
      <c r="P409" s="27"/>
      <c r="Q409" s="27"/>
      <c r="R409" s="27"/>
    </row>
    <row r="410" spans="1:18" s="11" customFormat="1" x14ac:dyDescent="0.55000000000000004">
      <c r="A410" s="9"/>
      <c r="B410" s="10"/>
      <c r="C410" s="10"/>
      <c r="D410" s="10"/>
      <c r="E410" s="10"/>
      <c r="F410" s="10"/>
      <c r="G410" s="10"/>
      <c r="H410" s="10"/>
      <c r="O410" s="27"/>
      <c r="P410" s="27"/>
      <c r="Q410" s="27"/>
      <c r="R410" s="27"/>
    </row>
    <row r="411" spans="1:18" s="11" customFormat="1" x14ac:dyDescent="0.55000000000000004">
      <c r="A411" s="9"/>
      <c r="B411" s="10"/>
      <c r="C411" s="10"/>
      <c r="D411" s="10"/>
      <c r="E411" s="10"/>
      <c r="F411" s="10"/>
      <c r="G411" s="10"/>
      <c r="H411" s="10"/>
      <c r="O411" s="27"/>
      <c r="P411" s="27"/>
      <c r="Q411" s="27"/>
      <c r="R411" s="27"/>
    </row>
    <row r="412" spans="1:18" s="11" customFormat="1" x14ac:dyDescent="0.55000000000000004">
      <c r="A412" s="9"/>
      <c r="B412" s="10"/>
      <c r="C412" s="10"/>
      <c r="D412" s="10"/>
      <c r="E412" s="10"/>
      <c r="F412" s="10"/>
      <c r="G412" s="10"/>
      <c r="H412" s="10"/>
      <c r="O412" s="27"/>
      <c r="P412" s="27"/>
      <c r="Q412" s="27"/>
      <c r="R412" s="27"/>
    </row>
    <row r="413" spans="1:18" s="11" customFormat="1" x14ac:dyDescent="0.55000000000000004">
      <c r="A413" s="9"/>
      <c r="B413" s="10"/>
      <c r="C413" s="10"/>
      <c r="D413" s="10"/>
      <c r="E413" s="10"/>
      <c r="F413" s="10"/>
      <c r="G413" s="10"/>
      <c r="H413" s="10"/>
      <c r="O413" s="27"/>
      <c r="P413" s="27"/>
      <c r="Q413" s="27"/>
      <c r="R413" s="27"/>
    </row>
    <row r="414" spans="1:18" s="11" customFormat="1" x14ac:dyDescent="0.55000000000000004">
      <c r="A414" s="9"/>
      <c r="B414" s="10"/>
      <c r="C414" s="10"/>
      <c r="D414" s="10"/>
      <c r="E414" s="10"/>
      <c r="F414" s="10"/>
      <c r="G414" s="10"/>
      <c r="H414" s="10"/>
      <c r="O414" s="27"/>
      <c r="P414" s="27"/>
      <c r="Q414" s="27"/>
      <c r="R414" s="27"/>
    </row>
    <row r="415" spans="1:18" s="11" customFormat="1" x14ac:dyDescent="0.55000000000000004">
      <c r="A415" s="9"/>
      <c r="B415" s="10"/>
      <c r="C415" s="10"/>
      <c r="D415" s="10"/>
      <c r="E415" s="10"/>
      <c r="F415" s="10"/>
      <c r="G415" s="10"/>
      <c r="H415" s="10"/>
      <c r="O415" s="27"/>
      <c r="P415" s="27"/>
      <c r="Q415" s="27"/>
      <c r="R415" s="27"/>
    </row>
    <row r="416" spans="1:18" s="11" customFormat="1" x14ac:dyDescent="0.55000000000000004">
      <c r="A416" s="9"/>
      <c r="B416" s="10"/>
      <c r="C416" s="10"/>
      <c r="D416" s="10"/>
      <c r="E416" s="10"/>
      <c r="F416" s="10"/>
      <c r="G416" s="10"/>
      <c r="H416" s="10"/>
      <c r="O416" s="27"/>
      <c r="P416" s="27"/>
      <c r="Q416" s="27"/>
      <c r="R416" s="27"/>
    </row>
    <row r="417" spans="1:18" s="11" customFormat="1" x14ac:dyDescent="0.55000000000000004">
      <c r="A417" s="9"/>
      <c r="B417" s="10"/>
      <c r="C417" s="10"/>
      <c r="D417" s="10"/>
      <c r="E417" s="10"/>
      <c r="F417" s="10"/>
      <c r="G417" s="10"/>
      <c r="H417" s="10"/>
      <c r="O417" s="27"/>
      <c r="P417" s="27"/>
      <c r="Q417" s="27"/>
      <c r="R417" s="27"/>
    </row>
    <row r="418" spans="1:18" s="11" customFormat="1" x14ac:dyDescent="0.55000000000000004">
      <c r="A418" s="9"/>
      <c r="B418" s="10"/>
      <c r="C418" s="10"/>
      <c r="D418" s="10"/>
      <c r="E418" s="10"/>
      <c r="F418" s="10"/>
      <c r="G418" s="10"/>
      <c r="H418" s="10"/>
      <c r="O418" s="27"/>
      <c r="P418" s="27"/>
      <c r="Q418" s="27"/>
      <c r="R418" s="27"/>
    </row>
    <row r="419" spans="1:18" s="11" customFormat="1" x14ac:dyDescent="0.55000000000000004">
      <c r="A419" s="9"/>
      <c r="B419" s="10"/>
      <c r="C419" s="10"/>
      <c r="D419" s="10"/>
      <c r="E419" s="10"/>
      <c r="F419" s="10"/>
      <c r="G419" s="10"/>
      <c r="H419" s="10"/>
      <c r="O419" s="27"/>
      <c r="P419" s="27"/>
      <c r="Q419" s="27"/>
      <c r="R419" s="27"/>
    </row>
    <row r="420" spans="1:18" s="11" customFormat="1" x14ac:dyDescent="0.55000000000000004">
      <c r="A420" s="9"/>
      <c r="B420" s="10"/>
      <c r="C420" s="10"/>
      <c r="D420" s="10"/>
      <c r="E420" s="10"/>
      <c r="F420" s="10"/>
      <c r="G420" s="10"/>
      <c r="H420" s="10"/>
      <c r="O420" s="27"/>
      <c r="P420" s="27"/>
      <c r="Q420" s="27"/>
      <c r="R420" s="27"/>
    </row>
    <row r="421" spans="1:18" s="11" customFormat="1" x14ac:dyDescent="0.55000000000000004">
      <c r="A421" s="9"/>
      <c r="B421" s="10"/>
      <c r="C421" s="10"/>
      <c r="D421" s="10"/>
      <c r="E421" s="10"/>
      <c r="F421" s="10"/>
      <c r="G421" s="10"/>
      <c r="H421" s="10"/>
      <c r="O421" s="27"/>
      <c r="P421" s="27"/>
      <c r="Q421" s="27"/>
      <c r="R421" s="27"/>
    </row>
    <row r="422" spans="1:18" s="11" customFormat="1" x14ac:dyDescent="0.55000000000000004">
      <c r="A422" s="9"/>
      <c r="B422" s="10"/>
      <c r="C422" s="10"/>
      <c r="D422" s="10"/>
      <c r="E422" s="10"/>
      <c r="F422" s="10"/>
      <c r="G422" s="10"/>
      <c r="H422" s="10"/>
      <c r="O422" s="27"/>
      <c r="P422" s="27"/>
      <c r="Q422" s="27"/>
      <c r="R422" s="27"/>
    </row>
    <row r="423" spans="1:18" s="11" customFormat="1" x14ac:dyDescent="0.55000000000000004">
      <c r="A423" s="9"/>
      <c r="B423" s="10"/>
      <c r="C423" s="10"/>
      <c r="D423" s="10"/>
      <c r="E423" s="10"/>
      <c r="F423" s="10"/>
      <c r="G423" s="10"/>
      <c r="H423" s="10"/>
      <c r="O423" s="27"/>
      <c r="P423" s="27"/>
      <c r="Q423" s="27"/>
      <c r="R423" s="27"/>
    </row>
    <row r="424" spans="1:18" s="11" customFormat="1" x14ac:dyDescent="0.55000000000000004">
      <c r="A424" s="9"/>
      <c r="B424" s="10"/>
      <c r="C424" s="10"/>
      <c r="D424" s="10"/>
      <c r="E424" s="10"/>
      <c r="F424" s="10"/>
      <c r="G424" s="10"/>
      <c r="H424" s="10"/>
      <c r="O424" s="27"/>
      <c r="P424" s="27"/>
      <c r="Q424" s="27"/>
      <c r="R424" s="27"/>
    </row>
    <row r="425" spans="1:18" s="11" customFormat="1" x14ac:dyDescent="0.55000000000000004">
      <c r="A425" s="9"/>
      <c r="B425" s="10"/>
      <c r="C425" s="10"/>
      <c r="D425" s="10"/>
      <c r="E425" s="10"/>
      <c r="F425" s="10"/>
      <c r="G425" s="10"/>
      <c r="H425" s="10"/>
      <c r="O425" s="27"/>
      <c r="P425" s="27"/>
      <c r="Q425" s="27"/>
      <c r="R425" s="27"/>
    </row>
    <row r="426" spans="1:18" s="11" customFormat="1" x14ac:dyDescent="0.55000000000000004">
      <c r="A426" s="9"/>
      <c r="B426" s="10"/>
      <c r="C426" s="10"/>
      <c r="D426" s="10"/>
      <c r="E426" s="10"/>
      <c r="F426" s="10"/>
      <c r="G426" s="10"/>
      <c r="H426" s="10"/>
      <c r="O426" s="27"/>
      <c r="P426" s="27"/>
      <c r="Q426" s="27"/>
      <c r="R426" s="27"/>
    </row>
    <row r="427" spans="1:18" s="11" customFormat="1" x14ac:dyDescent="0.55000000000000004">
      <c r="A427" s="9"/>
      <c r="B427" s="10"/>
      <c r="C427" s="10"/>
      <c r="D427" s="10"/>
      <c r="E427" s="10"/>
      <c r="F427" s="10"/>
      <c r="G427" s="10"/>
      <c r="H427" s="10"/>
      <c r="O427" s="27"/>
      <c r="P427" s="27"/>
      <c r="Q427" s="27"/>
      <c r="R427" s="27"/>
    </row>
    <row r="428" spans="1:18" s="11" customFormat="1" x14ac:dyDescent="0.55000000000000004">
      <c r="A428" s="9"/>
      <c r="B428" s="10"/>
      <c r="C428" s="10"/>
      <c r="D428" s="10"/>
      <c r="E428" s="10"/>
      <c r="F428" s="10"/>
      <c r="G428" s="10"/>
      <c r="H428" s="10"/>
      <c r="O428" s="27"/>
      <c r="P428" s="27"/>
      <c r="Q428" s="27"/>
      <c r="R428" s="27"/>
    </row>
    <row r="429" spans="1:18" s="11" customFormat="1" x14ac:dyDescent="0.55000000000000004">
      <c r="A429" s="9"/>
      <c r="B429" s="10"/>
      <c r="C429" s="10"/>
      <c r="D429" s="10"/>
      <c r="E429" s="10"/>
      <c r="F429" s="10"/>
      <c r="G429" s="10"/>
      <c r="H429" s="10"/>
      <c r="O429" s="27"/>
      <c r="P429" s="27"/>
      <c r="Q429" s="27"/>
      <c r="R429" s="27"/>
    </row>
    <row r="430" spans="1:18" s="11" customFormat="1" x14ac:dyDescent="0.55000000000000004">
      <c r="A430" s="9"/>
      <c r="B430" s="10"/>
      <c r="C430" s="10"/>
      <c r="D430" s="10"/>
      <c r="E430" s="10"/>
      <c r="F430" s="10"/>
      <c r="G430" s="10"/>
      <c r="H430" s="10"/>
      <c r="O430" s="27"/>
      <c r="P430" s="27"/>
      <c r="Q430" s="27"/>
      <c r="R430" s="27"/>
    </row>
    <row r="431" spans="1:18" s="11" customFormat="1" x14ac:dyDescent="0.55000000000000004">
      <c r="A431" s="9"/>
      <c r="B431" s="10"/>
      <c r="C431" s="10"/>
      <c r="D431" s="10"/>
      <c r="E431" s="10"/>
      <c r="F431" s="10"/>
      <c r="G431" s="10"/>
      <c r="H431" s="10"/>
      <c r="O431" s="27"/>
      <c r="P431" s="27"/>
      <c r="Q431" s="27"/>
      <c r="R431" s="27"/>
    </row>
    <row r="432" spans="1:18" s="11" customFormat="1" x14ac:dyDescent="0.55000000000000004">
      <c r="A432" s="9"/>
      <c r="B432" s="10"/>
      <c r="C432" s="10"/>
      <c r="D432" s="10"/>
      <c r="E432" s="10"/>
      <c r="F432" s="10"/>
      <c r="G432" s="10"/>
      <c r="H432" s="10"/>
      <c r="O432" s="27"/>
      <c r="P432" s="27"/>
      <c r="Q432" s="27"/>
      <c r="R432" s="27"/>
    </row>
    <row r="433" spans="1:18" s="11" customFormat="1" x14ac:dyDescent="0.55000000000000004">
      <c r="A433" s="9"/>
      <c r="B433" s="10"/>
      <c r="C433" s="10"/>
      <c r="D433" s="10"/>
      <c r="E433" s="10"/>
      <c r="F433" s="10"/>
      <c r="G433" s="10"/>
      <c r="H433" s="10"/>
      <c r="O433" s="27"/>
      <c r="P433" s="27"/>
      <c r="Q433" s="27"/>
      <c r="R433" s="27"/>
    </row>
    <row r="434" spans="1:18" s="11" customFormat="1" x14ac:dyDescent="0.55000000000000004">
      <c r="A434" s="9"/>
      <c r="B434" s="10"/>
      <c r="C434" s="10"/>
      <c r="D434" s="10"/>
      <c r="E434" s="10"/>
      <c r="F434" s="10"/>
      <c r="G434" s="10"/>
      <c r="H434" s="10"/>
      <c r="O434" s="27"/>
      <c r="P434" s="27"/>
      <c r="Q434" s="27"/>
      <c r="R434" s="27"/>
    </row>
    <row r="435" spans="1:18" s="11" customFormat="1" x14ac:dyDescent="0.55000000000000004">
      <c r="A435" s="9"/>
      <c r="B435" s="10"/>
      <c r="C435" s="10"/>
      <c r="D435" s="10"/>
      <c r="E435" s="10"/>
      <c r="F435" s="10"/>
      <c r="G435" s="10"/>
      <c r="H435" s="10"/>
      <c r="O435" s="27"/>
      <c r="P435" s="27"/>
      <c r="Q435" s="27"/>
      <c r="R435" s="27"/>
    </row>
    <row r="436" spans="1:18" s="11" customFormat="1" x14ac:dyDescent="0.55000000000000004">
      <c r="A436" s="9"/>
      <c r="B436" s="10"/>
      <c r="C436" s="10"/>
      <c r="D436" s="10"/>
      <c r="E436" s="10"/>
      <c r="F436" s="10"/>
      <c r="G436" s="10"/>
      <c r="H436" s="10"/>
      <c r="O436" s="27"/>
      <c r="P436" s="27"/>
      <c r="Q436" s="27"/>
      <c r="R436" s="27"/>
    </row>
    <row r="437" spans="1:18" s="11" customFormat="1" x14ac:dyDescent="0.55000000000000004">
      <c r="A437" s="9"/>
      <c r="B437" s="10"/>
      <c r="C437" s="10"/>
      <c r="D437" s="10"/>
      <c r="E437" s="10"/>
      <c r="F437" s="10"/>
      <c r="G437" s="10"/>
      <c r="H437" s="10"/>
      <c r="O437" s="27"/>
      <c r="P437" s="27"/>
      <c r="Q437" s="27"/>
      <c r="R437" s="27"/>
    </row>
    <row r="438" spans="1:18" s="11" customFormat="1" x14ac:dyDescent="0.55000000000000004">
      <c r="A438" s="9"/>
      <c r="B438" s="10"/>
      <c r="C438" s="10"/>
      <c r="D438" s="10"/>
      <c r="E438" s="10"/>
      <c r="F438" s="10"/>
      <c r="G438" s="10"/>
      <c r="H438" s="10"/>
      <c r="O438" s="27"/>
      <c r="P438" s="27"/>
      <c r="Q438" s="27"/>
      <c r="R438" s="27"/>
    </row>
    <row r="439" spans="1:18" s="11" customFormat="1" x14ac:dyDescent="0.55000000000000004">
      <c r="A439" s="9"/>
      <c r="B439" s="10"/>
      <c r="C439" s="10"/>
      <c r="D439" s="10"/>
      <c r="E439" s="10"/>
      <c r="F439" s="10"/>
      <c r="G439" s="10"/>
      <c r="H439" s="10"/>
      <c r="O439" s="27"/>
      <c r="P439" s="27"/>
      <c r="Q439" s="27"/>
      <c r="R439" s="27"/>
    </row>
    <row r="440" spans="1:18" s="11" customFormat="1" x14ac:dyDescent="0.55000000000000004">
      <c r="A440" s="9"/>
      <c r="B440" s="10"/>
      <c r="C440" s="10"/>
      <c r="D440" s="10"/>
      <c r="E440" s="10"/>
      <c r="F440" s="10"/>
      <c r="G440" s="10"/>
      <c r="H440" s="10"/>
      <c r="O440" s="27"/>
      <c r="P440" s="27"/>
      <c r="Q440" s="27"/>
      <c r="R440" s="27"/>
    </row>
    <row r="441" spans="1:18" s="11" customFormat="1" x14ac:dyDescent="0.55000000000000004">
      <c r="A441" s="9"/>
      <c r="B441" s="10"/>
      <c r="C441" s="10"/>
      <c r="D441" s="10"/>
      <c r="E441" s="10"/>
      <c r="F441" s="10"/>
      <c r="G441" s="10"/>
      <c r="H441" s="10"/>
      <c r="O441" s="27"/>
      <c r="P441" s="27"/>
      <c r="Q441" s="27"/>
      <c r="R441" s="27"/>
    </row>
    <row r="442" spans="1:18" s="11" customFormat="1" x14ac:dyDescent="0.55000000000000004">
      <c r="A442" s="9"/>
      <c r="B442" s="10"/>
      <c r="C442" s="10"/>
      <c r="D442" s="10"/>
      <c r="E442" s="10"/>
      <c r="F442" s="10"/>
      <c r="G442" s="10"/>
      <c r="H442" s="10"/>
      <c r="O442" s="27"/>
      <c r="P442" s="27"/>
      <c r="Q442" s="27"/>
      <c r="R442" s="27"/>
    </row>
    <row r="443" spans="1:18" s="11" customFormat="1" x14ac:dyDescent="0.55000000000000004">
      <c r="A443" s="9"/>
      <c r="B443" s="10"/>
      <c r="C443" s="10"/>
      <c r="D443" s="10"/>
      <c r="E443" s="10"/>
      <c r="F443" s="10"/>
      <c r="G443" s="10"/>
      <c r="H443" s="10"/>
      <c r="O443" s="27"/>
      <c r="P443" s="27"/>
      <c r="Q443" s="27"/>
      <c r="R443" s="27"/>
    </row>
    <row r="444" spans="1:18" s="11" customFormat="1" x14ac:dyDescent="0.55000000000000004">
      <c r="A444" s="9"/>
      <c r="B444" s="10"/>
      <c r="C444" s="10"/>
      <c r="D444" s="10"/>
      <c r="E444" s="10"/>
      <c r="F444" s="10"/>
      <c r="G444" s="10"/>
      <c r="H444" s="10"/>
      <c r="O444" s="27"/>
      <c r="P444" s="27"/>
      <c r="Q444" s="27"/>
      <c r="R444" s="27"/>
    </row>
    <row r="445" spans="1:18" s="11" customFormat="1" x14ac:dyDescent="0.55000000000000004">
      <c r="A445" s="9"/>
      <c r="B445" s="10"/>
      <c r="C445" s="10"/>
      <c r="D445" s="10"/>
      <c r="E445" s="10"/>
      <c r="F445" s="10"/>
      <c r="G445" s="10"/>
      <c r="H445" s="10"/>
      <c r="O445" s="27"/>
      <c r="P445" s="27"/>
      <c r="Q445" s="27"/>
      <c r="R445" s="27"/>
    </row>
    <row r="446" spans="1:18" s="11" customFormat="1" x14ac:dyDescent="0.55000000000000004">
      <c r="A446" s="9"/>
      <c r="B446" s="10"/>
      <c r="C446" s="10"/>
      <c r="D446" s="10"/>
      <c r="E446" s="10"/>
      <c r="F446" s="10"/>
      <c r="G446" s="10"/>
      <c r="H446" s="10"/>
      <c r="O446" s="27"/>
      <c r="P446" s="27"/>
      <c r="Q446" s="27"/>
      <c r="R446" s="27"/>
    </row>
    <row r="447" spans="1:18" s="11" customFormat="1" x14ac:dyDescent="0.55000000000000004">
      <c r="A447" s="9"/>
      <c r="B447" s="10"/>
      <c r="C447" s="10"/>
      <c r="D447" s="10"/>
      <c r="E447" s="10"/>
      <c r="F447" s="10"/>
      <c r="G447" s="10"/>
      <c r="H447" s="10"/>
      <c r="O447" s="27"/>
      <c r="P447" s="27"/>
      <c r="Q447" s="27"/>
      <c r="R447" s="27"/>
    </row>
    <row r="448" spans="1:18" s="11" customFormat="1" x14ac:dyDescent="0.55000000000000004">
      <c r="A448" s="9"/>
      <c r="B448" s="10"/>
      <c r="C448" s="10"/>
      <c r="D448" s="10"/>
      <c r="E448" s="10"/>
      <c r="F448" s="10"/>
      <c r="G448" s="10"/>
      <c r="H448" s="10"/>
      <c r="O448" s="27"/>
      <c r="P448" s="27"/>
      <c r="Q448" s="27"/>
      <c r="R448" s="27"/>
    </row>
    <row r="449" spans="1:18" s="11" customFormat="1" x14ac:dyDescent="0.55000000000000004">
      <c r="A449" s="9"/>
      <c r="B449" s="10"/>
      <c r="C449" s="10"/>
      <c r="D449" s="10"/>
      <c r="E449" s="10"/>
      <c r="F449" s="10"/>
      <c r="G449" s="10"/>
      <c r="H449" s="10"/>
      <c r="O449" s="27"/>
      <c r="P449" s="27"/>
      <c r="Q449" s="27"/>
      <c r="R449" s="27"/>
    </row>
    <row r="450" spans="1:18" s="11" customFormat="1" x14ac:dyDescent="0.55000000000000004">
      <c r="A450" s="9"/>
      <c r="B450" s="10"/>
      <c r="C450" s="10"/>
      <c r="D450" s="10"/>
      <c r="E450" s="10"/>
      <c r="F450" s="10"/>
      <c r="G450" s="10"/>
      <c r="H450" s="10"/>
      <c r="O450" s="27"/>
      <c r="P450" s="27"/>
      <c r="Q450" s="27"/>
      <c r="R450" s="27"/>
    </row>
    <row r="451" spans="1:18" s="11" customFormat="1" x14ac:dyDescent="0.55000000000000004">
      <c r="A451" s="9"/>
      <c r="B451" s="10"/>
      <c r="C451" s="10"/>
      <c r="D451" s="10"/>
      <c r="E451" s="10"/>
      <c r="F451" s="10"/>
      <c r="G451" s="10"/>
      <c r="H451" s="10"/>
      <c r="O451" s="27"/>
      <c r="P451" s="27"/>
      <c r="Q451" s="27"/>
      <c r="R451" s="27"/>
    </row>
    <row r="452" spans="1:18" s="11" customFormat="1" x14ac:dyDescent="0.55000000000000004">
      <c r="A452" s="9"/>
      <c r="B452" s="10"/>
      <c r="C452" s="10"/>
      <c r="D452" s="10"/>
      <c r="E452" s="10"/>
      <c r="F452" s="10"/>
      <c r="G452" s="10"/>
      <c r="H452" s="10"/>
      <c r="O452" s="27"/>
      <c r="P452" s="27"/>
      <c r="Q452" s="27"/>
      <c r="R452" s="27"/>
    </row>
    <row r="453" spans="1:18" s="11" customFormat="1" x14ac:dyDescent="0.55000000000000004">
      <c r="A453" s="9"/>
      <c r="B453" s="10"/>
      <c r="C453" s="10"/>
      <c r="D453" s="10"/>
      <c r="E453" s="10"/>
      <c r="F453" s="10"/>
      <c r="G453" s="10"/>
      <c r="H453" s="10"/>
      <c r="O453" s="27"/>
      <c r="P453" s="27"/>
      <c r="Q453" s="27"/>
      <c r="R453" s="27"/>
    </row>
    <row r="454" spans="1:18" s="11" customFormat="1" x14ac:dyDescent="0.55000000000000004">
      <c r="A454" s="9"/>
      <c r="B454" s="10"/>
      <c r="C454" s="10"/>
      <c r="D454" s="10"/>
      <c r="E454" s="10"/>
      <c r="F454" s="10"/>
      <c r="G454" s="10"/>
      <c r="H454" s="10"/>
      <c r="O454" s="27"/>
      <c r="P454" s="27"/>
      <c r="Q454" s="27"/>
      <c r="R454" s="27"/>
    </row>
    <row r="455" spans="1:18" s="11" customFormat="1" x14ac:dyDescent="0.55000000000000004">
      <c r="A455" s="9"/>
      <c r="B455" s="10"/>
      <c r="C455" s="10"/>
      <c r="D455" s="10"/>
      <c r="E455" s="10"/>
      <c r="F455" s="10"/>
      <c r="G455" s="10"/>
      <c r="H455" s="10"/>
      <c r="O455" s="27"/>
      <c r="P455" s="27"/>
      <c r="Q455" s="27"/>
      <c r="R455" s="27"/>
    </row>
    <row r="456" spans="1:18" s="11" customFormat="1" x14ac:dyDescent="0.55000000000000004">
      <c r="A456" s="9"/>
      <c r="B456" s="10"/>
      <c r="C456" s="10"/>
      <c r="D456" s="10"/>
      <c r="E456" s="10"/>
      <c r="F456" s="10"/>
      <c r="G456" s="10"/>
      <c r="H456" s="10"/>
      <c r="O456" s="27"/>
      <c r="P456" s="27"/>
      <c r="Q456" s="27"/>
      <c r="R456" s="27"/>
    </row>
    <row r="457" spans="1:18" s="11" customFormat="1" x14ac:dyDescent="0.55000000000000004">
      <c r="A457" s="9"/>
      <c r="B457" s="10"/>
      <c r="C457" s="10"/>
      <c r="D457" s="10"/>
      <c r="E457" s="10"/>
      <c r="F457" s="10"/>
      <c r="G457" s="10"/>
      <c r="H457" s="10"/>
      <c r="O457" s="27"/>
      <c r="P457" s="27"/>
      <c r="Q457" s="27"/>
      <c r="R457" s="27"/>
    </row>
    <row r="458" spans="1:18" s="11" customFormat="1" x14ac:dyDescent="0.55000000000000004">
      <c r="A458" s="9"/>
      <c r="B458" s="10"/>
      <c r="C458" s="10"/>
      <c r="D458" s="10"/>
      <c r="E458" s="10"/>
      <c r="F458" s="10"/>
      <c r="G458" s="10"/>
      <c r="H458" s="10"/>
      <c r="O458" s="27"/>
      <c r="P458" s="27"/>
      <c r="Q458" s="27"/>
      <c r="R458" s="27"/>
    </row>
    <row r="459" spans="1:18" s="11" customFormat="1" x14ac:dyDescent="0.55000000000000004">
      <c r="A459" s="9"/>
      <c r="B459" s="10"/>
      <c r="C459" s="10"/>
      <c r="D459" s="10"/>
      <c r="E459" s="10"/>
      <c r="F459" s="10"/>
      <c r="G459" s="10"/>
      <c r="H459" s="10"/>
      <c r="O459" s="27"/>
      <c r="P459" s="27"/>
      <c r="Q459" s="27"/>
      <c r="R459" s="27"/>
    </row>
    <row r="460" spans="1:18" s="11" customFormat="1" x14ac:dyDescent="0.55000000000000004">
      <c r="A460" s="9"/>
      <c r="B460" s="10"/>
      <c r="C460" s="10"/>
      <c r="D460" s="10"/>
      <c r="E460" s="10"/>
      <c r="F460" s="10"/>
      <c r="G460" s="10"/>
      <c r="H460" s="10"/>
      <c r="O460" s="27"/>
      <c r="P460" s="27"/>
      <c r="Q460" s="27"/>
      <c r="R460" s="27"/>
    </row>
    <row r="461" spans="1:18" s="11" customFormat="1" x14ac:dyDescent="0.55000000000000004">
      <c r="A461" s="9"/>
      <c r="B461" s="10"/>
      <c r="C461" s="10"/>
      <c r="D461" s="10"/>
      <c r="E461" s="10"/>
      <c r="F461" s="10"/>
      <c r="G461" s="10"/>
      <c r="H461" s="10"/>
      <c r="O461" s="27"/>
      <c r="P461" s="27"/>
      <c r="Q461" s="27"/>
      <c r="R461" s="27"/>
    </row>
    <row r="462" spans="1:18" s="11" customFormat="1" x14ac:dyDescent="0.55000000000000004">
      <c r="A462" s="9"/>
      <c r="B462" s="10"/>
      <c r="C462" s="10"/>
      <c r="D462" s="10"/>
      <c r="E462" s="10"/>
      <c r="F462" s="10"/>
      <c r="G462" s="10"/>
      <c r="H462" s="10"/>
      <c r="O462" s="27"/>
      <c r="P462" s="27"/>
      <c r="Q462" s="27"/>
      <c r="R462" s="27"/>
    </row>
    <row r="463" spans="1:18" s="11" customFormat="1" x14ac:dyDescent="0.55000000000000004">
      <c r="A463" s="9"/>
      <c r="B463" s="10"/>
      <c r="C463" s="10"/>
      <c r="D463" s="10"/>
      <c r="E463" s="10"/>
      <c r="F463" s="10"/>
      <c r="G463" s="10"/>
      <c r="H463" s="10"/>
      <c r="O463" s="27"/>
      <c r="P463" s="27"/>
      <c r="Q463" s="27"/>
      <c r="R463" s="27"/>
    </row>
    <row r="464" spans="1:18" s="11" customFormat="1" x14ac:dyDescent="0.55000000000000004">
      <c r="A464" s="9"/>
      <c r="B464" s="10"/>
      <c r="C464" s="10"/>
      <c r="D464" s="10"/>
      <c r="E464" s="10"/>
      <c r="F464" s="10"/>
      <c r="G464" s="10"/>
      <c r="H464" s="10"/>
      <c r="O464" s="27"/>
      <c r="P464" s="27"/>
      <c r="Q464" s="27"/>
      <c r="R464" s="27"/>
    </row>
    <row r="465" spans="1:18" s="11" customFormat="1" x14ac:dyDescent="0.55000000000000004">
      <c r="A465" s="9"/>
      <c r="B465" s="10"/>
      <c r="C465" s="10"/>
      <c r="D465" s="10"/>
      <c r="E465" s="10"/>
      <c r="F465" s="10"/>
      <c r="G465" s="10"/>
      <c r="H465" s="10"/>
      <c r="O465" s="27"/>
      <c r="P465" s="27"/>
      <c r="Q465" s="27"/>
      <c r="R465" s="27"/>
    </row>
    <row r="466" spans="1:18" s="11" customFormat="1" x14ac:dyDescent="0.55000000000000004">
      <c r="A466" s="9"/>
      <c r="B466" s="10"/>
      <c r="C466" s="10"/>
      <c r="D466" s="10"/>
      <c r="E466" s="10"/>
      <c r="F466" s="10"/>
      <c r="G466" s="10"/>
      <c r="H466" s="10"/>
      <c r="O466" s="27"/>
      <c r="P466" s="27"/>
      <c r="Q466" s="27"/>
      <c r="R466" s="27"/>
    </row>
    <row r="467" spans="1:18" s="11" customFormat="1" x14ac:dyDescent="0.55000000000000004">
      <c r="A467" s="9"/>
      <c r="B467" s="10"/>
      <c r="C467" s="10"/>
      <c r="D467" s="10"/>
      <c r="E467" s="10"/>
      <c r="F467" s="10"/>
      <c r="G467" s="10"/>
      <c r="H467" s="10"/>
      <c r="O467" s="27"/>
      <c r="P467" s="27"/>
      <c r="Q467" s="27"/>
      <c r="R467" s="27"/>
    </row>
    <row r="468" spans="1:18" s="11" customFormat="1" x14ac:dyDescent="0.55000000000000004">
      <c r="A468" s="9"/>
      <c r="B468" s="10"/>
      <c r="C468" s="10"/>
      <c r="D468" s="10"/>
      <c r="E468" s="10"/>
      <c r="F468" s="10"/>
      <c r="G468" s="10"/>
      <c r="H468" s="10"/>
      <c r="O468" s="27"/>
      <c r="P468" s="27"/>
      <c r="Q468" s="27"/>
      <c r="R468" s="27"/>
    </row>
    <row r="469" spans="1:18" s="11" customFormat="1" x14ac:dyDescent="0.55000000000000004">
      <c r="A469" s="9"/>
      <c r="B469" s="10"/>
      <c r="C469" s="10"/>
      <c r="D469" s="10"/>
      <c r="E469" s="10"/>
      <c r="F469" s="10"/>
      <c r="G469" s="10"/>
      <c r="H469" s="10"/>
      <c r="O469" s="27"/>
      <c r="P469" s="27"/>
      <c r="Q469" s="27"/>
      <c r="R469" s="27"/>
    </row>
    <row r="470" spans="1:18" s="11" customFormat="1" x14ac:dyDescent="0.55000000000000004">
      <c r="A470" s="9"/>
      <c r="B470" s="10"/>
      <c r="C470" s="10"/>
      <c r="D470" s="10"/>
      <c r="E470" s="10"/>
      <c r="F470" s="10"/>
      <c r="G470" s="10"/>
      <c r="H470" s="10"/>
      <c r="O470" s="27"/>
      <c r="P470" s="27"/>
      <c r="Q470" s="27"/>
      <c r="R470" s="27"/>
    </row>
    <row r="471" spans="1:18" s="11" customFormat="1" x14ac:dyDescent="0.55000000000000004">
      <c r="A471" s="9"/>
      <c r="B471" s="10"/>
      <c r="C471" s="10"/>
      <c r="D471" s="10"/>
      <c r="E471" s="10"/>
      <c r="F471" s="10"/>
      <c r="G471" s="10"/>
      <c r="H471" s="10"/>
      <c r="O471" s="27"/>
      <c r="P471" s="27"/>
      <c r="Q471" s="27"/>
      <c r="R471" s="27"/>
    </row>
    <row r="472" spans="1:18" s="11" customFormat="1" x14ac:dyDescent="0.55000000000000004">
      <c r="A472" s="9"/>
      <c r="B472" s="10"/>
      <c r="C472" s="10"/>
      <c r="D472" s="10"/>
      <c r="E472" s="10"/>
      <c r="F472" s="10"/>
      <c r="G472" s="10"/>
      <c r="H472" s="10"/>
      <c r="O472" s="27"/>
      <c r="P472" s="27"/>
      <c r="Q472" s="27"/>
      <c r="R472" s="27"/>
    </row>
    <row r="473" spans="1:18" s="11" customFormat="1" x14ac:dyDescent="0.55000000000000004">
      <c r="A473" s="9"/>
      <c r="B473" s="10"/>
      <c r="C473" s="10"/>
      <c r="D473" s="10"/>
      <c r="E473" s="10"/>
      <c r="F473" s="10"/>
      <c r="G473" s="10"/>
      <c r="H473" s="10"/>
      <c r="O473" s="27"/>
      <c r="P473" s="27"/>
      <c r="Q473" s="27"/>
      <c r="R473" s="27"/>
    </row>
    <row r="474" spans="1:18" s="11" customFormat="1" x14ac:dyDescent="0.55000000000000004">
      <c r="A474" s="9"/>
      <c r="B474" s="10"/>
      <c r="C474" s="10"/>
      <c r="D474" s="10"/>
      <c r="E474" s="10"/>
      <c r="F474" s="10"/>
      <c r="G474" s="10"/>
      <c r="H474" s="10"/>
      <c r="O474" s="27"/>
      <c r="P474" s="27"/>
      <c r="Q474" s="27"/>
      <c r="R474" s="27"/>
    </row>
    <row r="475" spans="1:18" s="11" customFormat="1" x14ac:dyDescent="0.55000000000000004">
      <c r="A475" s="9"/>
      <c r="B475" s="10"/>
      <c r="C475" s="10"/>
      <c r="D475" s="10"/>
      <c r="E475" s="10"/>
      <c r="F475" s="10"/>
      <c r="G475" s="10"/>
      <c r="H475" s="10"/>
      <c r="O475" s="27"/>
      <c r="P475" s="27"/>
      <c r="Q475" s="27"/>
      <c r="R475" s="27"/>
    </row>
    <row r="476" spans="1:18" s="11" customFormat="1" x14ac:dyDescent="0.55000000000000004">
      <c r="A476" s="9"/>
      <c r="B476" s="10"/>
      <c r="C476" s="10"/>
      <c r="D476" s="10"/>
      <c r="E476" s="10"/>
      <c r="F476" s="10"/>
      <c r="G476" s="10"/>
      <c r="H476" s="10"/>
      <c r="O476" s="27"/>
      <c r="P476" s="27"/>
      <c r="Q476" s="27"/>
      <c r="R476" s="27"/>
    </row>
    <row r="477" spans="1:18" s="11" customFormat="1" x14ac:dyDescent="0.55000000000000004">
      <c r="A477" s="9"/>
      <c r="B477" s="10"/>
      <c r="C477" s="10"/>
      <c r="D477" s="10"/>
      <c r="E477" s="10"/>
      <c r="F477" s="10"/>
      <c r="G477" s="10"/>
      <c r="H477" s="10"/>
      <c r="O477" s="27"/>
      <c r="P477" s="27"/>
      <c r="Q477" s="27"/>
      <c r="R477" s="27"/>
    </row>
    <row r="478" spans="1:18" s="11" customFormat="1" x14ac:dyDescent="0.55000000000000004">
      <c r="A478" s="9"/>
      <c r="B478" s="10"/>
      <c r="C478" s="10"/>
      <c r="D478" s="10"/>
      <c r="E478" s="10"/>
      <c r="F478" s="10"/>
      <c r="G478" s="10"/>
      <c r="H478" s="10"/>
      <c r="O478" s="27"/>
      <c r="P478" s="27"/>
      <c r="Q478" s="27"/>
      <c r="R478" s="27"/>
    </row>
    <row r="479" spans="1:18" s="11" customFormat="1" x14ac:dyDescent="0.55000000000000004">
      <c r="A479" s="9"/>
      <c r="B479" s="10"/>
      <c r="C479" s="10"/>
      <c r="D479" s="10"/>
      <c r="E479" s="10"/>
      <c r="F479" s="10"/>
      <c r="G479" s="10"/>
      <c r="H479" s="10"/>
      <c r="O479" s="27"/>
      <c r="P479" s="27"/>
      <c r="Q479" s="27"/>
      <c r="R479" s="27"/>
    </row>
    <row r="480" spans="1:18" s="11" customFormat="1" x14ac:dyDescent="0.55000000000000004">
      <c r="A480" s="9"/>
      <c r="B480" s="10"/>
      <c r="C480" s="10"/>
      <c r="D480" s="10"/>
      <c r="E480" s="10"/>
      <c r="F480" s="10"/>
      <c r="G480" s="10"/>
      <c r="H480" s="10"/>
      <c r="O480" s="27"/>
      <c r="P480" s="27"/>
      <c r="Q480" s="27"/>
      <c r="R480" s="27"/>
    </row>
    <row r="481" spans="1:18" s="11" customFormat="1" x14ac:dyDescent="0.55000000000000004">
      <c r="A481" s="9"/>
      <c r="B481" s="10"/>
      <c r="C481" s="10"/>
      <c r="D481" s="10"/>
      <c r="E481" s="10"/>
      <c r="F481" s="10"/>
      <c r="G481" s="10"/>
      <c r="H481" s="10"/>
      <c r="O481" s="27"/>
      <c r="P481" s="27"/>
      <c r="Q481" s="27"/>
      <c r="R481" s="27"/>
    </row>
    <row r="482" spans="1:18" s="11" customFormat="1" x14ac:dyDescent="0.55000000000000004">
      <c r="A482" s="9"/>
      <c r="B482" s="10"/>
      <c r="C482" s="10"/>
      <c r="D482" s="10"/>
      <c r="E482" s="10"/>
      <c r="F482" s="10"/>
      <c r="G482" s="10"/>
      <c r="H482" s="10"/>
      <c r="O482" s="27"/>
      <c r="P482" s="27"/>
      <c r="Q482" s="27"/>
      <c r="R482" s="27"/>
    </row>
    <row r="483" spans="1:18" s="11" customFormat="1" x14ac:dyDescent="0.55000000000000004">
      <c r="A483" s="9"/>
      <c r="B483" s="10"/>
      <c r="C483" s="10"/>
      <c r="D483" s="10"/>
      <c r="E483" s="10"/>
      <c r="F483" s="10"/>
      <c r="G483" s="10"/>
      <c r="H483" s="10"/>
      <c r="O483" s="27"/>
      <c r="P483" s="27"/>
      <c r="Q483" s="27"/>
      <c r="R483" s="27"/>
    </row>
    <row r="484" spans="1:18" s="11" customFormat="1" x14ac:dyDescent="0.55000000000000004">
      <c r="A484" s="9"/>
      <c r="B484" s="10"/>
      <c r="C484" s="10"/>
      <c r="D484" s="10"/>
      <c r="E484" s="10"/>
      <c r="F484" s="10"/>
      <c r="G484" s="10"/>
      <c r="H484" s="10"/>
      <c r="O484" s="27"/>
      <c r="P484" s="27"/>
      <c r="Q484" s="27"/>
      <c r="R484" s="27"/>
    </row>
    <row r="485" spans="1:18" s="11" customFormat="1" x14ac:dyDescent="0.55000000000000004">
      <c r="A485" s="9"/>
      <c r="B485" s="10"/>
      <c r="C485" s="10"/>
      <c r="D485" s="10"/>
      <c r="E485" s="10"/>
      <c r="F485" s="10"/>
      <c r="G485" s="10"/>
      <c r="H485" s="10"/>
      <c r="O485" s="27"/>
      <c r="P485" s="27"/>
      <c r="Q485" s="27"/>
      <c r="R485" s="27"/>
    </row>
    <row r="486" spans="1:18" s="11" customFormat="1" x14ac:dyDescent="0.55000000000000004">
      <c r="A486" s="9"/>
      <c r="B486" s="10"/>
      <c r="C486" s="10"/>
      <c r="D486" s="10"/>
      <c r="E486" s="10"/>
      <c r="F486" s="10"/>
      <c r="G486" s="10"/>
      <c r="H486" s="10"/>
      <c r="O486" s="27"/>
      <c r="P486" s="27"/>
      <c r="Q486" s="27"/>
      <c r="R486" s="27"/>
    </row>
    <row r="487" spans="1:18" s="11" customFormat="1" x14ac:dyDescent="0.55000000000000004">
      <c r="A487" s="9"/>
      <c r="B487" s="10"/>
      <c r="C487" s="10"/>
      <c r="D487" s="10"/>
      <c r="E487" s="10"/>
      <c r="F487" s="10"/>
      <c r="G487" s="10"/>
      <c r="H487" s="10"/>
      <c r="O487" s="27"/>
      <c r="P487" s="27"/>
      <c r="Q487" s="27"/>
      <c r="R487" s="27"/>
    </row>
    <row r="488" spans="1:18" s="11" customFormat="1" x14ac:dyDescent="0.55000000000000004">
      <c r="A488" s="9"/>
      <c r="B488" s="10"/>
      <c r="C488" s="10"/>
      <c r="D488" s="10"/>
      <c r="E488" s="10"/>
      <c r="F488" s="10"/>
      <c r="G488" s="10"/>
      <c r="H488" s="10"/>
      <c r="O488" s="27"/>
      <c r="P488" s="27"/>
      <c r="Q488" s="27"/>
      <c r="R488" s="27"/>
    </row>
    <row r="489" spans="1:18" s="11" customFormat="1" x14ac:dyDescent="0.55000000000000004">
      <c r="A489" s="9"/>
      <c r="B489" s="10"/>
      <c r="C489" s="10"/>
      <c r="D489" s="10"/>
      <c r="E489" s="10"/>
      <c r="F489" s="10"/>
      <c r="G489" s="10"/>
      <c r="H489" s="10"/>
      <c r="O489" s="27"/>
      <c r="P489" s="27"/>
      <c r="Q489" s="27"/>
      <c r="R489" s="27"/>
    </row>
    <row r="490" spans="1:18" s="11" customFormat="1" x14ac:dyDescent="0.55000000000000004">
      <c r="A490" s="9"/>
      <c r="B490" s="10"/>
      <c r="C490" s="10"/>
      <c r="D490" s="10"/>
      <c r="E490" s="10"/>
      <c r="F490" s="10"/>
      <c r="G490" s="10"/>
      <c r="H490" s="10"/>
      <c r="O490" s="27"/>
      <c r="P490" s="27"/>
      <c r="Q490" s="27"/>
      <c r="R490" s="27"/>
    </row>
    <row r="491" spans="1:18" s="11" customFormat="1" x14ac:dyDescent="0.55000000000000004">
      <c r="A491" s="9"/>
      <c r="B491" s="10"/>
      <c r="C491" s="10"/>
      <c r="D491" s="10"/>
      <c r="E491" s="10"/>
      <c r="F491" s="10"/>
      <c r="G491" s="10"/>
      <c r="H491" s="10"/>
      <c r="O491" s="27"/>
      <c r="P491" s="27"/>
      <c r="Q491" s="27"/>
      <c r="R491" s="27"/>
    </row>
    <row r="492" spans="1:18" s="11" customFormat="1" x14ac:dyDescent="0.55000000000000004">
      <c r="A492" s="9"/>
      <c r="B492" s="10"/>
      <c r="C492" s="10"/>
      <c r="D492" s="10"/>
      <c r="E492" s="10"/>
      <c r="F492" s="10"/>
      <c r="G492" s="10"/>
      <c r="H492" s="10"/>
      <c r="O492" s="27"/>
      <c r="P492" s="27"/>
      <c r="Q492" s="27"/>
      <c r="R492" s="27"/>
    </row>
    <row r="493" spans="1:18" s="11" customFormat="1" x14ac:dyDescent="0.55000000000000004">
      <c r="A493" s="9"/>
      <c r="B493" s="10"/>
      <c r="C493" s="10"/>
      <c r="D493" s="10"/>
      <c r="E493" s="10"/>
      <c r="F493" s="10"/>
      <c r="G493" s="10"/>
      <c r="H493" s="10"/>
      <c r="O493" s="27"/>
      <c r="P493" s="27"/>
      <c r="Q493" s="27"/>
      <c r="R493" s="27"/>
    </row>
    <row r="494" spans="1:18" s="11" customFormat="1" x14ac:dyDescent="0.55000000000000004">
      <c r="A494" s="9"/>
      <c r="B494" s="10"/>
      <c r="C494" s="10"/>
      <c r="D494" s="10"/>
      <c r="E494" s="10"/>
      <c r="F494" s="10"/>
      <c r="G494" s="10"/>
      <c r="H494" s="10"/>
      <c r="O494" s="27"/>
      <c r="P494" s="27"/>
      <c r="Q494" s="27"/>
      <c r="R494" s="27"/>
    </row>
    <row r="495" spans="1:18" s="11" customFormat="1" x14ac:dyDescent="0.55000000000000004">
      <c r="A495" s="9"/>
      <c r="B495" s="10"/>
      <c r="C495" s="10"/>
      <c r="D495" s="10"/>
      <c r="E495" s="10"/>
      <c r="F495" s="10"/>
      <c r="G495" s="10"/>
      <c r="H495" s="10"/>
      <c r="O495" s="27"/>
      <c r="P495" s="27"/>
      <c r="Q495" s="27"/>
      <c r="R495" s="27"/>
    </row>
    <row r="496" spans="1:18" s="11" customFormat="1" x14ac:dyDescent="0.55000000000000004">
      <c r="A496" s="9"/>
      <c r="B496" s="10"/>
      <c r="C496" s="10"/>
      <c r="D496" s="10"/>
      <c r="E496" s="10"/>
      <c r="F496" s="10"/>
      <c r="G496" s="10"/>
      <c r="H496" s="10"/>
      <c r="O496" s="27"/>
      <c r="P496" s="27"/>
      <c r="Q496" s="27"/>
      <c r="R496" s="27"/>
    </row>
    <row r="497" spans="1:18" s="11" customFormat="1" x14ac:dyDescent="0.55000000000000004">
      <c r="A497" s="9"/>
      <c r="B497" s="10"/>
      <c r="C497" s="10"/>
      <c r="D497" s="10"/>
      <c r="E497" s="10"/>
      <c r="F497" s="10"/>
      <c r="G497" s="10"/>
      <c r="H497" s="10"/>
      <c r="O497" s="27"/>
      <c r="P497" s="27"/>
      <c r="Q497" s="27"/>
      <c r="R497" s="27"/>
    </row>
    <row r="498" spans="1:18" s="11" customFormat="1" x14ac:dyDescent="0.55000000000000004">
      <c r="A498" s="9"/>
      <c r="B498" s="10"/>
      <c r="C498" s="10"/>
      <c r="D498" s="10"/>
      <c r="E498" s="10"/>
      <c r="F498" s="10"/>
      <c r="G498" s="10"/>
      <c r="H498" s="10"/>
      <c r="O498" s="27"/>
      <c r="P498" s="27"/>
      <c r="Q498" s="27"/>
      <c r="R498" s="27"/>
    </row>
    <row r="499" spans="1:18" s="11" customFormat="1" x14ac:dyDescent="0.55000000000000004">
      <c r="A499" s="9"/>
      <c r="B499" s="10"/>
      <c r="C499" s="10"/>
      <c r="D499" s="10"/>
      <c r="E499" s="10"/>
      <c r="F499" s="10"/>
      <c r="G499" s="10"/>
      <c r="H499" s="10"/>
      <c r="O499" s="27"/>
      <c r="P499" s="27"/>
      <c r="Q499" s="27"/>
      <c r="R499" s="27"/>
    </row>
    <row r="500" spans="1:18" s="11" customFormat="1" x14ac:dyDescent="0.55000000000000004">
      <c r="A500" s="9"/>
      <c r="B500" s="10"/>
      <c r="C500" s="10"/>
      <c r="D500" s="10"/>
      <c r="E500" s="10"/>
      <c r="F500" s="10"/>
      <c r="G500" s="10"/>
      <c r="H500" s="10"/>
      <c r="O500" s="27"/>
      <c r="P500" s="27"/>
      <c r="Q500" s="27"/>
      <c r="R500" s="27"/>
    </row>
    <row r="501" spans="1:18" s="11" customFormat="1" x14ac:dyDescent="0.55000000000000004">
      <c r="A501" s="9"/>
      <c r="B501" s="10"/>
      <c r="C501" s="10"/>
      <c r="D501" s="10"/>
      <c r="E501" s="10"/>
      <c r="F501" s="10"/>
      <c r="G501" s="10"/>
      <c r="H501" s="10"/>
      <c r="O501" s="27"/>
      <c r="P501" s="27"/>
      <c r="Q501" s="27"/>
      <c r="R501" s="27"/>
    </row>
    <row r="502" spans="1:18" s="11" customFormat="1" x14ac:dyDescent="0.55000000000000004">
      <c r="A502" s="9"/>
      <c r="B502" s="10"/>
      <c r="C502" s="10"/>
      <c r="D502" s="10"/>
      <c r="E502" s="10"/>
      <c r="F502" s="10"/>
      <c r="G502" s="10"/>
      <c r="H502" s="10"/>
      <c r="O502" s="27"/>
      <c r="P502" s="27"/>
      <c r="Q502" s="27"/>
      <c r="R502" s="27"/>
    </row>
    <row r="503" spans="1:18" s="11" customFormat="1" x14ac:dyDescent="0.55000000000000004">
      <c r="A503" s="9"/>
      <c r="B503" s="10"/>
      <c r="C503" s="10"/>
      <c r="D503" s="10"/>
      <c r="E503" s="10"/>
      <c r="F503" s="10"/>
      <c r="G503" s="10"/>
      <c r="H503" s="10"/>
      <c r="O503" s="27"/>
      <c r="P503" s="27"/>
      <c r="Q503" s="27"/>
      <c r="R503" s="27"/>
    </row>
    <row r="504" spans="1:18" s="11" customFormat="1" x14ac:dyDescent="0.55000000000000004">
      <c r="A504" s="9"/>
      <c r="B504" s="10"/>
      <c r="C504" s="10"/>
      <c r="D504" s="10"/>
      <c r="E504" s="10"/>
      <c r="F504" s="10"/>
      <c r="G504" s="10"/>
      <c r="H504" s="10"/>
      <c r="O504" s="27"/>
      <c r="P504" s="27"/>
      <c r="Q504" s="27"/>
      <c r="R504" s="27"/>
    </row>
    <row r="505" spans="1:18" s="11" customFormat="1" x14ac:dyDescent="0.55000000000000004">
      <c r="A505" s="9"/>
      <c r="B505" s="10"/>
      <c r="C505" s="10"/>
      <c r="D505" s="10"/>
      <c r="E505" s="10"/>
      <c r="F505" s="10"/>
      <c r="G505" s="10"/>
      <c r="H505" s="10"/>
      <c r="O505" s="27"/>
      <c r="P505" s="27"/>
      <c r="Q505" s="27"/>
      <c r="R505" s="27"/>
    </row>
    <row r="506" spans="1:18" s="11" customFormat="1" x14ac:dyDescent="0.55000000000000004">
      <c r="A506" s="9"/>
      <c r="B506" s="10"/>
      <c r="C506" s="10"/>
      <c r="D506" s="10"/>
      <c r="E506" s="10"/>
      <c r="F506" s="10"/>
      <c r="G506" s="10"/>
      <c r="H506" s="10"/>
      <c r="O506" s="27"/>
      <c r="P506" s="27"/>
      <c r="Q506" s="27"/>
      <c r="R506" s="27"/>
    </row>
    <row r="507" spans="1:18" s="11" customFormat="1" x14ac:dyDescent="0.55000000000000004">
      <c r="A507" s="9"/>
      <c r="B507" s="10"/>
      <c r="C507" s="10"/>
      <c r="D507" s="10"/>
      <c r="E507" s="10"/>
      <c r="F507" s="10"/>
      <c r="G507" s="10"/>
      <c r="H507" s="10"/>
      <c r="O507" s="27"/>
      <c r="P507" s="27"/>
      <c r="Q507" s="27"/>
      <c r="R507" s="27"/>
    </row>
    <row r="508" spans="1:18" s="11" customFormat="1" x14ac:dyDescent="0.55000000000000004">
      <c r="A508" s="9"/>
      <c r="B508" s="10"/>
      <c r="C508" s="10"/>
      <c r="D508" s="10"/>
      <c r="E508" s="10"/>
      <c r="F508" s="10"/>
      <c r="G508" s="10"/>
      <c r="H508" s="10"/>
      <c r="O508" s="27"/>
      <c r="P508" s="27"/>
      <c r="Q508" s="27"/>
      <c r="R508" s="27"/>
    </row>
    <row r="509" spans="1:18" s="11" customFormat="1" x14ac:dyDescent="0.55000000000000004">
      <c r="A509" s="9"/>
      <c r="B509" s="10"/>
      <c r="C509" s="10"/>
      <c r="D509" s="10"/>
      <c r="E509" s="10"/>
      <c r="F509" s="10"/>
      <c r="G509" s="10"/>
      <c r="H509" s="10"/>
      <c r="O509" s="27"/>
      <c r="P509" s="27"/>
      <c r="Q509" s="27"/>
      <c r="R509" s="27"/>
    </row>
    <row r="510" spans="1:18" s="11" customFormat="1" x14ac:dyDescent="0.55000000000000004">
      <c r="A510" s="9"/>
      <c r="B510" s="10"/>
      <c r="C510" s="10"/>
      <c r="D510" s="10"/>
      <c r="E510" s="10"/>
      <c r="F510" s="10"/>
      <c r="G510" s="10"/>
      <c r="H510" s="10"/>
      <c r="O510" s="27"/>
      <c r="P510" s="27"/>
      <c r="Q510" s="27"/>
      <c r="R510" s="27"/>
    </row>
    <row r="511" spans="1:18" s="11" customFormat="1" x14ac:dyDescent="0.55000000000000004">
      <c r="A511" s="9"/>
      <c r="B511" s="10"/>
      <c r="C511" s="10"/>
      <c r="D511" s="10"/>
      <c r="E511" s="10"/>
      <c r="F511" s="10"/>
      <c r="G511" s="10"/>
      <c r="H511" s="10"/>
      <c r="O511" s="27"/>
      <c r="P511" s="27"/>
      <c r="Q511" s="27"/>
      <c r="R511" s="27"/>
    </row>
    <row r="512" spans="1:18" s="11" customFormat="1" x14ac:dyDescent="0.55000000000000004">
      <c r="A512" s="9"/>
      <c r="B512" s="10"/>
      <c r="C512" s="10"/>
      <c r="D512" s="10"/>
      <c r="E512" s="10"/>
      <c r="F512" s="10"/>
      <c r="G512" s="10"/>
      <c r="H512" s="10"/>
      <c r="O512" s="27"/>
      <c r="P512" s="27"/>
      <c r="Q512" s="27"/>
      <c r="R512" s="27"/>
    </row>
    <row r="513" spans="1:18" s="11" customFormat="1" x14ac:dyDescent="0.55000000000000004">
      <c r="A513" s="9"/>
      <c r="B513" s="10"/>
      <c r="C513" s="10"/>
      <c r="D513" s="10"/>
      <c r="E513" s="10"/>
      <c r="F513" s="10"/>
      <c r="G513" s="10"/>
      <c r="H513" s="10"/>
      <c r="O513" s="27"/>
      <c r="P513" s="27"/>
      <c r="Q513" s="27"/>
      <c r="R513" s="27"/>
    </row>
    <row r="514" spans="1:18" s="11" customFormat="1" x14ac:dyDescent="0.55000000000000004">
      <c r="A514" s="9"/>
      <c r="B514" s="10"/>
      <c r="C514" s="10"/>
      <c r="D514" s="10"/>
      <c r="E514" s="10"/>
      <c r="F514" s="10"/>
      <c r="G514" s="10"/>
      <c r="H514" s="10"/>
      <c r="O514" s="27"/>
      <c r="P514" s="27"/>
      <c r="Q514" s="27"/>
      <c r="R514" s="27"/>
    </row>
    <row r="515" spans="1:18" s="11" customFormat="1" x14ac:dyDescent="0.55000000000000004">
      <c r="A515" s="9"/>
      <c r="B515" s="10"/>
      <c r="C515" s="10"/>
      <c r="D515" s="10"/>
      <c r="E515" s="10"/>
      <c r="F515" s="10"/>
      <c r="G515" s="10"/>
      <c r="H515" s="10"/>
      <c r="O515" s="27"/>
      <c r="P515" s="27"/>
      <c r="Q515" s="27"/>
      <c r="R515" s="27"/>
    </row>
    <row r="516" spans="1:18" s="11" customFormat="1" x14ac:dyDescent="0.55000000000000004">
      <c r="A516" s="9"/>
      <c r="B516" s="10"/>
      <c r="C516" s="10"/>
      <c r="D516" s="10"/>
      <c r="E516" s="10"/>
      <c r="F516" s="10"/>
      <c r="G516" s="10"/>
      <c r="H516" s="10"/>
      <c r="O516" s="27"/>
      <c r="P516" s="27"/>
      <c r="Q516" s="27"/>
      <c r="R516" s="27"/>
    </row>
    <row r="517" spans="1:18" s="11" customFormat="1" x14ac:dyDescent="0.55000000000000004">
      <c r="A517" s="9"/>
      <c r="B517" s="10"/>
      <c r="C517" s="10"/>
      <c r="D517" s="10"/>
      <c r="E517" s="10"/>
      <c r="F517" s="10"/>
      <c r="G517" s="10"/>
      <c r="H517" s="10"/>
      <c r="O517" s="27"/>
      <c r="P517" s="27"/>
      <c r="Q517" s="27"/>
      <c r="R517" s="27"/>
    </row>
    <row r="518" spans="1:18" s="11" customFormat="1" x14ac:dyDescent="0.55000000000000004">
      <c r="A518" s="9"/>
      <c r="B518" s="10"/>
      <c r="C518" s="10"/>
      <c r="D518" s="10"/>
      <c r="E518" s="10"/>
      <c r="F518" s="10"/>
      <c r="G518" s="10"/>
      <c r="H518" s="10"/>
      <c r="O518" s="27"/>
      <c r="P518" s="27"/>
      <c r="Q518" s="27"/>
      <c r="R518" s="27"/>
    </row>
    <row r="519" spans="1:18" s="11" customFormat="1" x14ac:dyDescent="0.55000000000000004">
      <c r="A519" s="9"/>
      <c r="B519" s="10"/>
      <c r="C519" s="10"/>
      <c r="D519" s="10"/>
      <c r="E519" s="10"/>
      <c r="F519" s="10"/>
      <c r="G519" s="10"/>
      <c r="H519" s="10"/>
      <c r="O519" s="27"/>
      <c r="P519" s="27"/>
      <c r="Q519" s="27"/>
      <c r="R519" s="27"/>
    </row>
    <row r="520" spans="1:18" s="11" customFormat="1" x14ac:dyDescent="0.55000000000000004">
      <c r="A520" s="9"/>
      <c r="B520" s="10"/>
      <c r="C520" s="10"/>
      <c r="D520" s="10"/>
      <c r="E520" s="10"/>
      <c r="F520" s="10"/>
      <c r="G520" s="10"/>
      <c r="H520" s="10"/>
      <c r="O520" s="27"/>
      <c r="P520" s="27"/>
      <c r="Q520" s="27"/>
      <c r="R520" s="27"/>
    </row>
    <row r="521" spans="1:18" s="11" customFormat="1" x14ac:dyDescent="0.55000000000000004">
      <c r="A521" s="9"/>
      <c r="B521" s="10"/>
      <c r="C521" s="10"/>
      <c r="D521" s="10"/>
      <c r="E521" s="10"/>
      <c r="F521" s="10"/>
      <c r="G521" s="10"/>
      <c r="H521" s="10"/>
      <c r="O521" s="27"/>
      <c r="P521" s="27"/>
      <c r="Q521" s="27"/>
      <c r="R521" s="27"/>
    </row>
    <row r="522" spans="1:18" s="11" customFormat="1" x14ac:dyDescent="0.55000000000000004">
      <c r="A522" s="9"/>
      <c r="B522" s="10"/>
      <c r="C522" s="10"/>
      <c r="D522" s="10"/>
      <c r="E522" s="10"/>
      <c r="F522" s="10"/>
      <c r="G522" s="10"/>
      <c r="H522" s="10"/>
      <c r="O522" s="27"/>
      <c r="P522" s="27"/>
      <c r="Q522" s="27"/>
      <c r="R522" s="27"/>
    </row>
    <row r="523" spans="1:18" s="11" customFormat="1" x14ac:dyDescent="0.55000000000000004">
      <c r="A523" s="9"/>
      <c r="B523" s="10"/>
      <c r="C523" s="10"/>
      <c r="D523" s="10"/>
      <c r="E523" s="10"/>
      <c r="F523" s="10"/>
      <c r="G523" s="10"/>
      <c r="H523" s="10"/>
      <c r="O523" s="27"/>
      <c r="P523" s="27"/>
      <c r="Q523" s="27"/>
      <c r="R523" s="27"/>
    </row>
    <row r="524" spans="1:18" s="11" customFormat="1" x14ac:dyDescent="0.55000000000000004">
      <c r="A524" s="9"/>
      <c r="B524" s="10"/>
      <c r="C524" s="10"/>
      <c r="D524" s="10"/>
      <c r="E524" s="10"/>
      <c r="F524" s="10"/>
      <c r="G524" s="10"/>
      <c r="H524" s="10"/>
      <c r="O524" s="27"/>
      <c r="P524" s="27"/>
      <c r="Q524" s="27"/>
      <c r="R524" s="27"/>
    </row>
    <row r="525" spans="1:18" s="11" customFormat="1" x14ac:dyDescent="0.55000000000000004">
      <c r="A525" s="9"/>
      <c r="B525" s="10"/>
      <c r="C525" s="10"/>
      <c r="D525" s="10"/>
      <c r="E525" s="10"/>
      <c r="F525" s="10"/>
      <c r="G525" s="10"/>
      <c r="H525" s="10"/>
      <c r="O525" s="27"/>
      <c r="P525" s="27"/>
      <c r="Q525" s="27"/>
      <c r="R525" s="27"/>
    </row>
    <row r="526" spans="1:18" s="11" customFormat="1" x14ac:dyDescent="0.55000000000000004">
      <c r="A526" s="9"/>
      <c r="B526" s="10"/>
      <c r="C526" s="10"/>
      <c r="D526" s="10"/>
      <c r="E526" s="10"/>
      <c r="F526" s="10"/>
      <c r="G526" s="10"/>
      <c r="H526" s="10"/>
      <c r="O526" s="27"/>
      <c r="P526" s="27"/>
      <c r="Q526" s="27"/>
      <c r="R526" s="27"/>
    </row>
    <row r="527" spans="1:18" s="11" customFormat="1" x14ac:dyDescent="0.55000000000000004">
      <c r="A527" s="9"/>
      <c r="B527" s="10"/>
      <c r="C527" s="10"/>
      <c r="D527" s="10"/>
      <c r="E527" s="10"/>
      <c r="F527" s="10"/>
      <c r="G527" s="10"/>
      <c r="H527" s="10"/>
      <c r="O527" s="27"/>
      <c r="P527" s="27"/>
      <c r="Q527" s="27"/>
      <c r="R527" s="27"/>
    </row>
    <row r="528" spans="1:18" s="11" customFormat="1" x14ac:dyDescent="0.55000000000000004">
      <c r="A528" s="9"/>
      <c r="B528" s="10"/>
      <c r="C528" s="10"/>
      <c r="D528" s="10"/>
      <c r="E528" s="10"/>
      <c r="F528" s="10"/>
      <c r="G528" s="10"/>
      <c r="H528" s="10"/>
      <c r="O528" s="27"/>
      <c r="P528" s="27"/>
      <c r="Q528" s="27"/>
      <c r="R528" s="27"/>
    </row>
    <row r="529" spans="1:18" s="11" customFormat="1" x14ac:dyDescent="0.55000000000000004">
      <c r="A529" s="9"/>
      <c r="B529" s="10"/>
      <c r="C529" s="10"/>
      <c r="D529" s="10"/>
      <c r="E529" s="10"/>
      <c r="F529" s="10"/>
      <c r="G529" s="10"/>
      <c r="H529" s="10"/>
      <c r="O529" s="27"/>
      <c r="P529" s="27"/>
      <c r="Q529" s="27"/>
      <c r="R529" s="27"/>
    </row>
    <row r="530" spans="1:18" s="11" customFormat="1" x14ac:dyDescent="0.55000000000000004">
      <c r="A530" s="9"/>
      <c r="B530" s="10"/>
      <c r="C530" s="10"/>
      <c r="D530" s="10"/>
      <c r="E530" s="10"/>
      <c r="F530" s="10"/>
      <c r="G530" s="10"/>
      <c r="H530" s="10"/>
      <c r="O530" s="27"/>
      <c r="P530" s="27"/>
      <c r="Q530" s="27"/>
      <c r="R530" s="27"/>
    </row>
    <row r="531" spans="1:18" s="11" customFormat="1" x14ac:dyDescent="0.55000000000000004">
      <c r="A531" s="9"/>
      <c r="B531" s="10"/>
      <c r="C531" s="10"/>
      <c r="D531" s="10"/>
      <c r="E531" s="10"/>
      <c r="F531" s="10"/>
      <c r="G531" s="10"/>
      <c r="H531" s="10"/>
      <c r="O531" s="27"/>
      <c r="P531" s="27"/>
      <c r="Q531" s="27"/>
      <c r="R531" s="27"/>
    </row>
    <row r="532" spans="1:18" s="11" customFormat="1" x14ac:dyDescent="0.55000000000000004">
      <c r="A532" s="9"/>
      <c r="B532" s="10"/>
      <c r="C532" s="10"/>
      <c r="D532" s="10"/>
      <c r="E532" s="10"/>
      <c r="F532" s="10"/>
      <c r="G532" s="10"/>
      <c r="H532" s="10"/>
      <c r="O532" s="27"/>
      <c r="P532" s="27"/>
      <c r="Q532" s="27"/>
      <c r="R532" s="27"/>
    </row>
    <row r="533" spans="1:18" s="11" customFormat="1" x14ac:dyDescent="0.55000000000000004">
      <c r="A533" s="9"/>
      <c r="B533" s="10"/>
      <c r="C533" s="10"/>
      <c r="D533" s="10"/>
      <c r="E533" s="10"/>
      <c r="F533" s="10"/>
      <c r="G533" s="10"/>
      <c r="H533" s="10"/>
      <c r="O533" s="27"/>
      <c r="P533" s="27"/>
      <c r="Q533" s="27"/>
      <c r="R533" s="27"/>
    </row>
    <row r="534" spans="1:18" s="11" customFormat="1" x14ac:dyDescent="0.55000000000000004">
      <c r="A534" s="9"/>
      <c r="B534" s="10"/>
      <c r="C534" s="10"/>
      <c r="D534" s="10"/>
      <c r="E534" s="10"/>
      <c r="F534" s="10"/>
      <c r="G534" s="10"/>
      <c r="H534" s="10"/>
      <c r="O534" s="27"/>
      <c r="P534" s="27"/>
      <c r="Q534" s="27"/>
      <c r="R534" s="27"/>
    </row>
    <row r="535" spans="1:18" s="11" customFormat="1" x14ac:dyDescent="0.55000000000000004">
      <c r="A535" s="9"/>
      <c r="B535" s="10"/>
      <c r="C535" s="10"/>
      <c r="D535" s="10"/>
      <c r="E535" s="10"/>
      <c r="F535" s="10"/>
      <c r="G535" s="10"/>
      <c r="H535" s="10"/>
      <c r="O535" s="27"/>
      <c r="P535" s="27"/>
      <c r="Q535" s="27"/>
      <c r="R535" s="27"/>
    </row>
    <row r="536" spans="1:18" s="11" customFormat="1" x14ac:dyDescent="0.55000000000000004">
      <c r="A536" s="9"/>
      <c r="B536" s="10"/>
      <c r="C536" s="10"/>
      <c r="D536" s="10"/>
      <c r="E536" s="10"/>
      <c r="F536" s="10"/>
      <c r="G536" s="10"/>
      <c r="H536" s="10"/>
      <c r="O536" s="27"/>
      <c r="P536" s="27"/>
      <c r="Q536" s="27"/>
      <c r="R536" s="27"/>
    </row>
    <row r="537" spans="1:18" s="11" customFormat="1" x14ac:dyDescent="0.55000000000000004">
      <c r="A537" s="9"/>
      <c r="B537" s="10"/>
      <c r="C537" s="10"/>
      <c r="D537" s="10"/>
      <c r="E537" s="10"/>
      <c r="F537" s="10"/>
      <c r="G537" s="10"/>
      <c r="H537" s="10"/>
      <c r="O537" s="27"/>
      <c r="P537" s="27"/>
      <c r="Q537" s="27"/>
      <c r="R537" s="27"/>
    </row>
    <row r="538" spans="1:18" s="11" customFormat="1" x14ac:dyDescent="0.55000000000000004">
      <c r="A538" s="9"/>
      <c r="B538" s="10"/>
      <c r="C538" s="10"/>
      <c r="D538" s="10"/>
      <c r="E538" s="10"/>
      <c r="F538" s="10"/>
      <c r="G538" s="10"/>
      <c r="H538" s="10"/>
      <c r="O538" s="27"/>
      <c r="P538" s="27"/>
      <c r="Q538" s="27"/>
      <c r="R538" s="27"/>
    </row>
    <row r="539" spans="1:18" s="11" customFormat="1" x14ac:dyDescent="0.55000000000000004">
      <c r="A539" s="9"/>
      <c r="B539" s="10"/>
      <c r="C539" s="10"/>
      <c r="D539" s="10"/>
      <c r="E539" s="10"/>
      <c r="F539" s="10"/>
      <c r="G539" s="10"/>
      <c r="H539" s="10"/>
      <c r="O539" s="27"/>
      <c r="P539" s="27"/>
      <c r="Q539" s="27"/>
      <c r="R539" s="27"/>
    </row>
    <row r="540" spans="1:18" s="11" customFormat="1" x14ac:dyDescent="0.55000000000000004">
      <c r="A540" s="9"/>
      <c r="B540" s="10"/>
      <c r="C540" s="10"/>
      <c r="D540" s="10"/>
      <c r="E540" s="10"/>
      <c r="F540" s="10"/>
      <c r="G540" s="10"/>
      <c r="H540" s="10"/>
      <c r="O540" s="27"/>
      <c r="P540" s="27"/>
      <c r="Q540" s="27"/>
      <c r="R540" s="27"/>
    </row>
    <row r="541" spans="1:18" s="11" customFormat="1" x14ac:dyDescent="0.55000000000000004">
      <c r="A541" s="9"/>
      <c r="B541" s="10"/>
      <c r="C541" s="10"/>
      <c r="D541" s="10"/>
      <c r="E541" s="10"/>
      <c r="F541" s="10"/>
      <c r="G541" s="10"/>
      <c r="H541" s="10"/>
      <c r="O541" s="27"/>
      <c r="P541" s="27"/>
      <c r="Q541" s="27"/>
      <c r="R541" s="27"/>
    </row>
    <row r="542" spans="1:18" s="11" customFormat="1" x14ac:dyDescent="0.55000000000000004">
      <c r="A542" s="9"/>
      <c r="B542" s="10"/>
      <c r="C542" s="10"/>
      <c r="D542" s="10"/>
      <c r="E542" s="10"/>
      <c r="F542" s="10"/>
      <c r="G542" s="10"/>
      <c r="H542" s="10"/>
      <c r="O542" s="27"/>
      <c r="P542" s="27"/>
      <c r="Q542" s="27"/>
      <c r="R542" s="27"/>
    </row>
    <row r="543" spans="1:18" s="11" customFormat="1" x14ac:dyDescent="0.55000000000000004">
      <c r="A543" s="9"/>
      <c r="B543" s="10"/>
      <c r="C543" s="10"/>
      <c r="D543" s="10"/>
      <c r="E543" s="10"/>
      <c r="F543" s="10"/>
      <c r="G543" s="10"/>
      <c r="H543" s="10"/>
      <c r="O543" s="27"/>
      <c r="P543" s="27"/>
      <c r="Q543" s="27"/>
      <c r="R543" s="27"/>
    </row>
    <row r="544" spans="1:18" s="11" customFormat="1" x14ac:dyDescent="0.55000000000000004">
      <c r="A544" s="9"/>
      <c r="B544" s="10"/>
      <c r="C544" s="10"/>
      <c r="D544" s="10"/>
      <c r="E544" s="10"/>
      <c r="F544" s="10"/>
      <c r="G544" s="10"/>
      <c r="H544" s="10"/>
      <c r="O544" s="27"/>
      <c r="P544" s="27"/>
      <c r="Q544" s="27"/>
      <c r="R544" s="27"/>
    </row>
    <row r="545" spans="1:18" s="11" customFormat="1" x14ac:dyDescent="0.55000000000000004">
      <c r="A545" s="9"/>
      <c r="B545" s="10"/>
      <c r="C545" s="10"/>
      <c r="D545" s="10"/>
      <c r="E545" s="10"/>
      <c r="F545" s="10"/>
      <c r="G545" s="10"/>
      <c r="H545" s="10"/>
      <c r="O545" s="27"/>
      <c r="P545" s="27"/>
      <c r="Q545" s="27"/>
      <c r="R545" s="27"/>
    </row>
    <row r="546" spans="1:18" s="11" customFormat="1" x14ac:dyDescent="0.55000000000000004">
      <c r="A546" s="9"/>
      <c r="B546" s="10"/>
      <c r="C546" s="10"/>
      <c r="D546" s="10"/>
      <c r="E546" s="10"/>
      <c r="F546" s="10"/>
      <c r="G546" s="10"/>
      <c r="H546" s="10"/>
      <c r="O546" s="27"/>
      <c r="P546" s="27"/>
      <c r="Q546" s="27"/>
      <c r="R546" s="27"/>
    </row>
    <row r="547" spans="1:18" s="11" customFormat="1" x14ac:dyDescent="0.55000000000000004">
      <c r="A547" s="9"/>
      <c r="B547" s="10"/>
      <c r="C547" s="10"/>
      <c r="D547" s="10"/>
      <c r="E547" s="10"/>
      <c r="F547" s="10"/>
      <c r="G547" s="10"/>
      <c r="H547" s="10"/>
      <c r="O547" s="27"/>
      <c r="P547" s="27"/>
      <c r="Q547" s="27"/>
      <c r="R547" s="27"/>
    </row>
    <row r="548" spans="1:18" s="11" customFormat="1" x14ac:dyDescent="0.55000000000000004">
      <c r="A548" s="9"/>
      <c r="B548" s="10"/>
      <c r="C548" s="10"/>
      <c r="D548" s="10"/>
      <c r="E548" s="10"/>
      <c r="F548" s="10"/>
      <c r="G548" s="10"/>
      <c r="H548" s="10"/>
      <c r="O548" s="27"/>
      <c r="P548" s="27"/>
      <c r="Q548" s="27"/>
      <c r="R548" s="27"/>
    </row>
    <row r="549" spans="1:18" s="11" customFormat="1" x14ac:dyDescent="0.55000000000000004">
      <c r="A549" s="9"/>
      <c r="B549" s="10"/>
      <c r="C549" s="10"/>
      <c r="D549" s="10"/>
      <c r="E549" s="10"/>
      <c r="F549" s="10"/>
      <c r="G549" s="10"/>
      <c r="H549" s="10"/>
      <c r="O549" s="27"/>
      <c r="P549" s="27"/>
      <c r="Q549" s="27"/>
      <c r="R549" s="27"/>
    </row>
    <row r="550" spans="1:18" s="11" customFormat="1" x14ac:dyDescent="0.55000000000000004">
      <c r="A550" s="9"/>
      <c r="B550" s="10"/>
      <c r="C550" s="10"/>
      <c r="D550" s="10"/>
      <c r="E550" s="10"/>
      <c r="F550" s="10"/>
      <c r="G550" s="10"/>
      <c r="H550" s="10"/>
      <c r="O550" s="27"/>
      <c r="P550" s="27"/>
      <c r="Q550" s="27"/>
      <c r="R550" s="27"/>
    </row>
    <row r="551" spans="1:18" s="11" customFormat="1" x14ac:dyDescent="0.55000000000000004">
      <c r="A551" s="9"/>
      <c r="B551" s="10"/>
      <c r="C551" s="10"/>
      <c r="D551" s="10"/>
      <c r="E551" s="10"/>
      <c r="F551" s="10"/>
      <c r="G551" s="10"/>
      <c r="H551" s="10"/>
      <c r="O551" s="27"/>
      <c r="P551" s="27"/>
      <c r="Q551" s="27"/>
      <c r="R551" s="27"/>
    </row>
    <row r="552" spans="1:18" s="11" customFormat="1" x14ac:dyDescent="0.55000000000000004">
      <c r="A552" s="9"/>
      <c r="B552" s="10"/>
      <c r="C552" s="10"/>
      <c r="D552" s="10"/>
      <c r="E552" s="10"/>
      <c r="F552" s="10"/>
      <c r="G552" s="10"/>
      <c r="H552" s="10"/>
      <c r="O552" s="27"/>
      <c r="P552" s="27"/>
      <c r="Q552" s="27"/>
      <c r="R552" s="27"/>
    </row>
    <row r="553" spans="1:18" s="11" customFormat="1" x14ac:dyDescent="0.55000000000000004">
      <c r="A553" s="9"/>
      <c r="B553" s="10"/>
      <c r="C553" s="10"/>
      <c r="D553" s="10"/>
      <c r="E553" s="10"/>
      <c r="F553" s="10"/>
      <c r="G553" s="10"/>
      <c r="H553" s="10"/>
      <c r="O553" s="27"/>
      <c r="P553" s="27"/>
      <c r="Q553" s="27"/>
      <c r="R553" s="27"/>
    </row>
    <row r="554" spans="1:18" s="11" customFormat="1" x14ac:dyDescent="0.55000000000000004">
      <c r="A554" s="9"/>
      <c r="B554" s="10"/>
      <c r="C554" s="10"/>
      <c r="D554" s="10"/>
      <c r="E554" s="10"/>
      <c r="F554" s="10"/>
      <c r="G554" s="10"/>
      <c r="H554" s="10"/>
      <c r="O554" s="27"/>
      <c r="P554" s="27"/>
      <c r="Q554" s="27"/>
      <c r="R554" s="27"/>
    </row>
    <row r="555" spans="1:18" s="11" customFormat="1" x14ac:dyDescent="0.55000000000000004">
      <c r="A555" s="9"/>
      <c r="B555" s="10"/>
      <c r="C555" s="10"/>
      <c r="D555" s="10"/>
      <c r="E555" s="10"/>
      <c r="F555" s="10"/>
      <c r="G555" s="10"/>
      <c r="H555" s="10"/>
      <c r="O555" s="27"/>
      <c r="P555" s="27"/>
      <c r="Q555" s="27"/>
      <c r="R555" s="27"/>
    </row>
    <row r="556" spans="1:18" s="11" customFormat="1" x14ac:dyDescent="0.55000000000000004">
      <c r="A556" s="9"/>
      <c r="B556" s="10"/>
      <c r="C556" s="10"/>
      <c r="D556" s="10"/>
      <c r="E556" s="10"/>
      <c r="F556" s="10"/>
      <c r="G556" s="10"/>
      <c r="H556" s="10"/>
      <c r="O556" s="27"/>
      <c r="P556" s="27"/>
      <c r="Q556" s="27"/>
      <c r="R556" s="27"/>
    </row>
    <row r="557" spans="1:18" s="11" customFormat="1" x14ac:dyDescent="0.55000000000000004">
      <c r="A557" s="9"/>
      <c r="B557" s="10"/>
      <c r="C557" s="10"/>
      <c r="D557" s="10"/>
      <c r="E557" s="10"/>
      <c r="F557" s="10"/>
      <c r="G557" s="10"/>
      <c r="H557" s="10"/>
      <c r="O557" s="27"/>
      <c r="P557" s="27"/>
      <c r="Q557" s="27"/>
      <c r="R557" s="27"/>
    </row>
    <row r="558" spans="1:18" s="11" customFormat="1" x14ac:dyDescent="0.55000000000000004">
      <c r="A558" s="9"/>
      <c r="B558" s="10"/>
      <c r="C558" s="10"/>
      <c r="D558" s="10"/>
      <c r="E558" s="10"/>
      <c r="F558" s="10"/>
      <c r="G558" s="10"/>
      <c r="H558" s="10"/>
      <c r="O558" s="27"/>
      <c r="P558" s="27"/>
      <c r="Q558" s="27"/>
      <c r="R558" s="27"/>
    </row>
    <row r="559" spans="1:18" s="11" customFormat="1" x14ac:dyDescent="0.55000000000000004">
      <c r="A559" s="9"/>
      <c r="B559" s="10"/>
      <c r="C559" s="10"/>
      <c r="D559" s="10"/>
      <c r="E559" s="10"/>
      <c r="F559" s="10"/>
      <c r="G559" s="10"/>
      <c r="H559" s="10"/>
      <c r="O559" s="27"/>
      <c r="P559" s="27"/>
      <c r="Q559" s="27"/>
      <c r="R559" s="27"/>
    </row>
    <row r="560" spans="1:18" s="11" customFormat="1" x14ac:dyDescent="0.55000000000000004">
      <c r="A560" s="9"/>
      <c r="B560" s="10"/>
      <c r="C560" s="10"/>
      <c r="D560" s="10"/>
      <c r="E560" s="10"/>
      <c r="F560" s="10"/>
      <c r="G560" s="10"/>
      <c r="H560" s="10"/>
      <c r="O560" s="27"/>
      <c r="P560" s="27"/>
      <c r="Q560" s="27"/>
      <c r="R560" s="27"/>
    </row>
    <row r="561" spans="1:18" s="11" customFormat="1" x14ac:dyDescent="0.55000000000000004">
      <c r="A561" s="9"/>
      <c r="B561" s="10"/>
      <c r="C561" s="10"/>
      <c r="D561" s="10"/>
      <c r="E561" s="10"/>
      <c r="F561" s="10"/>
      <c r="G561" s="10"/>
      <c r="H561" s="10"/>
      <c r="O561" s="27"/>
      <c r="P561" s="27"/>
      <c r="Q561" s="27"/>
      <c r="R561" s="27"/>
    </row>
    <row r="562" spans="1:18" s="11" customFormat="1" x14ac:dyDescent="0.55000000000000004">
      <c r="A562" s="9"/>
      <c r="B562" s="10"/>
      <c r="C562" s="10"/>
      <c r="D562" s="10"/>
      <c r="E562" s="10"/>
      <c r="F562" s="10"/>
      <c r="G562" s="10"/>
      <c r="H562" s="10"/>
      <c r="O562" s="27"/>
      <c r="P562" s="27"/>
      <c r="Q562" s="27"/>
      <c r="R562" s="27"/>
    </row>
    <row r="563" spans="1:18" s="11" customFormat="1" x14ac:dyDescent="0.55000000000000004">
      <c r="A563" s="9"/>
      <c r="B563" s="10"/>
      <c r="C563" s="10"/>
      <c r="D563" s="10"/>
      <c r="E563" s="10"/>
      <c r="F563" s="10"/>
      <c r="G563" s="10"/>
      <c r="H563" s="10"/>
      <c r="O563" s="27"/>
      <c r="P563" s="27"/>
      <c r="Q563" s="27"/>
      <c r="R563" s="27"/>
    </row>
    <row r="564" spans="1:18" s="11" customFormat="1" x14ac:dyDescent="0.55000000000000004">
      <c r="A564" s="9"/>
      <c r="B564" s="10"/>
      <c r="C564" s="10"/>
      <c r="D564" s="10"/>
      <c r="E564" s="10"/>
      <c r="F564" s="10"/>
      <c r="G564" s="10"/>
      <c r="H564" s="10"/>
      <c r="O564" s="27"/>
      <c r="P564" s="27"/>
      <c r="Q564" s="27"/>
      <c r="R564" s="27"/>
    </row>
    <row r="565" spans="1:18" s="11" customFormat="1" x14ac:dyDescent="0.55000000000000004">
      <c r="A565" s="9"/>
      <c r="B565" s="10"/>
      <c r="C565" s="10"/>
      <c r="D565" s="10"/>
      <c r="E565" s="10"/>
      <c r="F565" s="10"/>
      <c r="G565" s="10"/>
      <c r="H565" s="10"/>
      <c r="O565" s="27"/>
      <c r="P565" s="27"/>
      <c r="Q565" s="27"/>
      <c r="R565" s="27"/>
    </row>
    <row r="566" spans="1:18" s="11" customFormat="1" x14ac:dyDescent="0.55000000000000004">
      <c r="A566" s="9"/>
      <c r="B566" s="10"/>
      <c r="C566" s="10"/>
      <c r="D566" s="10"/>
      <c r="E566" s="10"/>
      <c r="F566" s="10"/>
      <c r="G566" s="10"/>
      <c r="H566" s="10"/>
      <c r="O566" s="27"/>
      <c r="P566" s="27"/>
      <c r="Q566" s="27"/>
      <c r="R566" s="27"/>
    </row>
    <row r="567" spans="1:18" s="11" customFormat="1" x14ac:dyDescent="0.55000000000000004">
      <c r="A567" s="9"/>
      <c r="B567" s="10"/>
      <c r="C567" s="10"/>
      <c r="D567" s="10"/>
      <c r="E567" s="10"/>
      <c r="F567" s="10"/>
      <c r="G567" s="10"/>
      <c r="H567" s="10"/>
      <c r="O567" s="27"/>
      <c r="P567" s="27"/>
      <c r="Q567" s="27"/>
      <c r="R567" s="27"/>
    </row>
    <row r="568" spans="1:18" s="11" customFormat="1" x14ac:dyDescent="0.55000000000000004">
      <c r="A568" s="9"/>
      <c r="B568" s="10"/>
      <c r="C568" s="10"/>
      <c r="D568" s="10"/>
      <c r="E568" s="10"/>
      <c r="F568" s="10"/>
      <c r="G568" s="10"/>
      <c r="H568" s="10"/>
      <c r="O568" s="27"/>
      <c r="P568" s="27"/>
      <c r="Q568" s="27"/>
      <c r="R568" s="27"/>
    </row>
    <row r="569" spans="1:18" s="11" customFormat="1" x14ac:dyDescent="0.55000000000000004">
      <c r="A569" s="9"/>
      <c r="B569" s="10"/>
      <c r="C569" s="10"/>
      <c r="D569" s="10"/>
      <c r="E569" s="10"/>
      <c r="F569" s="10"/>
      <c r="G569" s="10"/>
      <c r="H569" s="10"/>
      <c r="O569" s="27"/>
      <c r="P569" s="27"/>
      <c r="Q569" s="27"/>
      <c r="R569" s="27"/>
    </row>
    <row r="570" spans="1:18" s="11" customFormat="1" x14ac:dyDescent="0.55000000000000004">
      <c r="A570" s="9"/>
      <c r="B570" s="10"/>
      <c r="C570" s="10"/>
      <c r="D570" s="10"/>
      <c r="E570" s="10"/>
      <c r="F570" s="10"/>
      <c r="G570" s="10"/>
      <c r="H570" s="10"/>
      <c r="O570" s="27"/>
      <c r="P570" s="27"/>
      <c r="Q570" s="27"/>
      <c r="R570" s="27"/>
    </row>
    <row r="571" spans="1:18" s="11" customFormat="1" x14ac:dyDescent="0.55000000000000004">
      <c r="A571" s="9"/>
      <c r="B571" s="10"/>
      <c r="C571" s="10"/>
      <c r="D571" s="10"/>
      <c r="E571" s="10"/>
      <c r="F571" s="10"/>
      <c r="G571" s="10"/>
      <c r="H571" s="10"/>
      <c r="O571" s="27"/>
      <c r="P571" s="27"/>
      <c r="Q571" s="27"/>
      <c r="R571" s="27"/>
    </row>
    <row r="572" spans="1:18" s="11" customFormat="1" x14ac:dyDescent="0.55000000000000004">
      <c r="A572" s="9"/>
      <c r="B572" s="10"/>
      <c r="C572" s="10"/>
      <c r="D572" s="10"/>
      <c r="E572" s="10"/>
      <c r="F572" s="10"/>
      <c r="G572" s="10"/>
      <c r="H572" s="10"/>
      <c r="O572" s="27"/>
      <c r="P572" s="27"/>
      <c r="Q572" s="27"/>
      <c r="R572" s="27"/>
    </row>
    <row r="573" spans="1:18" s="11" customFormat="1" x14ac:dyDescent="0.55000000000000004">
      <c r="A573" s="9"/>
      <c r="B573" s="10"/>
      <c r="C573" s="10"/>
      <c r="D573" s="10"/>
      <c r="E573" s="10"/>
      <c r="F573" s="10"/>
      <c r="G573" s="10"/>
      <c r="H573" s="10"/>
      <c r="O573" s="27"/>
      <c r="P573" s="27"/>
      <c r="Q573" s="27"/>
      <c r="R573" s="27"/>
    </row>
    <row r="574" spans="1:18" s="11" customFormat="1" x14ac:dyDescent="0.55000000000000004">
      <c r="A574" s="9"/>
      <c r="B574" s="10"/>
      <c r="C574" s="10"/>
      <c r="D574" s="10"/>
      <c r="E574" s="10"/>
      <c r="F574" s="10"/>
      <c r="G574" s="10"/>
      <c r="H574" s="10"/>
      <c r="O574" s="27"/>
      <c r="P574" s="27"/>
      <c r="Q574" s="27"/>
      <c r="R574" s="27"/>
    </row>
    <row r="575" spans="1:18" s="11" customFormat="1" x14ac:dyDescent="0.55000000000000004">
      <c r="A575" s="9"/>
      <c r="B575" s="10"/>
      <c r="C575" s="10"/>
      <c r="D575" s="10"/>
      <c r="E575" s="10"/>
      <c r="F575" s="10"/>
      <c r="G575" s="10"/>
      <c r="H575" s="10"/>
      <c r="O575" s="27"/>
      <c r="P575" s="27"/>
      <c r="Q575" s="27"/>
      <c r="R575" s="27"/>
    </row>
    <row r="576" spans="1:18" s="11" customFormat="1" x14ac:dyDescent="0.55000000000000004">
      <c r="A576" s="9"/>
      <c r="B576" s="10"/>
      <c r="C576" s="10"/>
      <c r="D576" s="10"/>
      <c r="E576" s="10"/>
      <c r="F576" s="10"/>
      <c r="G576" s="10"/>
      <c r="H576" s="10"/>
      <c r="O576" s="27"/>
      <c r="P576" s="27"/>
      <c r="Q576" s="27"/>
      <c r="R576" s="27"/>
    </row>
    <row r="577" spans="1:18" s="11" customFormat="1" x14ac:dyDescent="0.55000000000000004">
      <c r="A577" s="9"/>
      <c r="B577" s="10"/>
      <c r="C577" s="10"/>
      <c r="D577" s="10"/>
      <c r="E577" s="10"/>
      <c r="F577" s="10"/>
      <c r="G577" s="10"/>
      <c r="H577" s="10"/>
      <c r="O577" s="27"/>
      <c r="P577" s="27"/>
      <c r="Q577" s="27"/>
      <c r="R577" s="27"/>
    </row>
    <row r="578" spans="1:18" s="11" customFormat="1" x14ac:dyDescent="0.55000000000000004">
      <c r="A578" s="9"/>
      <c r="B578" s="10"/>
      <c r="C578" s="10"/>
      <c r="D578" s="10"/>
      <c r="E578" s="10"/>
      <c r="F578" s="10"/>
      <c r="G578" s="10"/>
      <c r="H578" s="10"/>
      <c r="O578" s="27"/>
      <c r="P578" s="27"/>
      <c r="Q578" s="27"/>
      <c r="R578" s="27"/>
    </row>
    <row r="579" spans="1:18" s="11" customFormat="1" x14ac:dyDescent="0.55000000000000004">
      <c r="A579" s="9"/>
      <c r="B579" s="10"/>
      <c r="C579" s="10"/>
      <c r="D579" s="10"/>
      <c r="E579" s="10"/>
      <c r="F579" s="10"/>
      <c r="G579" s="10"/>
      <c r="H579" s="10"/>
      <c r="O579" s="27"/>
      <c r="P579" s="27"/>
      <c r="Q579" s="27"/>
      <c r="R579" s="27"/>
    </row>
    <row r="580" spans="1:18" s="11" customFormat="1" x14ac:dyDescent="0.55000000000000004">
      <c r="A580" s="9"/>
      <c r="B580" s="10"/>
      <c r="C580" s="10"/>
      <c r="D580" s="10"/>
      <c r="E580" s="10"/>
      <c r="F580" s="10"/>
      <c r="G580" s="10"/>
      <c r="H580" s="10"/>
      <c r="O580" s="27"/>
      <c r="P580" s="27"/>
      <c r="Q580" s="27"/>
      <c r="R580" s="27"/>
    </row>
    <row r="581" spans="1:18" s="11" customFormat="1" x14ac:dyDescent="0.55000000000000004">
      <c r="A581" s="9"/>
      <c r="B581" s="10"/>
      <c r="C581" s="10"/>
      <c r="D581" s="10"/>
      <c r="E581" s="10"/>
      <c r="F581" s="10"/>
      <c r="G581" s="10"/>
      <c r="H581" s="10"/>
      <c r="O581" s="27"/>
      <c r="P581" s="27"/>
      <c r="Q581" s="27"/>
      <c r="R581" s="27"/>
    </row>
    <row r="582" spans="1:18" s="11" customFormat="1" x14ac:dyDescent="0.55000000000000004">
      <c r="A582" s="9"/>
      <c r="B582" s="10"/>
      <c r="C582" s="10"/>
      <c r="D582" s="10"/>
      <c r="E582" s="10"/>
      <c r="F582" s="10"/>
      <c r="G582" s="10"/>
      <c r="H582" s="10"/>
      <c r="O582" s="27"/>
      <c r="P582" s="27"/>
      <c r="Q582" s="27"/>
      <c r="R582" s="27"/>
    </row>
    <row r="583" spans="1:18" s="11" customFormat="1" x14ac:dyDescent="0.55000000000000004">
      <c r="A583" s="9"/>
      <c r="B583" s="10"/>
      <c r="C583" s="10"/>
      <c r="D583" s="10"/>
      <c r="E583" s="10"/>
      <c r="F583" s="10"/>
      <c r="G583" s="10"/>
      <c r="H583" s="10"/>
      <c r="O583" s="27"/>
      <c r="P583" s="27"/>
      <c r="Q583" s="27"/>
      <c r="R583" s="27"/>
    </row>
    <row r="584" spans="1:18" s="11" customFormat="1" x14ac:dyDescent="0.55000000000000004">
      <c r="A584" s="9"/>
      <c r="B584" s="10"/>
      <c r="C584" s="10"/>
      <c r="D584" s="10"/>
      <c r="E584" s="10"/>
      <c r="F584" s="10"/>
      <c r="G584" s="10"/>
      <c r="H584" s="10"/>
      <c r="O584" s="27"/>
      <c r="P584" s="27"/>
      <c r="Q584" s="27"/>
      <c r="R584" s="27"/>
    </row>
    <row r="585" spans="1:18" s="11" customFormat="1" x14ac:dyDescent="0.55000000000000004">
      <c r="A585" s="9"/>
      <c r="B585" s="10"/>
      <c r="C585" s="10"/>
      <c r="D585" s="10"/>
      <c r="E585" s="10"/>
      <c r="F585" s="10"/>
      <c r="G585" s="10"/>
      <c r="H585" s="10"/>
      <c r="O585" s="27"/>
      <c r="P585" s="27"/>
      <c r="Q585" s="27"/>
      <c r="R585" s="27"/>
    </row>
    <row r="586" spans="1:18" s="11" customFormat="1" x14ac:dyDescent="0.55000000000000004">
      <c r="A586" s="9"/>
      <c r="B586" s="10"/>
      <c r="C586" s="10"/>
      <c r="D586" s="10"/>
      <c r="E586" s="10"/>
      <c r="F586" s="10"/>
      <c r="G586" s="10"/>
      <c r="H586" s="10"/>
      <c r="O586" s="27"/>
      <c r="P586" s="27"/>
      <c r="Q586" s="27"/>
      <c r="R586" s="27"/>
    </row>
    <row r="587" spans="1:18" s="11" customFormat="1" x14ac:dyDescent="0.55000000000000004">
      <c r="A587" s="9"/>
      <c r="B587" s="10"/>
      <c r="C587" s="10"/>
      <c r="D587" s="10"/>
      <c r="E587" s="10"/>
      <c r="F587" s="10"/>
      <c r="G587" s="10"/>
      <c r="H587" s="10"/>
      <c r="O587" s="27"/>
      <c r="P587" s="27"/>
      <c r="Q587" s="27"/>
      <c r="R587" s="27"/>
    </row>
    <row r="588" spans="1:18" s="11" customFormat="1" x14ac:dyDescent="0.55000000000000004">
      <c r="A588" s="9"/>
      <c r="B588" s="10"/>
      <c r="C588" s="10"/>
      <c r="D588" s="10"/>
      <c r="E588" s="10"/>
      <c r="F588" s="10"/>
      <c r="G588" s="10"/>
      <c r="H588" s="10"/>
      <c r="O588" s="27"/>
      <c r="P588" s="27"/>
      <c r="Q588" s="27"/>
      <c r="R588" s="27"/>
    </row>
    <row r="589" spans="1:18" s="11" customFormat="1" x14ac:dyDescent="0.55000000000000004">
      <c r="A589" s="9"/>
      <c r="B589" s="10"/>
      <c r="C589" s="10"/>
      <c r="D589" s="10"/>
      <c r="E589" s="10"/>
      <c r="F589" s="10"/>
      <c r="G589" s="10"/>
      <c r="H589" s="10"/>
      <c r="O589" s="27"/>
      <c r="P589" s="27"/>
      <c r="Q589" s="27"/>
      <c r="R589" s="27"/>
    </row>
    <row r="590" spans="1:18" s="11" customFormat="1" x14ac:dyDescent="0.55000000000000004">
      <c r="A590" s="9"/>
      <c r="B590" s="10"/>
      <c r="C590" s="10"/>
      <c r="D590" s="10"/>
      <c r="E590" s="10"/>
      <c r="F590" s="10"/>
      <c r="G590" s="10"/>
      <c r="H590" s="10"/>
      <c r="O590" s="27"/>
      <c r="P590" s="27"/>
      <c r="Q590" s="27"/>
      <c r="R590" s="27"/>
    </row>
    <row r="591" spans="1:18" s="11" customFormat="1" x14ac:dyDescent="0.55000000000000004">
      <c r="A591" s="9"/>
      <c r="B591" s="10"/>
      <c r="C591" s="10"/>
      <c r="D591" s="10"/>
      <c r="E591" s="10"/>
      <c r="F591" s="10"/>
      <c r="G591" s="10"/>
      <c r="H591" s="10"/>
      <c r="O591" s="27"/>
      <c r="P591" s="27"/>
      <c r="Q591" s="27"/>
      <c r="R591" s="27"/>
    </row>
    <row r="592" spans="1:18" s="11" customFormat="1" x14ac:dyDescent="0.55000000000000004">
      <c r="A592" s="9"/>
      <c r="B592" s="10"/>
      <c r="C592" s="10"/>
      <c r="D592" s="10"/>
      <c r="E592" s="10"/>
      <c r="F592" s="10"/>
      <c r="G592" s="10"/>
      <c r="H592" s="10"/>
      <c r="O592" s="27"/>
      <c r="P592" s="27"/>
      <c r="Q592" s="27"/>
      <c r="R592" s="27"/>
    </row>
    <row r="593" spans="1:18" s="11" customFormat="1" x14ac:dyDescent="0.55000000000000004">
      <c r="A593" s="9"/>
      <c r="B593" s="10"/>
      <c r="C593" s="10"/>
      <c r="D593" s="10"/>
      <c r="E593" s="10"/>
      <c r="F593" s="10"/>
      <c r="G593" s="10"/>
      <c r="H593" s="10"/>
      <c r="O593" s="27"/>
      <c r="P593" s="27"/>
      <c r="Q593" s="27"/>
      <c r="R593" s="27"/>
    </row>
    <row r="594" spans="1:18" s="11" customFormat="1" x14ac:dyDescent="0.55000000000000004">
      <c r="A594" s="9"/>
      <c r="B594" s="10"/>
      <c r="C594" s="10"/>
      <c r="D594" s="10"/>
      <c r="E594" s="10"/>
      <c r="F594" s="10"/>
      <c r="G594" s="10"/>
      <c r="H594" s="10"/>
      <c r="O594" s="27"/>
      <c r="P594" s="27"/>
      <c r="Q594" s="27"/>
      <c r="R594" s="27"/>
    </row>
    <row r="595" spans="1:18" s="11" customFormat="1" x14ac:dyDescent="0.55000000000000004">
      <c r="A595" s="9"/>
      <c r="B595" s="10"/>
      <c r="C595" s="10"/>
      <c r="D595" s="10"/>
      <c r="E595" s="10"/>
      <c r="F595" s="10"/>
      <c r="G595" s="10"/>
      <c r="H595" s="10"/>
      <c r="O595" s="27"/>
      <c r="P595" s="27"/>
      <c r="Q595" s="27"/>
      <c r="R595" s="27"/>
    </row>
    <row r="596" spans="1:18" s="11" customFormat="1" x14ac:dyDescent="0.55000000000000004">
      <c r="A596" s="9"/>
      <c r="B596" s="10"/>
      <c r="C596" s="10"/>
      <c r="D596" s="10"/>
      <c r="E596" s="10"/>
      <c r="F596" s="10"/>
      <c r="G596" s="10"/>
      <c r="H596" s="10"/>
      <c r="O596" s="27"/>
      <c r="P596" s="27"/>
      <c r="Q596" s="27"/>
      <c r="R596" s="27"/>
    </row>
    <row r="597" spans="1:18" s="11" customFormat="1" x14ac:dyDescent="0.55000000000000004">
      <c r="A597" s="9"/>
      <c r="B597" s="10"/>
      <c r="C597" s="10"/>
      <c r="D597" s="10"/>
      <c r="E597" s="10"/>
      <c r="F597" s="10"/>
      <c r="G597" s="10"/>
      <c r="H597" s="10"/>
      <c r="O597" s="27"/>
      <c r="P597" s="27"/>
      <c r="Q597" s="27"/>
      <c r="R597" s="27"/>
    </row>
    <row r="598" spans="1:18" s="11" customFormat="1" x14ac:dyDescent="0.55000000000000004">
      <c r="A598" s="9"/>
      <c r="B598" s="10"/>
      <c r="C598" s="10"/>
      <c r="D598" s="10"/>
      <c r="E598" s="10"/>
      <c r="F598" s="10"/>
      <c r="G598" s="10"/>
      <c r="H598" s="10"/>
      <c r="O598" s="27"/>
      <c r="P598" s="27"/>
      <c r="Q598" s="27"/>
      <c r="R598" s="27"/>
    </row>
    <row r="599" spans="1:18" s="11" customFormat="1" x14ac:dyDescent="0.55000000000000004">
      <c r="A599" s="9"/>
      <c r="B599" s="10"/>
      <c r="C599" s="10"/>
      <c r="D599" s="10"/>
      <c r="E599" s="10"/>
      <c r="F599" s="10"/>
      <c r="G599" s="10"/>
      <c r="H599" s="10"/>
      <c r="O599" s="27"/>
      <c r="P599" s="27"/>
      <c r="Q599" s="27"/>
      <c r="R599" s="27"/>
    </row>
    <row r="600" spans="1:18" s="11" customFormat="1" x14ac:dyDescent="0.55000000000000004">
      <c r="A600" s="9"/>
      <c r="B600" s="10"/>
      <c r="C600" s="10"/>
      <c r="D600" s="10"/>
      <c r="E600" s="10"/>
      <c r="F600" s="10"/>
      <c r="G600" s="10"/>
      <c r="H600" s="10"/>
      <c r="O600" s="27"/>
      <c r="P600" s="27"/>
      <c r="Q600" s="27"/>
      <c r="R600" s="27"/>
    </row>
    <row r="601" spans="1:18" s="11" customFormat="1" x14ac:dyDescent="0.55000000000000004">
      <c r="A601" s="9"/>
      <c r="B601" s="10"/>
      <c r="C601" s="10"/>
      <c r="D601" s="10"/>
      <c r="E601" s="10"/>
      <c r="F601" s="10"/>
      <c r="G601" s="10"/>
      <c r="H601" s="10"/>
      <c r="O601" s="27"/>
      <c r="P601" s="27"/>
      <c r="Q601" s="27"/>
      <c r="R601" s="27"/>
    </row>
    <row r="602" spans="1:18" s="11" customFormat="1" x14ac:dyDescent="0.55000000000000004">
      <c r="A602" s="9"/>
      <c r="B602" s="10"/>
      <c r="C602" s="10"/>
      <c r="D602" s="10"/>
      <c r="E602" s="10"/>
      <c r="F602" s="10"/>
      <c r="G602" s="10"/>
      <c r="H602" s="10"/>
      <c r="O602" s="27"/>
      <c r="P602" s="27"/>
      <c r="Q602" s="27"/>
      <c r="R602" s="27"/>
    </row>
    <row r="603" spans="1:18" s="11" customFormat="1" x14ac:dyDescent="0.55000000000000004">
      <c r="A603" s="9"/>
      <c r="B603" s="10"/>
      <c r="C603" s="10"/>
      <c r="D603" s="10"/>
      <c r="E603" s="10"/>
      <c r="F603" s="10"/>
      <c r="G603" s="10"/>
      <c r="H603" s="10"/>
      <c r="O603" s="27"/>
      <c r="P603" s="27"/>
      <c r="Q603" s="27"/>
      <c r="R603" s="27"/>
    </row>
    <row r="604" spans="1:18" s="11" customFormat="1" x14ac:dyDescent="0.55000000000000004">
      <c r="A604" s="9"/>
      <c r="B604" s="10"/>
      <c r="C604" s="10"/>
      <c r="D604" s="10"/>
      <c r="E604" s="10"/>
      <c r="F604" s="10"/>
      <c r="G604" s="10"/>
      <c r="H604" s="10"/>
      <c r="O604" s="27"/>
      <c r="P604" s="27"/>
      <c r="Q604" s="27"/>
      <c r="R604" s="27"/>
    </row>
    <row r="605" spans="1:18" s="11" customFormat="1" x14ac:dyDescent="0.55000000000000004">
      <c r="A605" s="9"/>
      <c r="B605" s="10"/>
      <c r="C605" s="10"/>
      <c r="D605" s="10"/>
      <c r="E605" s="10"/>
      <c r="F605" s="10"/>
      <c r="G605" s="10"/>
      <c r="H605" s="10"/>
      <c r="O605" s="27"/>
      <c r="P605" s="27"/>
      <c r="Q605" s="27"/>
      <c r="R605" s="27"/>
    </row>
    <row r="606" spans="1:18" s="11" customFormat="1" x14ac:dyDescent="0.55000000000000004">
      <c r="A606" s="9"/>
      <c r="B606" s="10"/>
      <c r="C606" s="10"/>
      <c r="D606" s="10"/>
      <c r="E606" s="10"/>
      <c r="F606" s="10"/>
      <c r="G606" s="10"/>
      <c r="H606" s="10"/>
      <c r="O606" s="27"/>
      <c r="P606" s="27"/>
      <c r="Q606" s="27"/>
      <c r="R606" s="27"/>
    </row>
    <row r="607" spans="1:18" s="11" customFormat="1" x14ac:dyDescent="0.55000000000000004">
      <c r="A607" s="9"/>
      <c r="B607" s="10"/>
      <c r="C607" s="10"/>
      <c r="D607" s="10"/>
      <c r="E607" s="10"/>
      <c r="F607" s="10"/>
      <c r="G607" s="10"/>
      <c r="H607" s="10"/>
      <c r="O607" s="27"/>
      <c r="P607" s="27"/>
      <c r="Q607" s="27"/>
      <c r="R607" s="27"/>
    </row>
    <row r="608" spans="1:18" s="11" customFormat="1" x14ac:dyDescent="0.55000000000000004">
      <c r="A608" s="9"/>
      <c r="B608" s="10"/>
      <c r="C608" s="10"/>
      <c r="D608" s="10"/>
      <c r="E608" s="10"/>
      <c r="F608" s="10"/>
      <c r="G608" s="10"/>
      <c r="H608" s="10"/>
      <c r="O608" s="27"/>
      <c r="P608" s="27"/>
      <c r="Q608" s="27"/>
      <c r="R608" s="27"/>
    </row>
    <row r="609" spans="1:18" s="11" customFormat="1" x14ac:dyDescent="0.55000000000000004">
      <c r="A609" s="9"/>
      <c r="B609" s="10"/>
      <c r="C609" s="10"/>
      <c r="D609" s="10"/>
      <c r="E609" s="10"/>
      <c r="F609" s="10"/>
      <c r="G609" s="10"/>
      <c r="H609" s="10"/>
      <c r="O609" s="27"/>
      <c r="P609" s="27"/>
      <c r="Q609" s="27"/>
      <c r="R609" s="27"/>
    </row>
    <row r="610" spans="1:18" s="11" customFormat="1" x14ac:dyDescent="0.55000000000000004">
      <c r="A610" s="9"/>
      <c r="B610" s="10"/>
      <c r="C610" s="10"/>
      <c r="D610" s="10"/>
      <c r="E610" s="10"/>
      <c r="F610" s="10"/>
      <c r="G610" s="10"/>
      <c r="H610" s="10"/>
      <c r="O610" s="27"/>
      <c r="P610" s="27"/>
      <c r="Q610" s="27"/>
      <c r="R610" s="27"/>
    </row>
    <row r="611" spans="1:18" s="11" customFormat="1" x14ac:dyDescent="0.55000000000000004">
      <c r="A611" s="9"/>
      <c r="B611" s="10"/>
      <c r="C611" s="10"/>
      <c r="D611" s="10"/>
      <c r="E611" s="10"/>
      <c r="F611" s="10"/>
      <c r="G611" s="10"/>
      <c r="H611" s="10"/>
      <c r="O611" s="27"/>
      <c r="P611" s="27"/>
      <c r="Q611" s="27"/>
      <c r="R611" s="27"/>
    </row>
    <row r="612" spans="1:18" s="11" customFormat="1" x14ac:dyDescent="0.55000000000000004">
      <c r="A612" s="9"/>
      <c r="B612" s="10"/>
      <c r="C612" s="10"/>
      <c r="D612" s="10"/>
      <c r="E612" s="10"/>
      <c r="F612" s="10"/>
      <c r="G612" s="10"/>
      <c r="H612" s="10"/>
      <c r="O612" s="27"/>
      <c r="P612" s="27"/>
      <c r="Q612" s="27"/>
      <c r="R612" s="27"/>
    </row>
    <row r="613" spans="1:18" s="11" customFormat="1" x14ac:dyDescent="0.55000000000000004">
      <c r="A613" s="9"/>
      <c r="B613" s="10"/>
      <c r="C613" s="10"/>
      <c r="D613" s="10"/>
      <c r="E613" s="10"/>
      <c r="F613" s="10"/>
      <c r="G613" s="10"/>
      <c r="H613" s="10"/>
      <c r="O613" s="27"/>
      <c r="P613" s="27"/>
      <c r="Q613" s="27"/>
      <c r="R613" s="27"/>
    </row>
    <row r="614" spans="1:18" s="11" customFormat="1" x14ac:dyDescent="0.55000000000000004">
      <c r="A614" s="9"/>
      <c r="B614" s="10"/>
      <c r="C614" s="10"/>
      <c r="D614" s="10"/>
      <c r="E614" s="10"/>
      <c r="F614" s="10"/>
      <c r="G614" s="10"/>
      <c r="H614" s="10"/>
      <c r="O614" s="27"/>
      <c r="P614" s="27"/>
      <c r="Q614" s="27"/>
      <c r="R614" s="27"/>
    </row>
    <row r="615" spans="1:18" s="11" customFormat="1" x14ac:dyDescent="0.55000000000000004">
      <c r="A615" s="9"/>
      <c r="B615" s="10"/>
      <c r="C615" s="10"/>
      <c r="D615" s="10"/>
      <c r="E615" s="10"/>
      <c r="F615" s="10"/>
      <c r="G615" s="10"/>
      <c r="H615" s="10"/>
      <c r="O615" s="27"/>
      <c r="P615" s="27"/>
      <c r="Q615" s="27"/>
      <c r="R615" s="27"/>
    </row>
    <row r="616" spans="1:18" s="11" customFormat="1" x14ac:dyDescent="0.55000000000000004">
      <c r="A616" s="9"/>
      <c r="B616" s="10"/>
      <c r="C616" s="10"/>
      <c r="D616" s="10"/>
      <c r="E616" s="10"/>
      <c r="F616" s="10"/>
      <c r="G616" s="10"/>
      <c r="H616" s="10"/>
      <c r="O616" s="27"/>
      <c r="P616" s="27"/>
      <c r="Q616" s="27"/>
      <c r="R616" s="27"/>
    </row>
    <row r="617" spans="1:18" s="11" customFormat="1" x14ac:dyDescent="0.55000000000000004">
      <c r="A617" s="9"/>
      <c r="B617" s="10"/>
      <c r="C617" s="10"/>
      <c r="D617" s="10"/>
      <c r="E617" s="10"/>
      <c r="F617" s="10"/>
      <c r="G617" s="10"/>
      <c r="H617" s="10"/>
      <c r="O617" s="27"/>
      <c r="P617" s="27"/>
      <c r="Q617" s="27"/>
      <c r="R617" s="27"/>
    </row>
    <row r="618" spans="1:18" s="11" customFormat="1" x14ac:dyDescent="0.55000000000000004">
      <c r="A618" s="9"/>
      <c r="B618" s="10"/>
      <c r="C618" s="10"/>
      <c r="D618" s="10"/>
      <c r="E618" s="10"/>
      <c r="F618" s="10"/>
      <c r="G618" s="10"/>
      <c r="H618" s="10"/>
      <c r="O618" s="27"/>
      <c r="P618" s="27"/>
      <c r="Q618" s="27"/>
      <c r="R618" s="27"/>
    </row>
    <row r="619" spans="1:18" s="11" customFormat="1" x14ac:dyDescent="0.55000000000000004">
      <c r="A619" s="9"/>
      <c r="B619" s="10"/>
      <c r="C619" s="10"/>
      <c r="D619" s="10"/>
      <c r="E619" s="10"/>
      <c r="F619" s="10"/>
      <c r="G619" s="10"/>
      <c r="H619" s="10"/>
      <c r="O619" s="27"/>
      <c r="P619" s="27"/>
      <c r="Q619" s="27"/>
      <c r="R619" s="27"/>
    </row>
    <row r="620" spans="1:18" s="11" customFormat="1" x14ac:dyDescent="0.55000000000000004">
      <c r="A620" s="9"/>
      <c r="B620" s="10"/>
      <c r="C620" s="10"/>
      <c r="D620" s="10"/>
      <c r="E620" s="10"/>
      <c r="F620" s="10"/>
      <c r="G620" s="10"/>
      <c r="H620" s="10"/>
      <c r="O620" s="27"/>
      <c r="P620" s="27"/>
      <c r="Q620" s="27"/>
      <c r="R620" s="27"/>
    </row>
    <row r="621" spans="1:18" s="11" customFormat="1" x14ac:dyDescent="0.55000000000000004">
      <c r="A621" s="9"/>
      <c r="B621" s="10"/>
      <c r="C621" s="10"/>
      <c r="D621" s="10"/>
      <c r="E621" s="10"/>
      <c r="F621" s="10"/>
      <c r="G621" s="10"/>
      <c r="H621" s="10"/>
      <c r="O621" s="27"/>
      <c r="P621" s="27"/>
      <c r="Q621" s="27"/>
      <c r="R621" s="27"/>
    </row>
    <row r="622" spans="1:18" s="11" customFormat="1" x14ac:dyDescent="0.55000000000000004">
      <c r="A622" s="9"/>
      <c r="B622" s="10"/>
      <c r="C622" s="10"/>
      <c r="D622" s="10"/>
      <c r="E622" s="10"/>
      <c r="F622" s="10"/>
      <c r="G622" s="10"/>
      <c r="H622" s="10"/>
      <c r="O622" s="27"/>
      <c r="P622" s="27"/>
      <c r="Q622" s="27"/>
      <c r="R622" s="27"/>
    </row>
    <row r="623" spans="1:18" s="11" customFormat="1" x14ac:dyDescent="0.55000000000000004">
      <c r="A623" s="9"/>
      <c r="B623" s="10"/>
      <c r="C623" s="10"/>
      <c r="D623" s="10"/>
      <c r="E623" s="10"/>
      <c r="F623" s="10"/>
      <c r="G623" s="10"/>
      <c r="H623" s="10"/>
      <c r="O623" s="27"/>
      <c r="P623" s="27"/>
      <c r="Q623" s="27"/>
      <c r="R623" s="27"/>
    </row>
    <row r="624" spans="1:18" s="11" customFormat="1" x14ac:dyDescent="0.55000000000000004">
      <c r="A624" s="9"/>
      <c r="B624" s="10"/>
      <c r="C624" s="10"/>
      <c r="D624" s="10"/>
      <c r="E624" s="10"/>
      <c r="F624" s="10"/>
      <c r="G624" s="10"/>
      <c r="H624" s="10"/>
      <c r="O624" s="27"/>
      <c r="P624" s="27"/>
      <c r="Q624" s="27"/>
      <c r="R624" s="27"/>
    </row>
    <row r="625" spans="1:18" s="11" customFormat="1" x14ac:dyDescent="0.55000000000000004">
      <c r="A625" s="9"/>
      <c r="B625" s="10"/>
      <c r="C625" s="10"/>
      <c r="D625" s="10"/>
      <c r="E625" s="10"/>
      <c r="F625" s="10"/>
      <c r="G625" s="10"/>
      <c r="H625" s="10"/>
      <c r="O625" s="27"/>
      <c r="P625" s="27"/>
      <c r="Q625" s="27"/>
      <c r="R625" s="27"/>
    </row>
    <row r="626" spans="1:18" s="11" customFormat="1" x14ac:dyDescent="0.55000000000000004">
      <c r="A626" s="9"/>
      <c r="B626" s="10"/>
      <c r="C626" s="10"/>
      <c r="D626" s="10"/>
      <c r="E626" s="10"/>
      <c r="F626" s="10"/>
      <c r="G626" s="10"/>
      <c r="H626" s="10"/>
      <c r="O626" s="27"/>
      <c r="P626" s="27"/>
      <c r="Q626" s="27"/>
      <c r="R626" s="27"/>
    </row>
    <row r="627" spans="1:18" s="11" customFormat="1" x14ac:dyDescent="0.55000000000000004">
      <c r="A627" s="9"/>
      <c r="B627" s="10"/>
      <c r="C627" s="10"/>
      <c r="D627" s="10"/>
      <c r="E627" s="10"/>
      <c r="F627" s="10"/>
      <c r="G627" s="10"/>
      <c r="H627" s="10"/>
      <c r="O627" s="27"/>
      <c r="P627" s="27"/>
      <c r="Q627" s="27"/>
      <c r="R627" s="27"/>
    </row>
    <row r="628" spans="1:18" s="11" customFormat="1" x14ac:dyDescent="0.55000000000000004">
      <c r="A628" s="9"/>
      <c r="B628" s="10"/>
      <c r="C628" s="10"/>
      <c r="D628" s="10"/>
      <c r="E628" s="10"/>
      <c r="F628" s="10"/>
      <c r="G628" s="10"/>
      <c r="H628" s="10"/>
      <c r="O628" s="27"/>
      <c r="P628" s="27"/>
      <c r="Q628" s="27"/>
      <c r="R628" s="27"/>
    </row>
    <row r="629" spans="1:18" s="11" customFormat="1" x14ac:dyDescent="0.55000000000000004">
      <c r="A629" s="9"/>
      <c r="B629" s="10"/>
      <c r="C629" s="10"/>
      <c r="D629" s="10"/>
      <c r="E629" s="10"/>
      <c r="F629" s="10"/>
      <c r="G629" s="10"/>
      <c r="H629" s="10"/>
      <c r="O629" s="27"/>
      <c r="P629" s="27"/>
      <c r="Q629" s="27"/>
      <c r="R629" s="27"/>
    </row>
    <row r="630" spans="1:18" s="11" customFormat="1" x14ac:dyDescent="0.55000000000000004">
      <c r="A630" s="9"/>
      <c r="B630" s="10"/>
      <c r="C630" s="10"/>
      <c r="D630" s="10"/>
      <c r="E630" s="10"/>
      <c r="F630" s="10"/>
      <c r="G630" s="10"/>
      <c r="H630" s="10"/>
      <c r="O630" s="27"/>
      <c r="P630" s="27"/>
      <c r="Q630" s="27"/>
      <c r="R630" s="27"/>
    </row>
    <row r="631" spans="1:18" s="11" customFormat="1" x14ac:dyDescent="0.55000000000000004">
      <c r="A631" s="9"/>
      <c r="B631" s="10"/>
      <c r="C631" s="10"/>
      <c r="D631" s="10"/>
      <c r="E631" s="10"/>
      <c r="F631" s="10"/>
      <c r="G631" s="10"/>
      <c r="H631" s="10"/>
      <c r="O631" s="27"/>
      <c r="P631" s="27"/>
      <c r="Q631" s="27"/>
      <c r="R631" s="27"/>
    </row>
    <row r="632" spans="1:18" s="11" customFormat="1" x14ac:dyDescent="0.55000000000000004">
      <c r="A632" s="9"/>
      <c r="B632" s="10"/>
      <c r="C632" s="10"/>
      <c r="D632" s="10"/>
      <c r="E632" s="10"/>
      <c r="F632" s="10"/>
      <c r="G632" s="10"/>
      <c r="H632" s="10"/>
      <c r="O632" s="27"/>
      <c r="P632" s="27"/>
      <c r="Q632" s="27"/>
      <c r="R632" s="27"/>
    </row>
    <row r="633" spans="1:18" s="11" customFormat="1" x14ac:dyDescent="0.55000000000000004">
      <c r="A633" s="9"/>
      <c r="B633" s="10"/>
      <c r="C633" s="10"/>
      <c r="D633" s="10"/>
      <c r="E633" s="10"/>
      <c r="F633" s="10"/>
      <c r="G633" s="10"/>
      <c r="H633" s="10"/>
      <c r="O633" s="27"/>
      <c r="P633" s="27"/>
      <c r="Q633" s="27"/>
      <c r="R633" s="27"/>
    </row>
    <row r="634" spans="1:18" s="11" customFormat="1" x14ac:dyDescent="0.55000000000000004">
      <c r="A634" s="9"/>
      <c r="B634" s="10"/>
      <c r="C634" s="10"/>
      <c r="D634" s="10"/>
      <c r="E634" s="10"/>
      <c r="F634" s="10"/>
      <c r="G634" s="10"/>
      <c r="H634" s="10"/>
      <c r="O634" s="27"/>
      <c r="P634" s="27"/>
      <c r="Q634" s="27"/>
      <c r="R634" s="27"/>
    </row>
    <row r="635" spans="1:18" s="11" customFormat="1" x14ac:dyDescent="0.55000000000000004">
      <c r="A635" s="9"/>
      <c r="B635" s="10"/>
      <c r="C635" s="10"/>
      <c r="D635" s="10"/>
      <c r="E635" s="10"/>
      <c r="F635" s="10"/>
      <c r="G635" s="10"/>
      <c r="H635" s="10"/>
      <c r="O635" s="27"/>
      <c r="P635" s="27"/>
      <c r="Q635" s="27"/>
      <c r="R635" s="27"/>
    </row>
    <row r="636" spans="1:18" s="11" customFormat="1" x14ac:dyDescent="0.55000000000000004">
      <c r="A636" s="9"/>
      <c r="B636" s="10"/>
      <c r="C636" s="10"/>
      <c r="D636" s="10"/>
      <c r="E636" s="10"/>
      <c r="F636" s="10"/>
      <c r="G636" s="10"/>
      <c r="H636" s="10"/>
      <c r="O636" s="27"/>
      <c r="P636" s="27"/>
      <c r="Q636" s="27"/>
      <c r="R636" s="27"/>
    </row>
    <row r="637" spans="1:18" s="11" customFormat="1" x14ac:dyDescent="0.55000000000000004">
      <c r="A637" s="9"/>
      <c r="B637" s="10"/>
      <c r="C637" s="10"/>
      <c r="D637" s="10"/>
      <c r="E637" s="10"/>
      <c r="F637" s="10"/>
      <c r="G637" s="10"/>
      <c r="H637" s="10"/>
      <c r="O637" s="27"/>
      <c r="P637" s="27"/>
      <c r="Q637" s="27"/>
      <c r="R637" s="27"/>
    </row>
    <row r="638" spans="1:18" s="11" customFormat="1" x14ac:dyDescent="0.55000000000000004">
      <c r="A638" s="9"/>
      <c r="B638" s="10"/>
      <c r="C638" s="10"/>
      <c r="D638" s="10"/>
      <c r="E638" s="10"/>
      <c r="F638" s="10"/>
      <c r="G638" s="10"/>
      <c r="H638" s="10"/>
      <c r="O638" s="27"/>
      <c r="P638" s="27"/>
      <c r="Q638" s="27"/>
      <c r="R638" s="27"/>
    </row>
    <row r="639" spans="1:18" s="11" customFormat="1" x14ac:dyDescent="0.55000000000000004">
      <c r="A639" s="9"/>
      <c r="B639" s="10"/>
      <c r="C639" s="10"/>
      <c r="D639" s="10"/>
      <c r="E639" s="10"/>
      <c r="F639" s="10"/>
      <c r="G639" s="10"/>
      <c r="H639" s="10"/>
      <c r="O639" s="27"/>
      <c r="P639" s="27"/>
      <c r="Q639" s="27"/>
      <c r="R639" s="27"/>
    </row>
    <row r="640" spans="1:18" s="11" customFormat="1" x14ac:dyDescent="0.55000000000000004">
      <c r="A640" s="9"/>
      <c r="B640" s="10"/>
      <c r="C640" s="10"/>
      <c r="D640" s="10"/>
      <c r="E640" s="10"/>
      <c r="F640" s="10"/>
      <c r="G640" s="10"/>
      <c r="H640" s="10"/>
      <c r="O640" s="27"/>
      <c r="P640" s="27"/>
      <c r="Q640" s="27"/>
      <c r="R640" s="27"/>
    </row>
    <row r="641" spans="1:18" s="11" customFormat="1" x14ac:dyDescent="0.55000000000000004">
      <c r="A641" s="9"/>
      <c r="B641" s="10"/>
      <c r="C641" s="10"/>
      <c r="D641" s="10"/>
      <c r="E641" s="10"/>
      <c r="F641" s="10"/>
      <c r="G641" s="10"/>
      <c r="H641" s="10"/>
      <c r="O641" s="27"/>
      <c r="P641" s="27"/>
      <c r="Q641" s="27"/>
      <c r="R641" s="27"/>
    </row>
    <row r="642" spans="1:18" s="11" customFormat="1" x14ac:dyDescent="0.55000000000000004">
      <c r="A642" s="9"/>
      <c r="B642" s="10"/>
      <c r="C642" s="10"/>
      <c r="D642" s="10"/>
      <c r="E642" s="10"/>
      <c r="F642" s="10"/>
      <c r="G642" s="10"/>
      <c r="H642" s="10"/>
      <c r="O642" s="27"/>
      <c r="P642" s="27"/>
      <c r="Q642" s="27"/>
      <c r="R642" s="27"/>
    </row>
    <row r="643" spans="1:18" s="11" customFormat="1" x14ac:dyDescent="0.55000000000000004">
      <c r="A643" s="9"/>
      <c r="B643" s="10"/>
      <c r="C643" s="10"/>
      <c r="D643" s="10"/>
      <c r="E643" s="10"/>
      <c r="F643" s="10"/>
      <c r="G643" s="10"/>
      <c r="H643" s="10"/>
      <c r="O643" s="27"/>
      <c r="P643" s="27"/>
      <c r="Q643" s="27"/>
      <c r="R643" s="27"/>
    </row>
    <row r="644" spans="1:18" s="11" customFormat="1" x14ac:dyDescent="0.55000000000000004">
      <c r="A644" s="9"/>
      <c r="B644" s="10"/>
      <c r="C644" s="10"/>
      <c r="D644" s="10"/>
      <c r="E644" s="10"/>
      <c r="F644" s="10"/>
      <c r="G644" s="10"/>
      <c r="H644" s="10"/>
      <c r="O644" s="27"/>
      <c r="P644" s="27"/>
      <c r="Q644" s="27"/>
      <c r="R644" s="27"/>
    </row>
    <row r="645" spans="1:18" s="11" customFormat="1" x14ac:dyDescent="0.55000000000000004">
      <c r="A645" s="9"/>
      <c r="B645" s="10"/>
      <c r="C645" s="10"/>
      <c r="D645" s="10"/>
      <c r="E645" s="10"/>
      <c r="F645" s="10"/>
      <c r="G645" s="10"/>
      <c r="H645" s="10"/>
      <c r="O645" s="27"/>
      <c r="P645" s="27"/>
      <c r="Q645" s="27"/>
      <c r="R645" s="27"/>
    </row>
    <row r="646" spans="1:18" s="11" customFormat="1" x14ac:dyDescent="0.55000000000000004">
      <c r="A646" s="9"/>
      <c r="B646" s="10"/>
      <c r="C646" s="10"/>
      <c r="D646" s="10"/>
      <c r="E646" s="10"/>
      <c r="F646" s="10"/>
      <c r="G646" s="10"/>
      <c r="H646" s="10"/>
      <c r="O646" s="27"/>
      <c r="P646" s="27"/>
      <c r="Q646" s="27"/>
      <c r="R646" s="27"/>
    </row>
    <row r="647" spans="1:18" s="11" customFormat="1" x14ac:dyDescent="0.55000000000000004">
      <c r="A647" s="9"/>
      <c r="B647" s="10"/>
      <c r="C647" s="10"/>
      <c r="D647" s="10"/>
      <c r="E647" s="10"/>
      <c r="F647" s="10"/>
      <c r="G647" s="10"/>
      <c r="H647" s="10"/>
      <c r="O647" s="27"/>
      <c r="P647" s="27"/>
      <c r="Q647" s="27"/>
      <c r="R647" s="27"/>
    </row>
    <row r="648" spans="1:18" s="11" customFormat="1" x14ac:dyDescent="0.55000000000000004">
      <c r="A648" s="9"/>
      <c r="B648" s="10"/>
      <c r="C648" s="10"/>
      <c r="D648" s="10"/>
      <c r="E648" s="10"/>
      <c r="F648" s="10"/>
      <c r="G648" s="10"/>
      <c r="H648" s="10"/>
      <c r="O648" s="27"/>
      <c r="P648" s="27"/>
      <c r="Q648" s="27"/>
      <c r="R648" s="27"/>
    </row>
    <row r="649" spans="1:18" s="11" customFormat="1" x14ac:dyDescent="0.55000000000000004">
      <c r="A649" s="9"/>
      <c r="B649" s="10"/>
      <c r="C649" s="10"/>
      <c r="D649" s="10"/>
      <c r="E649" s="10"/>
      <c r="F649" s="10"/>
      <c r="G649" s="10"/>
      <c r="H649" s="10"/>
      <c r="O649" s="27"/>
      <c r="P649" s="27"/>
      <c r="Q649" s="27"/>
      <c r="R649" s="27"/>
    </row>
    <row r="650" spans="1:18" s="11" customFormat="1" x14ac:dyDescent="0.55000000000000004">
      <c r="A650" s="9"/>
      <c r="B650" s="10"/>
      <c r="C650" s="10"/>
      <c r="D650" s="10"/>
      <c r="E650" s="10"/>
      <c r="F650" s="10"/>
      <c r="G650" s="10"/>
      <c r="H650" s="10"/>
      <c r="O650" s="27"/>
      <c r="P650" s="27"/>
      <c r="Q650" s="27"/>
      <c r="R650" s="27"/>
    </row>
    <row r="651" spans="1:18" s="11" customFormat="1" x14ac:dyDescent="0.55000000000000004">
      <c r="A651" s="9"/>
      <c r="B651" s="10"/>
      <c r="C651" s="10"/>
      <c r="D651" s="10"/>
      <c r="E651" s="10"/>
      <c r="F651" s="10"/>
      <c r="G651" s="10"/>
      <c r="H651" s="10"/>
      <c r="O651" s="27"/>
      <c r="P651" s="27"/>
      <c r="Q651" s="27"/>
      <c r="R651" s="27"/>
    </row>
    <row r="652" spans="1:18" s="11" customFormat="1" x14ac:dyDescent="0.55000000000000004">
      <c r="A652" s="9"/>
      <c r="B652" s="10"/>
      <c r="C652" s="10"/>
      <c r="D652" s="10"/>
      <c r="E652" s="10"/>
      <c r="F652" s="10"/>
      <c r="G652" s="10"/>
      <c r="H652" s="10"/>
      <c r="O652" s="27"/>
      <c r="P652" s="27"/>
      <c r="Q652" s="27"/>
      <c r="R652" s="27"/>
    </row>
    <row r="653" spans="1:18" s="11" customFormat="1" x14ac:dyDescent="0.55000000000000004">
      <c r="A653" s="9"/>
      <c r="B653" s="10"/>
      <c r="C653" s="10"/>
      <c r="D653" s="10"/>
      <c r="E653" s="10"/>
      <c r="F653" s="10"/>
      <c r="G653" s="10"/>
      <c r="H653" s="10"/>
      <c r="O653" s="27"/>
      <c r="P653" s="27"/>
      <c r="Q653" s="27"/>
      <c r="R653" s="27"/>
    </row>
    <row r="654" spans="1:18" s="11" customFormat="1" x14ac:dyDescent="0.55000000000000004">
      <c r="A654" s="9"/>
      <c r="B654" s="10"/>
      <c r="C654" s="10"/>
      <c r="D654" s="10"/>
      <c r="E654" s="10"/>
      <c r="F654" s="10"/>
      <c r="G654" s="10"/>
      <c r="H654" s="10"/>
      <c r="O654" s="27"/>
      <c r="P654" s="27"/>
      <c r="Q654" s="27"/>
      <c r="R654" s="27"/>
    </row>
    <row r="655" spans="1:18" s="11" customFormat="1" x14ac:dyDescent="0.55000000000000004">
      <c r="A655" s="9"/>
      <c r="B655" s="10"/>
      <c r="C655" s="10"/>
      <c r="D655" s="10"/>
      <c r="E655" s="10"/>
      <c r="F655" s="10"/>
      <c r="G655" s="10"/>
      <c r="H655" s="10"/>
      <c r="O655" s="27"/>
      <c r="P655" s="27"/>
      <c r="Q655" s="27"/>
      <c r="R655" s="27"/>
    </row>
    <row r="656" spans="1:18" s="11" customFormat="1" x14ac:dyDescent="0.55000000000000004">
      <c r="A656" s="9"/>
      <c r="B656" s="10"/>
      <c r="C656" s="10"/>
      <c r="D656" s="10"/>
      <c r="E656" s="10"/>
      <c r="F656" s="10"/>
      <c r="G656" s="10"/>
      <c r="H656" s="10"/>
      <c r="O656" s="27"/>
      <c r="P656" s="27"/>
      <c r="Q656" s="27"/>
      <c r="R656" s="27"/>
    </row>
    <row r="657" spans="1:18" s="11" customFormat="1" x14ac:dyDescent="0.55000000000000004">
      <c r="A657" s="9"/>
      <c r="B657" s="10"/>
      <c r="C657" s="10"/>
      <c r="D657" s="10"/>
      <c r="E657" s="10"/>
      <c r="F657" s="10"/>
      <c r="G657" s="10"/>
      <c r="H657" s="10"/>
      <c r="O657" s="27"/>
      <c r="P657" s="27"/>
      <c r="Q657" s="27"/>
      <c r="R657" s="27"/>
    </row>
    <row r="658" spans="1:18" s="11" customFormat="1" x14ac:dyDescent="0.55000000000000004">
      <c r="A658" s="9"/>
      <c r="B658" s="10"/>
      <c r="C658" s="10"/>
      <c r="D658" s="10"/>
      <c r="E658" s="10"/>
      <c r="F658" s="10"/>
      <c r="G658" s="10"/>
      <c r="H658" s="10"/>
      <c r="O658" s="27"/>
      <c r="P658" s="27"/>
      <c r="Q658" s="27"/>
      <c r="R658" s="27"/>
    </row>
    <row r="659" spans="1:18" s="11" customFormat="1" x14ac:dyDescent="0.55000000000000004">
      <c r="A659" s="9"/>
      <c r="B659" s="10"/>
      <c r="C659" s="10"/>
      <c r="D659" s="10"/>
      <c r="E659" s="10"/>
      <c r="F659" s="10"/>
      <c r="G659" s="10"/>
      <c r="H659" s="10"/>
      <c r="O659" s="27"/>
      <c r="P659" s="27"/>
      <c r="Q659" s="27"/>
      <c r="R659" s="27"/>
    </row>
    <row r="660" spans="1:18" s="11" customFormat="1" x14ac:dyDescent="0.55000000000000004">
      <c r="A660" s="9"/>
      <c r="B660" s="10"/>
      <c r="C660" s="10"/>
      <c r="D660" s="10"/>
      <c r="E660" s="10"/>
      <c r="F660" s="10"/>
      <c r="G660" s="10"/>
      <c r="H660" s="10"/>
      <c r="O660" s="27"/>
      <c r="P660" s="27"/>
      <c r="Q660" s="27"/>
      <c r="R660" s="27"/>
    </row>
    <row r="661" spans="1:18" s="11" customFormat="1" x14ac:dyDescent="0.55000000000000004">
      <c r="A661" s="9"/>
      <c r="B661" s="10"/>
      <c r="C661" s="10"/>
      <c r="D661" s="10"/>
      <c r="E661" s="10"/>
      <c r="F661" s="10"/>
      <c r="G661" s="10"/>
      <c r="H661" s="10"/>
      <c r="O661" s="27"/>
      <c r="P661" s="27"/>
      <c r="Q661" s="27"/>
      <c r="R661" s="27"/>
    </row>
    <row r="662" spans="1:18" s="11" customFormat="1" x14ac:dyDescent="0.55000000000000004">
      <c r="A662" s="9"/>
      <c r="B662" s="10"/>
      <c r="C662" s="10"/>
      <c r="D662" s="10"/>
      <c r="E662" s="10"/>
      <c r="F662" s="10"/>
      <c r="G662" s="10"/>
      <c r="H662" s="10"/>
      <c r="O662" s="27"/>
      <c r="P662" s="27"/>
      <c r="Q662" s="27"/>
      <c r="R662" s="27"/>
    </row>
    <row r="663" spans="1:18" s="11" customFormat="1" x14ac:dyDescent="0.55000000000000004">
      <c r="A663" s="9"/>
      <c r="B663" s="10"/>
      <c r="C663" s="10"/>
      <c r="D663" s="10"/>
      <c r="E663" s="10"/>
      <c r="F663" s="10"/>
      <c r="G663" s="10"/>
      <c r="H663" s="10"/>
      <c r="O663" s="27"/>
      <c r="P663" s="27"/>
      <c r="Q663" s="27"/>
      <c r="R663" s="27"/>
    </row>
    <row r="664" spans="1:18" s="11" customFormat="1" x14ac:dyDescent="0.55000000000000004">
      <c r="A664" s="9"/>
      <c r="B664" s="10"/>
      <c r="C664" s="10"/>
      <c r="D664" s="10"/>
      <c r="E664" s="10"/>
      <c r="F664" s="10"/>
      <c r="G664" s="10"/>
      <c r="H664" s="10"/>
      <c r="O664" s="27"/>
      <c r="P664" s="27"/>
      <c r="Q664" s="27"/>
      <c r="R664" s="27"/>
    </row>
    <row r="665" spans="1:18" s="11" customFormat="1" x14ac:dyDescent="0.55000000000000004">
      <c r="A665" s="9"/>
      <c r="B665" s="10"/>
      <c r="C665" s="10"/>
      <c r="D665" s="10"/>
      <c r="E665" s="10"/>
      <c r="F665" s="10"/>
      <c r="G665" s="10"/>
      <c r="H665" s="10"/>
      <c r="O665" s="27"/>
      <c r="P665" s="27"/>
      <c r="Q665" s="27"/>
      <c r="R665" s="27"/>
    </row>
    <row r="666" spans="1:18" s="11" customFormat="1" x14ac:dyDescent="0.55000000000000004">
      <c r="A666" s="9"/>
      <c r="B666" s="10"/>
      <c r="C666" s="10"/>
      <c r="D666" s="10"/>
      <c r="E666" s="10"/>
      <c r="F666" s="10"/>
      <c r="G666" s="10"/>
      <c r="H666" s="10"/>
      <c r="O666" s="27"/>
      <c r="P666" s="27"/>
      <c r="Q666" s="27"/>
      <c r="R666" s="27"/>
    </row>
    <row r="667" spans="1:18" s="11" customFormat="1" x14ac:dyDescent="0.55000000000000004">
      <c r="A667" s="9"/>
      <c r="B667" s="10"/>
      <c r="C667" s="10"/>
      <c r="D667" s="10"/>
      <c r="E667" s="10"/>
      <c r="F667" s="10"/>
      <c r="G667" s="10"/>
      <c r="H667" s="10"/>
      <c r="O667" s="27"/>
      <c r="P667" s="27"/>
      <c r="Q667" s="27"/>
      <c r="R667" s="27"/>
    </row>
    <row r="668" spans="1:18" s="11" customFormat="1" x14ac:dyDescent="0.55000000000000004">
      <c r="A668" s="9"/>
      <c r="B668" s="10"/>
      <c r="C668" s="10"/>
      <c r="D668" s="10"/>
      <c r="E668" s="10"/>
      <c r="F668" s="10"/>
      <c r="G668" s="10"/>
      <c r="H668" s="10"/>
      <c r="O668" s="27"/>
      <c r="P668" s="27"/>
      <c r="Q668" s="27"/>
      <c r="R668" s="27"/>
    </row>
    <row r="669" spans="1:18" s="11" customFormat="1" x14ac:dyDescent="0.55000000000000004">
      <c r="A669" s="9"/>
      <c r="B669" s="10"/>
      <c r="C669" s="10"/>
      <c r="D669" s="10"/>
      <c r="E669" s="10"/>
      <c r="F669" s="10"/>
      <c r="G669" s="10"/>
      <c r="H669" s="10"/>
      <c r="O669" s="27"/>
      <c r="P669" s="27"/>
      <c r="Q669" s="27"/>
      <c r="R669" s="27"/>
    </row>
    <row r="670" spans="1:18" s="11" customFormat="1" x14ac:dyDescent="0.55000000000000004">
      <c r="A670" s="9"/>
      <c r="B670" s="10"/>
      <c r="C670" s="10"/>
      <c r="D670" s="10"/>
      <c r="E670" s="10"/>
      <c r="F670" s="10"/>
      <c r="G670" s="10"/>
      <c r="H670" s="10"/>
      <c r="O670" s="27"/>
      <c r="P670" s="27"/>
      <c r="Q670" s="27"/>
      <c r="R670" s="27"/>
    </row>
    <row r="671" spans="1:18" s="11" customFormat="1" x14ac:dyDescent="0.55000000000000004">
      <c r="A671" s="9"/>
      <c r="B671" s="10"/>
      <c r="C671" s="10"/>
      <c r="D671" s="10"/>
      <c r="E671" s="10"/>
      <c r="F671" s="10"/>
      <c r="G671" s="10"/>
      <c r="H671" s="10"/>
      <c r="O671" s="27"/>
      <c r="P671" s="27"/>
      <c r="Q671" s="27"/>
      <c r="R671" s="27"/>
    </row>
    <row r="672" spans="1:18" s="11" customFormat="1" x14ac:dyDescent="0.55000000000000004">
      <c r="A672" s="9"/>
      <c r="B672" s="10"/>
      <c r="C672" s="10"/>
      <c r="D672" s="10"/>
      <c r="E672" s="10"/>
      <c r="F672" s="10"/>
      <c r="G672" s="10"/>
      <c r="H672" s="10"/>
      <c r="O672" s="27"/>
      <c r="P672" s="27"/>
      <c r="Q672" s="27"/>
      <c r="R672" s="27"/>
    </row>
    <row r="673" spans="1:18" s="11" customFormat="1" x14ac:dyDescent="0.55000000000000004">
      <c r="A673" s="9"/>
      <c r="B673" s="10"/>
      <c r="C673" s="10"/>
      <c r="D673" s="10"/>
      <c r="E673" s="10"/>
      <c r="F673" s="10"/>
      <c r="G673" s="10"/>
      <c r="H673" s="10"/>
      <c r="O673" s="27"/>
      <c r="P673" s="27"/>
      <c r="Q673" s="27"/>
      <c r="R673" s="27"/>
    </row>
    <row r="674" spans="1:18" s="11" customFormat="1" x14ac:dyDescent="0.55000000000000004">
      <c r="A674" s="9"/>
      <c r="B674" s="10"/>
      <c r="C674" s="10"/>
      <c r="D674" s="10"/>
      <c r="E674" s="10"/>
      <c r="F674" s="10"/>
      <c r="G674" s="10"/>
      <c r="H674" s="10"/>
      <c r="O674" s="27"/>
      <c r="P674" s="27"/>
      <c r="Q674" s="27"/>
      <c r="R674" s="27"/>
    </row>
    <row r="675" spans="1:18" s="11" customFormat="1" x14ac:dyDescent="0.55000000000000004">
      <c r="A675" s="9"/>
      <c r="B675" s="10"/>
      <c r="C675" s="10"/>
      <c r="D675" s="10"/>
      <c r="E675" s="10"/>
      <c r="F675" s="10"/>
      <c r="G675" s="10"/>
      <c r="H675" s="10"/>
      <c r="O675" s="27"/>
      <c r="P675" s="27"/>
      <c r="Q675" s="27"/>
      <c r="R675" s="27"/>
    </row>
    <row r="676" spans="1:18" s="11" customFormat="1" x14ac:dyDescent="0.55000000000000004">
      <c r="A676" s="9"/>
      <c r="B676" s="10"/>
      <c r="C676" s="10"/>
      <c r="D676" s="10"/>
      <c r="E676" s="10"/>
      <c r="F676" s="10"/>
      <c r="G676" s="10"/>
      <c r="H676" s="10"/>
      <c r="O676" s="27"/>
      <c r="P676" s="27"/>
      <c r="Q676" s="27"/>
      <c r="R676" s="27"/>
    </row>
    <row r="677" spans="1:18" s="11" customFormat="1" x14ac:dyDescent="0.55000000000000004">
      <c r="A677" s="9"/>
      <c r="B677" s="10"/>
      <c r="C677" s="10"/>
      <c r="D677" s="10"/>
      <c r="E677" s="10"/>
      <c r="F677" s="10"/>
      <c r="G677" s="10"/>
      <c r="H677" s="10"/>
      <c r="O677" s="27"/>
      <c r="P677" s="27"/>
      <c r="Q677" s="27"/>
      <c r="R677" s="27"/>
    </row>
    <row r="678" spans="1:18" s="11" customFormat="1" x14ac:dyDescent="0.55000000000000004">
      <c r="A678" s="9"/>
      <c r="B678" s="10"/>
      <c r="C678" s="10"/>
      <c r="D678" s="10"/>
      <c r="E678" s="10"/>
      <c r="F678" s="10"/>
      <c r="G678" s="10"/>
      <c r="H678" s="10"/>
      <c r="O678" s="27"/>
      <c r="P678" s="27"/>
      <c r="Q678" s="27"/>
      <c r="R678" s="27"/>
    </row>
    <row r="679" spans="1:18" s="11" customFormat="1" x14ac:dyDescent="0.55000000000000004">
      <c r="A679" s="9"/>
      <c r="B679" s="10"/>
      <c r="C679" s="10"/>
      <c r="D679" s="10"/>
      <c r="E679" s="10"/>
      <c r="F679" s="10"/>
      <c r="G679" s="10"/>
      <c r="H679" s="10"/>
      <c r="O679" s="27"/>
      <c r="P679" s="27"/>
      <c r="Q679" s="27"/>
      <c r="R679" s="27"/>
    </row>
    <row r="680" spans="1:18" s="11" customFormat="1" x14ac:dyDescent="0.55000000000000004">
      <c r="A680" s="9"/>
      <c r="B680" s="10"/>
      <c r="C680" s="10"/>
      <c r="D680" s="10"/>
      <c r="E680" s="10"/>
      <c r="F680" s="10"/>
      <c r="G680" s="10"/>
      <c r="H680" s="10"/>
      <c r="O680" s="27"/>
      <c r="P680" s="27"/>
      <c r="Q680" s="27"/>
      <c r="R680" s="27"/>
    </row>
    <row r="681" spans="1:18" s="11" customFormat="1" x14ac:dyDescent="0.55000000000000004">
      <c r="A681" s="9"/>
      <c r="B681" s="10"/>
      <c r="C681" s="10"/>
      <c r="D681" s="10"/>
      <c r="E681" s="10"/>
      <c r="F681" s="10"/>
      <c r="G681" s="10"/>
      <c r="H681" s="10"/>
      <c r="O681" s="27"/>
      <c r="P681" s="27"/>
      <c r="Q681" s="27"/>
      <c r="R681" s="27"/>
    </row>
    <row r="682" spans="1:18" s="11" customFormat="1" x14ac:dyDescent="0.55000000000000004">
      <c r="A682" s="9"/>
      <c r="B682" s="10"/>
      <c r="C682" s="10"/>
      <c r="D682" s="10"/>
      <c r="E682" s="10"/>
      <c r="F682" s="10"/>
      <c r="G682" s="10"/>
      <c r="H682" s="10"/>
      <c r="O682" s="27"/>
      <c r="P682" s="27"/>
      <c r="Q682" s="27"/>
      <c r="R682" s="27"/>
    </row>
    <row r="683" spans="1:18" s="11" customFormat="1" x14ac:dyDescent="0.55000000000000004">
      <c r="A683" s="9"/>
      <c r="B683" s="10"/>
      <c r="C683" s="10"/>
      <c r="D683" s="10"/>
      <c r="E683" s="10"/>
      <c r="F683" s="10"/>
      <c r="G683" s="10"/>
      <c r="H683" s="10"/>
      <c r="O683" s="27"/>
      <c r="P683" s="27"/>
      <c r="Q683" s="27"/>
      <c r="R683" s="27"/>
    </row>
    <row r="684" spans="1:18" s="11" customFormat="1" x14ac:dyDescent="0.55000000000000004">
      <c r="A684" s="9"/>
      <c r="B684" s="10"/>
      <c r="C684" s="10"/>
      <c r="D684" s="10"/>
      <c r="E684" s="10"/>
      <c r="F684" s="10"/>
      <c r="G684" s="10"/>
      <c r="H684" s="10"/>
      <c r="O684" s="27"/>
      <c r="P684" s="27"/>
      <c r="Q684" s="27"/>
      <c r="R684" s="27"/>
    </row>
    <row r="685" spans="1:18" s="11" customFormat="1" x14ac:dyDescent="0.55000000000000004">
      <c r="A685" s="9"/>
      <c r="B685" s="10"/>
      <c r="C685" s="10"/>
      <c r="D685" s="10"/>
      <c r="E685" s="10"/>
      <c r="F685" s="10"/>
      <c r="G685" s="10"/>
      <c r="H685" s="10"/>
      <c r="O685" s="27"/>
      <c r="P685" s="27"/>
      <c r="Q685" s="27"/>
      <c r="R685" s="27"/>
    </row>
    <row r="686" spans="1:18" s="11" customFormat="1" x14ac:dyDescent="0.55000000000000004">
      <c r="A686" s="9"/>
      <c r="B686" s="10"/>
      <c r="C686" s="10"/>
      <c r="D686" s="10"/>
      <c r="E686" s="10"/>
      <c r="F686" s="10"/>
      <c r="G686" s="10"/>
      <c r="H686" s="10"/>
      <c r="O686" s="27"/>
      <c r="P686" s="27"/>
      <c r="Q686" s="27"/>
      <c r="R686" s="27"/>
    </row>
    <row r="687" spans="1:18" s="11" customFormat="1" x14ac:dyDescent="0.55000000000000004">
      <c r="A687" s="9"/>
      <c r="B687" s="10"/>
      <c r="C687" s="10"/>
      <c r="D687" s="10"/>
      <c r="E687" s="10"/>
      <c r="F687" s="10"/>
      <c r="G687" s="10"/>
      <c r="H687" s="10"/>
      <c r="O687" s="27"/>
      <c r="P687" s="27"/>
      <c r="Q687" s="27"/>
      <c r="R687" s="27"/>
    </row>
    <row r="688" spans="1:18" s="11" customFormat="1" x14ac:dyDescent="0.55000000000000004">
      <c r="A688" s="9"/>
      <c r="B688" s="10"/>
      <c r="C688" s="10"/>
      <c r="D688" s="10"/>
      <c r="E688" s="10"/>
      <c r="F688" s="10"/>
      <c r="G688" s="10"/>
      <c r="H688" s="10"/>
      <c r="O688" s="27"/>
      <c r="P688" s="27"/>
      <c r="Q688" s="27"/>
      <c r="R688" s="27"/>
    </row>
    <row r="689" spans="1:18" s="11" customFormat="1" x14ac:dyDescent="0.55000000000000004">
      <c r="A689" s="9"/>
      <c r="B689" s="10"/>
      <c r="C689" s="10"/>
      <c r="D689" s="10"/>
      <c r="E689" s="10"/>
      <c r="F689" s="10"/>
      <c r="G689" s="10"/>
      <c r="H689" s="10"/>
      <c r="O689" s="27"/>
      <c r="P689" s="27"/>
      <c r="Q689" s="27"/>
      <c r="R689" s="27"/>
    </row>
    <row r="690" spans="1:18" s="11" customFormat="1" x14ac:dyDescent="0.55000000000000004">
      <c r="A690" s="9"/>
      <c r="B690" s="10"/>
      <c r="C690" s="10"/>
      <c r="D690" s="10"/>
      <c r="E690" s="10"/>
      <c r="F690" s="10"/>
      <c r="G690" s="10"/>
      <c r="H690" s="10"/>
      <c r="O690" s="27"/>
      <c r="P690" s="27"/>
      <c r="Q690" s="27"/>
      <c r="R690" s="27"/>
    </row>
    <row r="691" spans="1:18" s="11" customFormat="1" x14ac:dyDescent="0.55000000000000004">
      <c r="A691" s="9"/>
      <c r="B691" s="10"/>
      <c r="C691" s="10"/>
      <c r="D691" s="10"/>
      <c r="E691" s="10"/>
      <c r="F691" s="10"/>
      <c r="G691" s="10"/>
      <c r="H691" s="10"/>
      <c r="O691" s="27"/>
      <c r="P691" s="27"/>
      <c r="Q691" s="27"/>
      <c r="R691" s="27"/>
    </row>
    <row r="692" spans="1:18" s="11" customFormat="1" x14ac:dyDescent="0.55000000000000004">
      <c r="A692" s="9"/>
      <c r="B692" s="10"/>
      <c r="C692" s="10"/>
      <c r="D692" s="10"/>
      <c r="E692" s="10"/>
      <c r="F692" s="10"/>
      <c r="G692" s="10"/>
      <c r="H692" s="10"/>
      <c r="O692" s="27"/>
      <c r="P692" s="27"/>
      <c r="Q692" s="27"/>
      <c r="R692" s="27"/>
    </row>
    <row r="693" spans="1:18" s="11" customFormat="1" x14ac:dyDescent="0.55000000000000004">
      <c r="A693" s="9"/>
      <c r="B693" s="10"/>
      <c r="C693" s="10"/>
      <c r="D693" s="10"/>
      <c r="E693" s="10"/>
      <c r="F693" s="10"/>
      <c r="G693" s="10"/>
      <c r="H693" s="10"/>
      <c r="O693" s="27"/>
      <c r="P693" s="27"/>
      <c r="Q693" s="27"/>
      <c r="R693" s="27"/>
    </row>
    <row r="694" spans="1:18" s="11" customFormat="1" x14ac:dyDescent="0.55000000000000004">
      <c r="A694" s="9"/>
      <c r="B694" s="10"/>
      <c r="C694" s="10"/>
      <c r="D694" s="10"/>
      <c r="E694" s="10"/>
      <c r="F694" s="10"/>
      <c r="G694" s="10"/>
      <c r="H694" s="10"/>
      <c r="O694" s="27"/>
      <c r="P694" s="27"/>
      <c r="Q694" s="27"/>
      <c r="R694" s="27"/>
    </row>
    <row r="695" spans="1:18" s="11" customFormat="1" x14ac:dyDescent="0.55000000000000004">
      <c r="A695" s="9"/>
      <c r="B695" s="10"/>
      <c r="C695" s="10"/>
      <c r="D695" s="10"/>
      <c r="E695" s="10"/>
      <c r="F695" s="10"/>
      <c r="G695" s="10"/>
      <c r="H695" s="10"/>
      <c r="O695" s="27"/>
      <c r="P695" s="27"/>
      <c r="Q695" s="27"/>
      <c r="R695" s="27"/>
    </row>
    <row r="696" spans="1:18" s="11" customFormat="1" x14ac:dyDescent="0.55000000000000004">
      <c r="A696" s="9"/>
      <c r="B696" s="10"/>
      <c r="C696" s="10"/>
      <c r="D696" s="10"/>
      <c r="E696" s="10"/>
      <c r="F696" s="10"/>
      <c r="G696" s="10"/>
      <c r="H696" s="10"/>
      <c r="O696" s="27"/>
      <c r="P696" s="27"/>
      <c r="Q696" s="27"/>
      <c r="R696" s="27"/>
    </row>
    <row r="697" spans="1:18" s="11" customFormat="1" x14ac:dyDescent="0.55000000000000004">
      <c r="A697" s="9"/>
      <c r="B697" s="10"/>
      <c r="C697" s="10"/>
      <c r="D697" s="10"/>
      <c r="E697" s="10"/>
      <c r="F697" s="10"/>
      <c r="G697" s="10"/>
      <c r="H697" s="10"/>
      <c r="O697" s="27"/>
      <c r="P697" s="27"/>
      <c r="Q697" s="27"/>
      <c r="R697" s="27"/>
    </row>
    <row r="698" spans="1:18" s="11" customFormat="1" x14ac:dyDescent="0.55000000000000004">
      <c r="A698" s="9"/>
      <c r="B698" s="10"/>
      <c r="C698" s="10"/>
      <c r="D698" s="10"/>
      <c r="E698" s="10"/>
      <c r="F698" s="10"/>
      <c r="G698" s="10"/>
      <c r="H698" s="10"/>
      <c r="O698" s="27"/>
      <c r="P698" s="27"/>
      <c r="Q698" s="27"/>
      <c r="R698" s="27"/>
    </row>
    <row r="699" spans="1:18" s="11" customFormat="1" x14ac:dyDescent="0.55000000000000004">
      <c r="A699" s="9"/>
      <c r="B699" s="10"/>
      <c r="C699" s="10"/>
      <c r="D699" s="10"/>
      <c r="E699" s="10"/>
      <c r="F699" s="10"/>
      <c r="G699" s="10"/>
      <c r="H699" s="10"/>
      <c r="O699" s="27"/>
      <c r="P699" s="27"/>
      <c r="Q699" s="27"/>
      <c r="R699" s="27"/>
    </row>
    <row r="700" spans="1:18" s="11" customFormat="1" x14ac:dyDescent="0.55000000000000004">
      <c r="A700" s="9"/>
      <c r="B700" s="10"/>
      <c r="C700" s="10"/>
      <c r="D700" s="10"/>
      <c r="E700" s="10"/>
      <c r="F700" s="10"/>
      <c r="G700" s="10"/>
      <c r="H700" s="10"/>
      <c r="O700" s="27"/>
      <c r="P700" s="27"/>
      <c r="Q700" s="27"/>
      <c r="R700" s="27"/>
    </row>
    <row r="701" spans="1:18" s="11" customFormat="1" x14ac:dyDescent="0.55000000000000004">
      <c r="A701" s="9"/>
      <c r="B701" s="10"/>
      <c r="C701" s="10"/>
      <c r="D701" s="10"/>
      <c r="E701" s="10"/>
      <c r="F701" s="10"/>
      <c r="G701" s="10"/>
      <c r="H701" s="10"/>
      <c r="O701" s="27"/>
      <c r="P701" s="27"/>
      <c r="Q701" s="27"/>
      <c r="R701" s="27"/>
    </row>
    <row r="702" spans="1:18" s="11" customFormat="1" x14ac:dyDescent="0.55000000000000004">
      <c r="A702" s="9"/>
      <c r="B702" s="10"/>
      <c r="C702" s="10"/>
      <c r="D702" s="10"/>
      <c r="E702" s="10"/>
      <c r="F702" s="10"/>
      <c r="G702" s="10"/>
      <c r="H702" s="10"/>
      <c r="O702" s="27"/>
      <c r="P702" s="27"/>
      <c r="Q702" s="27"/>
      <c r="R702" s="27"/>
    </row>
    <row r="703" spans="1:18" s="11" customFormat="1" x14ac:dyDescent="0.55000000000000004">
      <c r="A703" s="9"/>
      <c r="B703" s="10"/>
      <c r="C703" s="10"/>
      <c r="D703" s="10"/>
      <c r="E703" s="10"/>
      <c r="F703" s="10"/>
      <c r="G703" s="10"/>
      <c r="H703" s="10"/>
      <c r="O703" s="27"/>
      <c r="P703" s="27"/>
      <c r="Q703" s="27"/>
      <c r="R703" s="27"/>
    </row>
    <row r="704" spans="1:18" s="11" customFormat="1" x14ac:dyDescent="0.55000000000000004">
      <c r="A704" s="9"/>
      <c r="B704" s="10"/>
      <c r="C704" s="10"/>
      <c r="D704" s="10"/>
      <c r="E704" s="10"/>
      <c r="F704" s="10"/>
      <c r="G704" s="10"/>
      <c r="H704" s="10"/>
      <c r="O704" s="27"/>
      <c r="P704" s="27"/>
      <c r="Q704" s="27"/>
      <c r="R704" s="27"/>
    </row>
    <row r="705" spans="1:18" s="11" customFormat="1" x14ac:dyDescent="0.55000000000000004">
      <c r="A705" s="9"/>
      <c r="B705" s="10"/>
      <c r="C705" s="10"/>
      <c r="D705" s="10"/>
      <c r="E705" s="10"/>
      <c r="F705" s="10"/>
      <c r="G705" s="10"/>
      <c r="H705" s="10"/>
      <c r="O705" s="27"/>
      <c r="P705" s="27"/>
      <c r="Q705" s="27"/>
      <c r="R705" s="27"/>
    </row>
    <row r="706" spans="1:18" s="11" customFormat="1" x14ac:dyDescent="0.55000000000000004">
      <c r="A706" s="9"/>
      <c r="B706" s="10"/>
      <c r="C706" s="10"/>
      <c r="D706" s="10"/>
      <c r="E706" s="10"/>
      <c r="F706" s="10"/>
      <c r="G706" s="10"/>
      <c r="H706" s="10"/>
      <c r="O706" s="27"/>
      <c r="P706" s="27"/>
      <c r="Q706" s="27"/>
      <c r="R706" s="27"/>
    </row>
    <row r="707" spans="1:18" s="11" customFormat="1" x14ac:dyDescent="0.55000000000000004">
      <c r="A707" s="9"/>
      <c r="B707" s="10"/>
      <c r="C707" s="10"/>
      <c r="D707" s="10"/>
      <c r="E707" s="10"/>
      <c r="F707" s="10"/>
      <c r="G707" s="10"/>
      <c r="H707" s="10"/>
      <c r="O707" s="27"/>
      <c r="P707" s="27"/>
      <c r="Q707" s="27"/>
      <c r="R707" s="27"/>
    </row>
    <row r="708" spans="1:18" s="11" customFormat="1" x14ac:dyDescent="0.55000000000000004">
      <c r="A708" s="9"/>
      <c r="B708" s="10"/>
      <c r="C708" s="10"/>
      <c r="D708" s="10"/>
      <c r="E708" s="10"/>
      <c r="F708" s="10"/>
      <c r="G708" s="10"/>
      <c r="H708" s="10"/>
      <c r="O708" s="27"/>
      <c r="P708" s="27"/>
      <c r="Q708" s="27"/>
      <c r="R708" s="27"/>
    </row>
    <row r="709" spans="1:18" s="11" customFormat="1" x14ac:dyDescent="0.55000000000000004">
      <c r="A709" s="9"/>
      <c r="B709" s="10"/>
      <c r="C709" s="10"/>
      <c r="D709" s="10"/>
      <c r="E709" s="10"/>
      <c r="F709" s="10"/>
      <c r="G709" s="10"/>
      <c r="H709" s="10"/>
      <c r="O709" s="27"/>
      <c r="P709" s="27"/>
      <c r="Q709" s="27"/>
      <c r="R709" s="27"/>
    </row>
    <row r="710" spans="1:18" s="11" customFormat="1" x14ac:dyDescent="0.55000000000000004">
      <c r="A710" s="9"/>
      <c r="B710" s="10"/>
      <c r="C710" s="10"/>
      <c r="D710" s="10"/>
      <c r="E710" s="10"/>
      <c r="F710" s="10"/>
      <c r="G710" s="10"/>
      <c r="H710" s="10"/>
      <c r="O710" s="27"/>
      <c r="P710" s="27"/>
      <c r="Q710" s="27"/>
      <c r="R710" s="27"/>
    </row>
    <row r="711" spans="1:18" s="11" customFormat="1" x14ac:dyDescent="0.55000000000000004">
      <c r="A711" s="9"/>
      <c r="B711" s="10"/>
      <c r="C711" s="10"/>
      <c r="D711" s="10"/>
      <c r="E711" s="10"/>
      <c r="F711" s="10"/>
      <c r="G711" s="10"/>
      <c r="H711" s="10"/>
      <c r="O711" s="27"/>
      <c r="P711" s="27"/>
      <c r="Q711" s="27"/>
      <c r="R711" s="27"/>
    </row>
    <row r="712" spans="1:18" s="11" customFormat="1" x14ac:dyDescent="0.55000000000000004">
      <c r="A712" s="9"/>
      <c r="B712" s="10"/>
      <c r="C712" s="10"/>
      <c r="D712" s="10"/>
      <c r="E712" s="10"/>
      <c r="F712" s="10"/>
      <c r="G712" s="10"/>
      <c r="H712" s="10"/>
      <c r="O712" s="27"/>
      <c r="P712" s="27"/>
      <c r="Q712" s="27"/>
      <c r="R712" s="27"/>
    </row>
    <row r="713" spans="1:18" s="11" customFormat="1" x14ac:dyDescent="0.55000000000000004">
      <c r="A713" s="9"/>
      <c r="B713" s="10"/>
      <c r="C713" s="10"/>
      <c r="D713" s="10"/>
      <c r="E713" s="10"/>
      <c r="F713" s="10"/>
      <c r="G713" s="10"/>
      <c r="H713" s="10"/>
      <c r="O713" s="27"/>
      <c r="P713" s="27"/>
      <c r="Q713" s="27"/>
      <c r="R713" s="27"/>
    </row>
    <row r="714" spans="1:18" s="11" customFormat="1" x14ac:dyDescent="0.55000000000000004">
      <c r="A714" s="9"/>
      <c r="B714" s="10"/>
      <c r="C714" s="10"/>
      <c r="D714" s="10"/>
      <c r="E714" s="10"/>
      <c r="F714" s="10"/>
      <c r="G714" s="10"/>
      <c r="H714" s="10"/>
      <c r="O714" s="27"/>
      <c r="P714" s="27"/>
      <c r="Q714" s="27"/>
      <c r="R714" s="27"/>
    </row>
    <row r="715" spans="1:18" s="11" customFormat="1" x14ac:dyDescent="0.55000000000000004">
      <c r="A715" s="9"/>
      <c r="B715" s="10"/>
      <c r="C715" s="10"/>
      <c r="D715" s="10"/>
      <c r="E715" s="10"/>
      <c r="F715" s="10"/>
      <c r="G715" s="10"/>
      <c r="H715" s="10"/>
      <c r="O715" s="27"/>
      <c r="P715" s="27"/>
      <c r="Q715" s="27"/>
      <c r="R715" s="27"/>
    </row>
    <row r="716" spans="1:18" s="11" customFormat="1" x14ac:dyDescent="0.55000000000000004">
      <c r="A716" s="9"/>
      <c r="B716" s="10"/>
      <c r="C716" s="10"/>
      <c r="D716" s="10"/>
      <c r="E716" s="10"/>
      <c r="F716" s="10"/>
      <c r="G716" s="10"/>
      <c r="H716" s="10"/>
      <c r="O716" s="27"/>
      <c r="P716" s="27"/>
      <c r="Q716" s="27"/>
      <c r="R716" s="27"/>
    </row>
    <row r="717" spans="1:18" s="11" customFormat="1" x14ac:dyDescent="0.55000000000000004">
      <c r="A717" s="9"/>
      <c r="B717" s="10"/>
      <c r="C717" s="10"/>
      <c r="D717" s="10"/>
      <c r="E717" s="10"/>
      <c r="F717" s="10"/>
      <c r="G717" s="10"/>
      <c r="H717" s="10"/>
      <c r="O717" s="27"/>
      <c r="P717" s="27"/>
      <c r="Q717" s="27"/>
      <c r="R717" s="27"/>
    </row>
    <row r="718" spans="1:18" s="11" customFormat="1" x14ac:dyDescent="0.55000000000000004">
      <c r="A718" s="9"/>
      <c r="B718" s="10"/>
      <c r="C718" s="10"/>
      <c r="D718" s="10"/>
      <c r="E718" s="10"/>
      <c r="F718" s="10"/>
      <c r="G718" s="10"/>
      <c r="H718" s="10"/>
      <c r="O718" s="27"/>
      <c r="P718" s="27"/>
      <c r="Q718" s="27"/>
      <c r="R718" s="27"/>
    </row>
    <row r="719" spans="1:18" s="11" customFormat="1" x14ac:dyDescent="0.55000000000000004">
      <c r="A719" s="9"/>
      <c r="B719" s="10"/>
      <c r="C719" s="10"/>
      <c r="D719" s="10"/>
      <c r="E719" s="10"/>
      <c r="F719" s="10"/>
      <c r="G719" s="10"/>
      <c r="H719" s="10"/>
      <c r="O719" s="27"/>
      <c r="P719" s="27"/>
      <c r="Q719" s="27"/>
      <c r="R719" s="27"/>
    </row>
    <row r="720" spans="1:18" s="11" customFormat="1" x14ac:dyDescent="0.55000000000000004">
      <c r="A720" s="9"/>
      <c r="B720" s="10"/>
      <c r="C720" s="10"/>
      <c r="D720" s="10"/>
      <c r="E720" s="10"/>
      <c r="F720" s="10"/>
      <c r="G720" s="10"/>
      <c r="H720" s="10"/>
      <c r="O720" s="27"/>
      <c r="P720" s="27"/>
      <c r="Q720" s="27"/>
      <c r="R720" s="27"/>
    </row>
    <row r="721" spans="1:18" s="11" customFormat="1" x14ac:dyDescent="0.55000000000000004">
      <c r="A721" s="9"/>
      <c r="B721" s="10"/>
      <c r="C721" s="10"/>
      <c r="D721" s="10"/>
      <c r="E721" s="10"/>
      <c r="F721" s="10"/>
      <c r="G721" s="10"/>
      <c r="H721" s="10"/>
      <c r="O721" s="27"/>
      <c r="P721" s="27"/>
      <c r="Q721" s="27"/>
      <c r="R721" s="27"/>
    </row>
    <row r="722" spans="1:18" s="11" customFormat="1" x14ac:dyDescent="0.55000000000000004">
      <c r="A722" s="9"/>
      <c r="B722" s="10"/>
      <c r="C722" s="10"/>
      <c r="D722" s="10"/>
      <c r="E722" s="10"/>
      <c r="F722" s="10"/>
      <c r="G722" s="10"/>
      <c r="H722" s="10"/>
      <c r="O722" s="27"/>
      <c r="P722" s="27"/>
      <c r="Q722" s="27"/>
      <c r="R722" s="27"/>
    </row>
    <row r="723" spans="1:18" s="11" customFormat="1" x14ac:dyDescent="0.55000000000000004">
      <c r="A723" s="9"/>
      <c r="B723" s="10"/>
      <c r="C723" s="10"/>
      <c r="D723" s="10"/>
      <c r="E723" s="10"/>
      <c r="F723" s="10"/>
      <c r="G723" s="10"/>
      <c r="H723" s="10"/>
      <c r="O723" s="27"/>
      <c r="P723" s="27"/>
      <c r="Q723" s="27"/>
      <c r="R723" s="27"/>
    </row>
    <row r="724" spans="1:18" s="11" customFormat="1" x14ac:dyDescent="0.55000000000000004">
      <c r="A724" s="9"/>
      <c r="B724" s="10"/>
      <c r="C724" s="10"/>
      <c r="D724" s="10"/>
      <c r="E724" s="10"/>
      <c r="F724" s="10"/>
      <c r="G724" s="10"/>
      <c r="H724" s="10"/>
      <c r="O724" s="27"/>
      <c r="P724" s="27"/>
      <c r="Q724" s="27"/>
      <c r="R724" s="27"/>
    </row>
    <row r="725" spans="1:18" s="11" customFormat="1" x14ac:dyDescent="0.55000000000000004">
      <c r="A725" s="9"/>
      <c r="B725" s="10"/>
      <c r="C725" s="10"/>
      <c r="D725" s="10"/>
      <c r="E725" s="10"/>
      <c r="F725" s="10"/>
      <c r="G725" s="10"/>
      <c r="H725" s="10"/>
      <c r="O725" s="27"/>
      <c r="P725" s="27"/>
      <c r="Q725" s="27"/>
      <c r="R725" s="27"/>
    </row>
    <row r="726" spans="1:18" s="11" customFormat="1" x14ac:dyDescent="0.55000000000000004">
      <c r="A726" s="9"/>
      <c r="B726" s="10"/>
      <c r="C726" s="10"/>
      <c r="D726" s="10"/>
      <c r="E726" s="10"/>
      <c r="F726" s="10"/>
      <c r="G726" s="10"/>
      <c r="H726" s="10"/>
      <c r="O726" s="27"/>
      <c r="P726" s="27"/>
      <c r="Q726" s="27"/>
      <c r="R726" s="27"/>
    </row>
    <row r="727" spans="1:18" s="11" customFormat="1" x14ac:dyDescent="0.55000000000000004">
      <c r="A727" s="9"/>
      <c r="B727" s="10"/>
      <c r="C727" s="10"/>
      <c r="D727" s="10"/>
      <c r="E727" s="10"/>
      <c r="F727" s="10"/>
      <c r="G727" s="10"/>
      <c r="H727" s="10"/>
      <c r="O727" s="27"/>
      <c r="P727" s="27"/>
      <c r="Q727" s="27"/>
      <c r="R727" s="27"/>
    </row>
    <row r="728" spans="1:18" s="11" customFormat="1" x14ac:dyDescent="0.55000000000000004">
      <c r="A728" s="9"/>
      <c r="B728" s="10"/>
      <c r="C728" s="10"/>
      <c r="D728" s="10"/>
      <c r="E728" s="10"/>
      <c r="F728" s="10"/>
      <c r="G728" s="10"/>
      <c r="H728" s="10"/>
      <c r="O728" s="27"/>
      <c r="P728" s="27"/>
      <c r="Q728" s="27"/>
      <c r="R728" s="27"/>
    </row>
    <row r="729" spans="1:18" s="11" customFormat="1" x14ac:dyDescent="0.55000000000000004">
      <c r="A729" s="9"/>
      <c r="B729" s="10"/>
      <c r="C729" s="10"/>
      <c r="D729" s="10"/>
      <c r="E729" s="10"/>
      <c r="F729" s="10"/>
      <c r="G729" s="10"/>
      <c r="H729" s="10"/>
      <c r="O729" s="27"/>
      <c r="P729" s="27"/>
      <c r="Q729" s="27"/>
      <c r="R729" s="27"/>
    </row>
    <row r="730" spans="1:18" s="11" customFormat="1" x14ac:dyDescent="0.55000000000000004">
      <c r="A730" s="9"/>
      <c r="B730" s="10"/>
      <c r="C730" s="10"/>
      <c r="D730" s="10"/>
      <c r="E730" s="10"/>
      <c r="F730" s="10"/>
      <c r="G730" s="10"/>
      <c r="H730" s="10"/>
      <c r="O730" s="27"/>
      <c r="P730" s="27"/>
      <c r="Q730" s="27"/>
      <c r="R730" s="27"/>
    </row>
    <row r="731" spans="1:18" s="11" customFormat="1" x14ac:dyDescent="0.55000000000000004">
      <c r="A731" s="9"/>
      <c r="B731" s="10"/>
      <c r="C731" s="10"/>
      <c r="D731" s="10"/>
      <c r="E731" s="10"/>
      <c r="F731" s="10"/>
      <c r="G731" s="10"/>
      <c r="H731" s="10"/>
      <c r="O731" s="27"/>
      <c r="P731" s="27"/>
      <c r="Q731" s="27"/>
      <c r="R731" s="27"/>
    </row>
    <row r="732" spans="1:18" s="11" customFormat="1" x14ac:dyDescent="0.55000000000000004">
      <c r="A732" s="9"/>
      <c r="B732" s="10"/>
      <c r="C732" s="10"/>
      <c r="D732" s="10"/>
      <c r="E732" s="10"/>
      <c r="F732" s="10"/>
      <c r="G732" s="10"/>
      <c r="H732" s="10"/>
      <c r="O732" s="27"/>
      <c r="P732" s="27"/>
      <c r="Q732" s="27"/>
      <c r="R732" s="27"/>
    </row>
    <row r="733" spans="1:18" s="11" customFormat="1" x14ac:dyDescent="0.55000000000000004">
      <c r="A733" s="9"/>
      <c r="B733" s="10"/>
      <c r="C733" s="10"/>
      <c r="D733" s="10"/>
      <c r="E733" s="10"/>
      <c r="F733" s="10"/>
      <c r="G733" s="10"/>
      <c r="H733" s="10"/>
      <c r="O733" s="27"/>
      <c r="P733" s="27"/>
      <c r="Q733" s="27"/>
      <c r="R733" s="27"/>
    </row>
    <row r="734" spans="1:18" s="11" customFormat="1" x14ac:dyDescent="0.55000000000000004">
      <c r="A734" s="9"/>
      <c r="B734" s="10"/>
      <c r="C734" s="10"/>
      <c r="D734" s="10"/>
      <c r="E734" s="10"/>
      <c r="F734" s="10"/>
      <c r="G734" s="10"/>
      <c r="H734" s="10"/>
      <c r="O734" s="27"/>
      <c r="P734" s="27"/>
      <c r="Q734" s="27"/>
      <c r="R734" s="27"/>
    </row>
    <row r="735" spans="1:18" s="11" customFormat="1" x14ac:dyDescent="0.55000000000000004">
      <c r="A735" s="9"/>
      <c r="B735" s="10"/>
      <c r="C735" s="10"/>
      <c r="D735" s="10"/>
      <c r="E735" s="10"/>
      <c r="F735" s="10"/>
      <c r="G735" s="10"/>
      <c r="H735" s="10"/>
      <c r="O735" s="27"/>
      <c r="P735" s="27"/>
      <c r="Q735" s="27"/>
      <c r="R735" s="27"/>
    </row>
    <row r="736" spans="1:18" s="11" customFormat="1" x14ac:dyDescent="0.55000000000000004">
      <c r="A736" s="9"/>
      <c r="B736" s="10"/>
      <c r="C736" s="10"/>
      <c r="D736" s="10"/>
      <c r="E736" s="10"/>
      <c r="F736" s="10"/>
      <c r="G736" s="10"/>
      <c r="H736" s="10"/>
      <c r="O736" s="27"/>
      <c r="P736" s="27"/>
      <c r="Q736" s="27"/>
      <c r="R736" s="27"/>
    </row>
    <row r="737" spans="1:18" s="11" customFormat="1" x14ac:dyDescent="0.55000000000000004">
      <c r="A737" s="9"/>
      <c r="B737" s="10"/>
      <c r="C737" s="10"/>
      <c r="D737" s="10"/>
      <c r="E737" s="10"/>
      <c r="F737" s="10"/>
      <c r="G737" s="10"/>
      <c r="H737" s="10"/>
      <c r="O737" s="27"/>
      <c r="P737" s="27"/>
      <c r="Q737" s="27"/>
      <c r="R737" s="27"/>
    </row>
    <row r="738" spans="1:18" s="11" customFormat="1" x14ac:dyDescent="0.55000000000000004">
      <c r="A738" s="9"/>
      <c r="B738" s="10"/>
      <c r="C738" s="10"/>
      <c r="D738" s="10"/>
      <c r="E738" s="10"/>
      <c r="F738" s="10"/>
      <c r="G738" s="10"/>
      <c r="H738" s="10"/>
      <c r="O738" s="27"/>
      <c r="P738" s="27"/>
      <c r="Q738" s="27"/>
      <c r="R738" s="27"/>
    </row>
    <row r="739" spans="1:18" s="11" customFormat="1" x14ac:dyDescent="0.55000000000000004">
      <c r="A739" s="9"/>
      <c r="B739" s="10"/>
      <c r="C739" s="10"/>
      <c r="D739" s="10"/>
      <c r="E739" s="10"/>
      <c r="F739" s="10"/>
      <c r="G739" s="10"/>
      <c r="H739" s="10"/>
      <c r="O739" s="27"/>
      <c r="P739" s="27"/>
      <c r="Q739" s="27"/>
      <c r="R739" s="27"/>
    </row>
    <row r="740" spans="1:18" s="11" customFormat="1" x14ac:dyDescent="0.55000000000000004">
      <c r="A740" s="9"/>
      <c r="B740" s="10"/>
      <c r="C740" s="10"/>
      <c r="D740" s="10"/>
      <c r="E740" s="10"/>
      <c r="F740" s="10"/>
      <c r="G740" s="10"/>
      <c r="H740" s="10"/>
      <c r="O740" s="27"/>
      <c r="P740" s="27"/>
      <c r="Q740" s="27"/>
      <c r="R740" s="27"/>
    </row>
    <row r="741" spans="1:18" s="11" customFormat="1" x14ac:dyDescent="0.55000000000000004">
      <c r="A741" s="9"/>
      <c r="B741" s="10"/>
      <c r="C741" s="10"/>
      <c r="D741" s="10"/>
      <c r="E741" s="10"/>
      <c r="F741" s="10"/>
      <c r="G741" s="10"/>
      <c r="H741" s="10"/>
      <c r="O741" s="27"/>
      <c r="P741" s="27"/>
      <c r="Q741" s="27"/>
      <c r="R741" s="27"/>
    </row>
    <row r="742" spans="1:18" s="11" customFormat="1" x14ac:dyDescent="0.55000000000000004">
      <c r="A742" s="9"/>
      <c r="B742" s="10"/>
      <c r="C742" s="10"/>
      <c r="D742" s="10"/>
      <c r="E742" s="10"/>
      <c r="F742" s="10"/>
      <c r="G742" s="10"/>
      <c r="H742" s="10"/>
      <c r="O742" s="27"/>
      <c r="P742" s="27"/>
      <c r="Q742" s="27"/>
      <c r="R742" s="27"/>
    </row>
    <row r="743" spans="1:18" s="11" customFormat="1" x14ac:dyDescent="0.55000000000000004">
      <c r="A743" s="9"/>
      <c r="B743" s="10"/>
      <c r="C743" s="10"/>
      <c r="D743" s="10"/>
      <c r="E743" s="10"/>
      <c r="F743" s="10"/>
      <c r="G743" s="10"/>
      <c r="H743" s="10"/>
      <c r="O743" s="27"/>
      <c r="P743" s="27"/>
      <c r="Q743" s="27"/>
      <c r="R743" s="27"/>
    </row>
    <row r="744" spans="1:18" s="11" customFormat="1" x14ac:dyDescent="0.55000000000000004">
      <c r="A744" s="9"/>
      <c r="B744" s="10"/>
      <c r="C744" s="10"/>
      <c r="D744" s="10"/>
      <c r="E744" s="10"/>
      <c r="F744" s="10"/>
      <c r="G744" s="10"/>
      <c r="H744" s="10"/>
      <c r="O744" s="27"/>
      <c r="P744" s="27"/>
      <c r="Q744" s="27"/>
      <c r="R744" s="27"/>
    </row>
    <row r="745" spans="1:18" s="11" customFormat="1" x14ac:dyDescent="0.55000000000000004">
      <c r="A745" s="9"/>
      <c r="B745" s="10"/>
      <c r="C745" s="10"/>
      <c r="D745" s="10"/>
      <c r="E745" s="10"/>
      <c r="F745" s="10"/>
      <c r="G745" s="10"/>
      <c r="H745" s="10"/>
      <c r="O745" s="27"/>
      <c r="P745" s="27"/>
      <c r="Q745" s="27"/>
      <c r="R745" s="27"/>
    </row>
    <row r="746" spans="1:18" s="11" customFormat="1" x14ac:dyDescent="0.55000000000000004">
      <c r="A746" s="9"/>
      <c r="B746" s="10"/>
      <c r="C746" s="10"/>
      <c r="D746" s="10"/>
      <c r="E746" s="10"/>
      <c r="F746" s="10"/>
      <c r="G746" s="10"/>
      <c r="H746" s="10"/>
      <c r="O746" s="27"/>
      <c r="P746" s="27"/>
      <c r="Q746" s="27"/>
      <c r="R746" s="27"/>
    </row>
    <row r="747" spans="1:18" s="11" customFormat="1" x14ac:dyDescent="0.55000000000000004">
      <c r="A747" s="9"/>
      <c r="B747" s="10"/>
      <c r="C747" s="10"/>
      <c r="D747" s="10"/>
      <c r="E747" s="10"/>
      <c r="F747" s="10"/>
      <c r="G747" s="10"/>
      <c r="H747" s="10"/>
      <c r="O747" s="27"/>
      <c r="P747" s="27"/>
      <c r="Q747" s="27"/>
      <c r="R747" s="27"/>
    </row>
    <row r="748" spans="1:18" s="11" customFormat="1" x14ac:dyDescent="0.55000000000000004">
      <c r="A748" s="9"/>
      <c r="B748" s="10"/>
      <c r="C748" s="10"/>
      <c r="D748" s="10"/>
      <c r="E748" s="10"/>
      <c r="F748" s="10"/>
      <c r="G748" s="10"/>
      <c r="H748" s="10"/>
      <c r="O748" s="27"/>
      <c r="P748" s="27"/>
      <c r="Q748" s="27"/>
      <c r="R748" s="27"/>
    </row>
    <row r="749" spans="1:18" s="11" customFormat="1" x14ac:dyDescent="0.55000000000000004">
      <c r="A749" s="9"/>
      <c r="B749" s="10"/>
      <c r="C749" s="10"/>
      <c r="D749" s="10"/>
      <c r="E749" s="10"/>
      <c r="F749" s="10"/>
      <c r="G749" s="10"/>
      <c r="H749" s="10"/>
      <c r="O749" s="27"/>
      <c r="P749" s="27"/>
      <c r="Q749" s="27"/>
      <c r="R749" s="27"/>
    </row>
    <row r="750" spans="1:18" s="11" customFormat="1" x14ac:dyDescent="0.55000000000000004">
      <c r="A750" s="9"/>
      <c r="B750" s="10"/>
      <c r="C750" s="10"/>
      <c r="D750" s="10"/>
      <c r="E750" s="10"/>
      <c r="F750" s="10"/>
      <c r="G750" s="10"/>
      <c r="H750" s="10"/>
      <c r="O750" s="27"/>
      <c r="P750" s="27"/>
      <c r="Q750" s="27"/>
      <c r="R750" s="27"/>
    </row>
    <row r="751" spans="1:18" s="11" customFormat="1" x14ac:dyDescent="0.55000000000000004">
      <c r="A751" s="9"/>
      <c r="B751" s="10"/>
      <c r="C751" s="10"/>
      <c r="D751" s="10"/>
      <c r="E751" s="10"/>
      <c r="F751" s="10"/>
      <c r="G751" s="10"/>
      <c r="H751" s="10"/>
      <c r="O751" s="27"/>
      <c r="P751" s="27"/>
      <c r="Q751" s="27"/>
      <c r="R751" s="27"/>
    </row>
    <row r="752" spans="1:18" s="11" customFormat="1" x14ac:dyDescent="0.55000000000000004">
      <c r="A752" s="9"/>
      <c r="B752" s="10"/>
      <c r="C752" s="10"/>
      <c r="D752" s="10"/>
      <c r="E752" s="10"/>
      <c r="F752" s="10"/>
      <c r="G752" s="10"/>
      <c r="H752" s="10"/>
      <c r="O752" s="27"/>
      <c r="P752" s="27"/>
      <c r="Q752" s="27"/>
      <c r="R752" s="27"/>
    </row>
    <row r="753" spans="1:18" s="11" customFormat="1" x14ac:dyDescent="0.55000000000000004">
      <c r="A753" s="9"/>
      <c r="B753" s="10"/>
      <c r="C753" s="10"/>
      <c r="D753" s="10"/>
      <c r="E753" s="10"/>
      <c r="F753" s="10"/>
      <c r="G753" s="10"/>
      <c r="H753" s="10"/>
      <c r="O753" s="27"/>
      <c r="P753" s="27"/>
      <c r="Q753" s="27"/>
      <c r="R753" s="27"/>
    </row>
    <row r="754" spans="1:18" s="11" customFormat="1" x14ac:dyDescent="0.55000000000000004">
      <c r="A754" s="9"/>
      <c r="B754" s="10"/>
      <c r="C754" s="10"/>
      <c r="D754" s="10"/>
      <c r="E754" s="10"/>
      <c r="F754" s="10"/>
      <c r="G754" s="10"/>
      <c r="H754" s="10"/>
      <c r="O754" s="27"/>
      <c r="P754" s="27"/>
      <c r="Q754" s="27"/>
      <c r="R754" s="27"/>
    </row>
    <row r="755" spans="1:18" s="11" customFormat="1" x14ac:dyDescent="0.55000000000000004">
      <c r="A755" s="9"/>
      <c r="B755" s="10"/>
      <c r="C755" s="10"/>
      <c r="D755" s="10"/>
      <c r="E755" s="10"/>
      <c r="F755" s="10"/>
      <c r="G755" s="10"/>
      <c r="H755" s="10"/>
      <c r="O755" s="27"/>
      <c r="P755" s="27"/>
      <c r="Q755" s="27"/>
      <c r="R755" s="27"/>
    </row>
    <row r="756" spans="1:18" s="11" customFormat="1" x14ac:dyDescent="0.55000000000000004">
      <c r="A756" s="9"/>
      <c r="B756" s="10"/>
      <c r="C756" s="10"/>
      <c r="D756" s="10"/>
      <c r="E756" s="10"/>
      <c r="F756" s="10"/>
      <c r="G756" s="10"/>
      <c r="H756" s="10"/>
      <c r="O756" s="27"/>
      <c r="P756" s="27"/>
      <c r="Q756" s="27"/>
      <c r="R756" s="27"/>
    </row>
    <row r="757" spans="1:18" s="11" customFormat="1" x14ac:dyDescent="0.55000000000000004">
      <c r="A757" s="9"/>
      <c r="B757" s="10"/>
      <c r="C757" s="10"/>
      <c r="D757" s="10"/>
      <c r="E757" s="10"/>
      <c r="F757" s="10"/>
      <c r="G757" s="10"/>
      <c r="H757" s="10"/>
      <c r="O757" s="27"/>
      <c r="P757" s="27"/>
      <c r="Q757" s="27"/>
      <c r="R757" s="27"/>
    </row>
    <row r="758" spans="1:18" s="11" customFormat="1" x14ac:dyDescent="0.55000000000000004">
      <c r="A758" s="9"/>
      <c r="B758" s="10"/>
      <c r="C758" s="10"/>
      <c r="D758" s="10"/>
      <c r="E758" s="10"/>
      <c r="F758" s="10"/>
      <c r="G758" s="10"/>
      <c r="H758" s="10"/>
      <c r="O758" s="27"/>
      <c r="P758" s="27"/>
      <c r="Q758" s="27"/>
      <c r="R758" s="27"/>
    </row>
    <row r="759" spans="1:18" s="11" customFormat="1" x14ac:dyDescent="0.55000000000000004">
      <c r="A759" s="9"/>
      <c r="B759" s="10"/>
      <c r="C759" s="10"/>
      <c r="D759" s="10"/>
      <c r="E759" s="10"/>
      <c r="F759" s="10"/>
      <c r="G759" s="10"/>
      <c r="H759" s="10"/>
      <c r="O759" s="27"/>
      <c r="P759" s="27"/>
      <c r="Q759" s="27"/>
      <c r="R759" s="27"/>
    </row>
    <row r="760" spans="1:18" s="11" customFormat="1" x14ac:dyDescent="0.55000000000000004">
      <c r="A760" s="9"/>
      <c r="B760" s="10"/>
      <c r="C760" s="10"/>
      <c r="D760" s="10"/>
      <c r="E760" s="10"/>
      <c r="F760" s="10"/>
      <c r="G760" s="10"/>
      <c r="H760" s="10"/>
      <c r="O760" s="27"/>
      <c r="P760" s="27"/>
      <c r="Q760" s="27"/>
      <c r="R760" s="27"/>
    </row>
    <row r="761" spans="1:18" s="11" customFormat="1" x14ac:dyDescent="0.55000000000000004">
      <c r="A761" s="9"/>
      <c r="B761" s="10"/>
      <c r="C761" s="10"/>
      <c r="D761" s="10"/>
      <c r="E761" s="10"/>
      <c r="F761" s="10"/>
      <c r="G761" s="10"/>
      <c r="H761" s="10"/>
      <c r="O761" s="27"/>
      <c r="P761" s="27"/>
      <c r="Q761" s="27"/>
      <c r="R761" s="27"/>
    </row>
    <row r="762" spans="1:18" s="11" customFormat="1" x14ac:dyDescent="0.55000000000000004">
      <c r="A762" s="9"/>
      <c r="B762" s="10"/>
      <c r="C762" s="10"/>
      <c r="D762" s="10"/>
      <c r="E762" s="10"/>
      <c r="F762" s="10"/>
      <c r="G762" s="10"/>
      <c r="H762" s="10"/>
      <c r="O762" s="27"/>
      <c r="P762" s="27"/>
      <c r="Q762" s="27"/>
      <c r="R762" s="27"/>
    </row>
    <row r="763" spans="1:18" s="11" customFormat="1" x14ac:dyDescent="0.55000000000000004">
      <c r="A763" s="9"/>
      <c r="B763" s="10"/>
      <c r="C763" s="10"/>
      <c r="D763" s="10"/>
      <c r="E763" s="10"/>
      <c r="F763" s="10"/>
      <c r="G763" s="10"/>
      <c r="H763" s="10"/>
      <c r="O763" s="27"/>
      <c r="P763" s="27"/>
      <c r="Q763" s="27"/>
      <c r="R763" s="27"/>
    </row>
    <row r="764" spans="1:18" s="11" customFormat="1" x14ac:dyDescent="0.55000000000000004">
      <c r="A764" s="9"/>
      <c r="B764" s="10"/>
      <c r="C764" s="10"/>
      <c r="D764" s="10"/>
      <c r="E764" s="10"/>
      <c r="F764" s="10"/>
      <c r="G764" s="10"/>
      <c r="H764" s="10"/>
      <c r="O764" s="27"/>
      <c r="P764" s="27"/>
      <c r="Q764" s="27"/>
      <c r="R764" s="27"/>
    </row>
    <row r="765" spans="1:18" s="11" customFormat="1" x14ac:dyDescent="0.55000000000000004">
      <c r="A765" s="9"/>
      <c r="B765" s="10"/>
      <c r="C765" s="10"/>
      <c r="D765" s="10"/>
      <c r="E765" s="10"/>
      <c r="F765" s="10"/>
      <c r="G765" s="10"/>
      <c r="H765" s="10"/>
      <c r="O765" s="27"/>
      <c r="P765" s="27"/>
      <c r="Q765" s="27"/>
      <c r="R765" s="27"/>
    </row>
    <row r="766" spans="1:18" s="11" customFormat="1" x14ac:dyDescent="0.55000000000000004">
      <c r="A766" s="9"/>
      <c r="B766" s="10"/>
      <c r="C766" s="10"/>
      <c r="D766" s="10"/>
      <c r="E766" s="10"/>
      <c r="F766" s="10"/>
      <c r="G766" s="10"/>
      <c r="H766" s="10"/>
      <c r="O766" s="27"/>
      <c r="P766" s="27"/>
      <c r="Q766" s="27"/>
      <c r="R766" s="27"/>
    </row>
    <row r="767" spans="1:18" s="11" customFormat="1" x14ac:dyDescent="0.55000000000000004">
      <c r="A767" s="9"/>
      <c r="B767" s="10"/>
      <c r="C767" s="10"/>
      <c r="D767" s="10"/>
      <c r="E767" s="10"/>
      <c r="F767" s="10"/>
      <c r="G767" s="10"/>
      <c r="H767" s="10"/>
      <c r="O767" s="27"/>
      <c r="P767" s="27"/>
      <c r="Q767" s="27"/>
      <c r="R767" s="27"/>
    </row>
    <row r="768" spans="1:18" s="11" customFormat="1" x14ac:dyDescent="0.55000000000000004">
      <c r="A768" s="9"/>
      <c r="B768" s="10"/>
      <c r="C768" s="10"/>
      <c r="D768" s="10"/>
      <c r="E768" s="10"/>
      <c r="F768" s="10"/>
      <c r="G768" s="10"/>
      <c r="H768" s="10"/>
      <c r="O768" s="27"/>
      <c r="P768" s="27"/>
      <c r="Q768" s="27"/>
      <c r="R768" s="27"/>
    </row>
    <row r="769" spans="1:18" s="11" customFormat="1" x14ac:dyDescent="0.55000000000000004">
      <c r="A769" s="9"/>
      <c r="B769" s="10"/>
      <c r="C769" s="10"/>
      <c r="D769" s="10"/>
      <c r="E769" s="10"/>
      <c r="F769" s="10"/>
      <c r="G769" s="10"/>
      <c r="H769" s="10"/>
      <c r="O769" s="27"/>
      <c r="P769" s="27"/>
      <c r="Q769" s="27"/>
      <c r="R769" s="27"/>
    </row>
    <row r="770" spans="1:18" s="11" customFormat="1" x14ac:dyDescent="0.55000000000000004">
      <c r="A770" s="9"/>
      <c r="B770" s="10"/>
      <c r="C770" s="10"/>
      <c r="D770" s="10"/>
      <c r="E770" s="10"/>
      <c r="F770" s="10"/>
      <c r="G770" s="10"/>
      <c r="H770" s="10"/>
      <c r="O770" s="27"/>
      <c r="P770" s="27"/>
      <c r="Q770" s="27"/>
      <c r="R770" s="27"/>
    </row>
    <row r="771" spans="1:18" s="11" customFormat="1" x14ac:dyDescent="0.55000000000000004">
      <c r="A771" s="9"/>
      <c r="B771" s="10"/>
      <c r="C771" s="10"/>
      <c r="D771" s="10"/>
      <c r="E771" s="10"/>
      <c r="F771" s="10"/>
      <c r="G771" s="10"/>
      <c r="H771" s="10"/>
      <c r="O771" s="27"/>
      <c r="P771" s="27"/>
      <c r="Q771" s="27"/>
      <c r="R771" s="27"/>
    </row>
    <row r="772" spans="1:18" s="11" customFormat="1" x14ac:dyDescent="0.55000000000000004">
      <c r="A772" s="9"/>
      <c r="B772" s="10"/>
      <c r="C772" s="10"/>
      <c r="D772" s="10"/>
      <c r="E772" s="10"/>
      <c r="F772" s="10"/>
      <c r="G772" s="10"/>
      <c r="H772" s="10"/>
      <c r="O772" s="27"/>
      <c r="P772" s="27"/>
      <c r="Q772" s="27"/>
      <c r="R772" s="27"/>
    </row>
    <row r="773" spans="1:18" s="11" customFormat="1" x14ac:dyDescent="0.55000000000000004">
      <c r="A773" s="9"/>
      <c r="B773" s="10"/>
      <c r="C773" s="10"/>
      <c r="D773" s="10"/>
      <c r="E773" s="10"/>
      <c r="F773" s="10"/>
      <c r="G773" s="10"/>
      <c r="H773" s="10"/>
      <c r="O773" s="27"/>
      <c r="P773" s="27"/>
      <c r="Q773" s="27"/>
      <c r="R773" s="27"/>
    </row>
    <row r="774" spans="1:18" s="11" customFormat="1" x14ac:dyDescent="0.55000000000000004">
      <c r="A774" s="9"/>
      <c r="B774" s="10"/>
      <c r="C774" s="10"/>
      <c r="D774" s="10"/>
      <c r="E774" s="10"/>
      <c r="F774" s="10"/>
      <c r="G774" s="10"/>
      <c r="H774" s="10"/>
      <c r="O774" s="27"/>
      <c r="P774" s="27"/>
      <c r="Q774" s="27"/>
      <c r="R774" s="27"/>
    </row>
    <row r="775" spans="1:18" s="11" customFormat="1" x14ac:dyDescent="0.55000000000000004">
      <c r="A775" s="9"/>
      <c r="B775" s="10"/>
      <c r="C775" s="10"/>
      <c r="D775" s="10"/>
      <c r="E775" s="10"/>
      <c r="F775" s="10"/>
      <c r="G775" s="10"/>
      <c r="H775" s="10"/>
      <c r="O775" s="27"/>
      <c r="P775" s="27"/>
      <c r="Q775" s="27"/>
      <c r="R775" s="27"/>
    </row>
    <row r="776" spans="1:18" s="11" customFormat="1" x14ac:dyDescent="0.55000000000000004">
      <c r="A776" s="9"/>
      <c r="B776" s="10"/>
      <c r="C776" s="10"/>
      <c r="D776" s="10"/>
      <c r="E776" s="10"/>
      <c r="F776" s="10"/>
      <c r="G776" s="10"/>
      <c r="H776" s="10"/>
      <c r="O776" s="27"/>
      <c r="P776" s="27"/>
      <c r="Q776" s="27"/>
      <c r="R776" s="27"/>
    </row>
    <row r="777" spans="1:18" s="11" customFormat="1" x14ac:dyDescent="0.55000000000000004">
      <c r="A777" s="9"/>
      <c r="B777" s="10"/>
      <c r="C777" s="10"/>
      <c r="D777" s="10"/>
      <c r="E777" s="10"/>
      <c r="F777" s="10"/>
      <c r="G777" s="10"/>
      <c r="H777" s="10"/>
      <c r="O777" s="27"/>
      <c r="P777" s="27"/>
      <c r="Q777" s="27"/>
      <c r="R777" s="27"/>
    </row>
    <row r="778" spans="1:18" s="11" customFormat="1" x14ac:dyDescent="0.55000000000000004">
      <c r="A778" s="9"/>
      <c r="B778" s="10"/>
      <c r="C778" s="10"/>
      <c r="D778" s="10"/>
      <c r="E778" s="10"/>
      <c r="F778" s="10"/>
      <c r="G778" s="10"/>
      <c r="H778" s="10"/>
      <c r="O778" s="27"/>
      <c r="P778" s="27"/>
      <c r="Q778" s="27"/>
      <c r="R778" s="27"/>
    </row>
    <row r="779" spans="1:18" s="11" customFormat="1" x14ac:dyDescent="0.55000000000000004">
      <c r="A779" s="9"/>
      <c r="B779" s="10"/>
      <c r="C779" s="10"/>
      <c r="D779" s="10"/>
      <c r="E779" s="10"/>
      <c r="F779" s="10"/>
      <c r="G779" s="10"/>
      <c r="H779" s="10"/>
      <c r="O779" s="27"/>
      <c r="P779" s="27"/>
      <c r="Q779" s="27"/>
      <c r="R779" s="27"/>
    </row>
    <row r="780" spans="1:18" s="11" customFormat="1" x14ac:dyDescent="0.55000000000000004">
      <c r="A780" s="9"/>
      <c r="B780" s="10"/>
      <c r="C780" s="10"/>
      <c r="D780" s="10"/>
      <c r="E780" s="10"/>
      <c r="F780" s="10"/>
      <c r="G780" s="10"/>
      <c r="H780" s="10"/>
      <c r="O780" s="27"/>
      <c r="P780" s="27"/>
      <c r="Q780" s="27"/>
      <c r="R780" s="27"/>
    </row>
    <row r="781" spans="1:18" s="11" customFormat="1" x14ac:dyDescent="0.55000000000000004">
      <c r="A781" s="9"/>
      <c r="B781" s="10"/>
      <c r="C781" s="10"/>
      <c r="D781" s="10"/>
      <c r="E781" s="10"/>
      <c r="F781" s="10"/>
      <c r="G781" s="10"/>
      <c r="H781" s="10"/>
      <c r="O781" s="27"/>
      <c r="P781" s="27"/>
      <c r="Q781" s="27"/>
      <c r="R781" s="27"/>
    </row>
    <row r="782" spans="1:18" s="11" customFormat="1" x14ac:dyDescent="0.55000000000000004">
      <c r="A782" s="9"/>
      <c r="B782" s="10"/>
      <c r="C782" s="10"/>
      <c r="D782" s="10"/>
      <c r="E782" s="10"/>
      <c r="F782" s="10"/>
      <c r="G782" s="10"/>
      <c r="H782" s="10"/>
      <c r="O782" s="27"/>
      <c r="P782" s="27"/>
      <c r="Q782" s="27"/>
      <c r="R782" s="27"/>
    </row>
    <row r="783" spans="1:18" s="11" customFormat="1" x14ac:dyDescent="0.55000000000000004">
      <c r="A783" s="9"/>
      <c r="B783" s="10"/>
      <c r="C783" s="10"/>
      <c r="D783" s="10"/>
      <c r="E783" s="10"/>
      <c r="F783" s="10"/>
      <c r="G783" s="10"/>
      <c r="H783" s="10"/>
      <c r="O783" s="27"/>
      <c r="P783" s="27"/>
      <c r="Q783" s="27"/>
      <c r="R783" s="27"/>
    </row>
    <row r="784" spans="1:18" s="11" customFormat="1" x14ac:dyDescent="0.55000000000000004">
      <c r="A784" s="9"/>
      <c r="B784" s="10"/>
      <c r="C784" s="10"/>
      <c r="D784" s="10"/>
      <c r="E784" s="10"/>
      <c r="F784" s="10"/>
      <c r="G784" s="10"/>
      <c r="H784" s="10"/>
      <c r="O784" s="27"/>
      <c r="P784" s="27"/>
      <c r="Q784" s="27"/>
      <c r="R784" s="27"/>
    </row>
    <row r="785" spans="1:18" s="11" customFormat="1" x14ac:dyDescent="0.55000000000000004">
      <c r="A785" s="9"/>
      <c r="B785" s="10"/>
      <c r="C785" s="10"/>
      <c r="D785" s="10"/>
      <c r="E785" s="10"/>
      <c r="F785" s="10"/>
      <c r="G785" s="10"/>
      <c r="H785" s="10"/>
      <c r="O785" s="27"/>
      <c r="P785" s="27"/>
      <c r="Q785" s="27"/>
      <c r="R785" s="27"/>
    </row>
    <row r="786" spans="1:18" s="11" customFormat="1" x14ac:dyDescent="0.55000000000000004">
      <c r="A786" s="9"/>
      <c r="B786" s="10"/>
      <c r="C786" s="10"/>
      <c r="D786" s="10"/>
      <c r="E786" s="10"/>
      <c r="F786" s="10"/>
      <c r="G786" s="10"/>
      <c r="H786" s="10"/>
      <c r="O786" s="27"/>
      <c r="P786" s="27"/>
      <c r="Q786" s="27"/>
      <c r="R786" s="27"/>
    </row>
    <row r="787" spans="1:18" s="11" customFormat="1" x14ac:dyDescent="0.55000000000000004">
      <c r="A787" s="9"/>
      <c r="B787" s="10"/>
      <c r="C787" s="10"/>
      <c r="D787" s="10"/>
      <c r="E787" s="10"/>
      <c r="F787" s="10"/>
      <c r="G787" s="10"/>
      <c r="H787" s="10"/>
      <c r="O787" s="27"/>
      <c r="P787" s="27"/>
      <c r="Q787" s="27"/>
      <c r="R787" s="27"/>
    </row>
    <row r="788" spans="1:18" s="11" customFormat="1" x14ac:dyDescent="0.55000000000000004">
      <c r="A788" s="9"/>
      <c r="B788" s="10"/>
      <c r="C788" s="10"/>
      <c r="D788" s="10"/>
      <c r="E788" s="10"/>
      <c r="F788" s="10"/>
      <c r="G788" s="10"/>
      <c r="H788" s="10"/>
      <c r="O788" s="27"/>
      <c r="P788" s="27"/>
      <c r="Q788" s="27"/>
      <c r="R788" s="27"/>
    </row>
    <row r="789" spans="1:18" s="11" customFormat="1" x14ac:dyDescent="0.55000000000000004">
      <c r="A789" s="9"/>
      <c r="B789" s="10"/>
      <c r="C789" s="10"/>
      <c r="D789" s="10"/>
      <c r="E789" s="10"/>
      <c r="F789" s="10"/>
      <c r="G789" s="10"/>
      <c r="H789" s="10"/>
      <c r="O789" s="27"/>
      <c r="P789" s="27"/>
      <c r="Q789" s="27"/>
      <c r="R789" s="27"/>
    </row>
    <row r="790" spans="1:18" s="11" customFormat="1" x14ac:dyDescent="0.55000000000000004">
      <c r="A790" s="9"/>
      <c r="B790" s="10"/>
      <c r="C790" s="10"/>
      <c r="D790" s="10"/>
      <c r="E790" s="10"/>
      <c r="F790" s="10"/>
      <c r="G790" s="10"/>
      <c r="H790" s="10"/>
      <c r="O790" s="27"/>
      <c r="P790" s="27"/>
      <c r="Q790" s="27"/>
      <c r="R790" s="27"/>
    </row>
    <row r="791" spans="1:18" s="11" customFormat="1" x14ac:dyDescent="0.55000000000000004">
      <c r="A791" s="9"/>
      <c r="B791" s="10"/>
      <c r="C791" s="10"/>
      <c r="D791" s="10"/>
      <c r="E791" s="10"/>
      <c r="F791" s="10"/>
      <c r="G791" s="10"/>
      <c r="H791" s="10"/>
      <c r="O791" s="27"/>
      <c r="P791" s="27"/>
      <c r="Q791" s="27"/>
      <c r="R791" s="27"/>
    </row>
    <row r="792" spans="1:18" s="11" customFormat="1" x14ac:dyDescent="0.55000000000000004">
      <c r="A792" s="9"/>
      <c r="B792" s="10"/>
      <c r="C792" s="10"/>
      <c r="D792" s="10"/>
      <c r="E792" s="10"/>
      <c r="F792" s="10"/>
      <c r="G792" s="10"/>
      <c r="H792" s="10"/>
      <c r="O792" s="27"/>
      <c r="P792" s="27"/>
      <c r="Q792" s="27"/>
      <c r="R792" s="27"/>
    </row>
    <row r="793" spans="1:18" s="11" customFormat="1" x14ac:dyDescent="0.55000000000000004">
      <c r="A793" s="9"/>
      <c r="B793" s="10"/>
      <c r="C793" s="10"/>
      <c r="D793" s="10"/>
      <c r="E793" s="10"/>
      <c r="F793" s="10"/>
      <c r="G793" s="10"/>
      <c r="H793" s="10"/>
      <c r="O793" s="27"/>
      <c r="P793" s="27"/>
      <c r="Q793" s="27"/>
      <c r="R793" s="27"/>
    </row>
    <row r="794" spans="1:18" s="11" customFormat="1" x14ac:dyDescent="0.55000000000000004">
      <c r="A794" s="9"/>
      <c r="B794" s="10"/>
      <c r="C794" s="10"/>
      <c r="D794" s="10"/>
      <c r="E794" s="10"/>
      <c r="F794" s="10"/>
      <c r="G794" s="10"/>
      <c r="H794" s="10"/>
      <c r="O794" s="27"/>
      <c r="P794" s="27"/>
      <c r="Q794" s="27"/>
      <c r="R794" s="27"/>
    </row>
    <row r="795" spans="1:18" s="11" customFormat="1" x14ac:dyDescent="0.55000000000000004">
      <c r="A795" s="9"/>
      <c r="B795" s="10"/>
      <c r="C795" s="10"/>
      <c r="D795" s="10"/>
      <c r="E795" s="10"/>
      <c r="F795" s="10"/>
      <c r="G795" s="10"/>
      <c r="H795" s="10"/>
      <c r="O795" s="27"/>
      <c r="P795" s="27"/>
      <c r="Q795" s="27"/>
      <c r="R795" s="27"/>
    </row>
    <row r="796" spans="1:18" s="11" customFormat="1" x14ac:dyDescent="0.55000000000000004">
      <c r="A796" s="9"/>
      <c r="B796" s="10"/>
      <c r="C796" s="10"/>
      <c r="D796" s="10"/>
      <c r="E796" s="10"/>
      <c r="F796" s="10"/>
      <c r="G796" s="10"/>
      <c r="H796" s="10"/>
      <c r="O796" s="27"/>
      <c r="P796" s="27"/>
      <c r="Q796" s="27"/>
      <c r="R796" s="27"/>
    </row>
    <row r="797" spans="1:18" s="11" customFormat="1" x14ac:dyDescent="0.55000000000000004">
      <c r="A797" s="9"/>
      <c r="B797" s="10"/>
      <c r="C797" s="10"/>
      <c r="D797" s="10"/>
      <c r="E797" s="10"/>
      <c r="F797" s="10"/>
      <c r="G797" s="10"/>
      <c r="H797" s="10"/>
      <c r="O797" s="27"/>
      <c r="P797" s="27"/>
      <c r="Q797" s="27"/>
      <c r="R797" s="27"/>
    </row>
    <row r="798" spans="1:18" s="11" customFormat="1" x14ac:dyDescent="0.55000000000000004">
      <c r="A798" s="9"/>
      <c r="B798" s="10"/>
      <c r="C798" s="10"/>
      <c r="D798" s="10"/>
      <c r="E798" s="10"/>
      <c r="F798" s="10"/>
      <c r="G798" s="10"/>
      <c r="H798" s="10"/>
      <c r="O798" s="27"/>
      <c r="P798" s="27"/>
      <c r="Q798" s="27"/>
      <c r="R798" s="27"/>
    </row>
    <row r="799" spans="1:18" s="11" customFormat="1" x14ac:dyDescent="0.55000000000000004">
      <c r="A799" s="9"/>
      <c r="B799" s="10"/>
      <c r="C799" s="10"/>
      <c r="D799" s="10"/>
      <c r="E799" s="10"/>
      <c r="F799" s="10"/>
      <c r="G799" s="10"/>
      <c r="H799" s="10"/>
      <c r="O799" s="27"/>
      <c r="P799" s="27"/>
      <c r="Q799" s="27"/>
      <c r="R799" s="27"/>
    </row>
    <row r="800" spans="1:18" s="11" customFormat="1" x14ac:dyDescent="0.55000000000000004">
      <c r="A800" s="9"/>
      <c r="B800" s="10"/>
      <c r="C800" s="10"/>
      <c r="D800" s="10"/>
      <c r="E800" s="10"/>
      <c r="F800" s="10"/>
      <c r="G800" s="10"/>
      <c r="H800" s="10"/>
      <c r="O800" s="27"/>
      <c r="P800" s="27"/>
      <c r="Q800" s="27"/>
      <c r="R800" s="27"/>
    </row>
    <row r="801" spans="1:18" s="11" customFormat="1" x14ac:dyDescent="0.55000000000000004">
      <c r="A801" s="9"/>
      <c r="B801" s="10"/>
      <c r="C801" s="10"/>
      <c r="D801" s="10"/>
      <c r="E801" s="10"/>
      <c r="F801" s="10"/>
      <c r="G801" s="10"/>
      <c r="H801" s="10"/>
      <c r="O801" s="27"/>
      <c r="P801" s="27"/>
      <c r="Q801" s="27"/>
      <c r="R801" s="27"/>
    </row>
    <row r="802" spans="1:18" s="11" customFormat="1" x14ac:dyDescent="0.55000000000000004">
      <c r="A802" s="9"/>
      <c r="B802" s="10"/>
      <c r="C802" s="10"/>
      <c r="D802" s="10"/>
      <c r="E802" s="10"/>
      <c r="F802" s="10"/>
      <c r="G802" s="10"/>
      <c r="H802" s="10"/>
      <c r="O802" s="27"/>
      <c r="P802" s="27"/>
      <c r="Q802" s="27"/>
      <c r="R802" s="27"/>
    </row>
    <row r="803" spans="1:18" s="11" customFormat="1" x14ac:dyDescent="0.55000000000000004">
      <c r="A803" s="9"/>
      <c r="B803" s="10"/>
      <c r="C803" s="10"/>
      <c r="D803" s="10"/>
      <c r="E803" s="10"/>
      <c r="F803" s="10"/>
      <c r="G803" s="10"/>
      <c r="H803" s="10"/>
      <c r="O803" s="27"/>
      <c r="P803" s="27"/>
      <c r="Q803" s="27"/>
      <c r="R803" s="27"/>
    </row>
    <row r="804" spans="1:18" s="11" customFormat="1" x14ac:dyDescent="0.55000000000000004">
      <c r="A804" s="9"/>
      <c r="B804" s="10"/>
      <c r="C804" s="10"/>
      <c r="D804" s="10"/>
      <c r="E804" s="10"/>
      <c r="F804" s="10"/>
      <c r="G804" s="10"/>
      <c r="H804" s="10"/>
      <c r="O804" s="27"/>
      <c r="P804" s="27"/>
      <c r="Q804" s="27"/>
      <c r="R804" s="27"/>
    </row>
    <row r="805" spans="1:18" s="11" customFormat="1" x14ac:dyDescent="0.55000000000000004">
      <c r="A805" s="9"/>
      <c r="B805" s="10"/>
      <c r="C805" s="10"/>
      <c r="D805" s="10"/>
      <c r="E805" s="10"/>
      <c r="F805" s="10"/>
      <c r="G805" s="10"/>
      <c r="H805" s="10"/>
      <c r="O805" s="27"/>
      <c r="P805" s="27"/>
      <c r="Q805" s="27"/>
      <c r="R805" s="27"/>
    </row>
    <row r="806" spans="1:18" s="11" customFormat="1" x14ac:dyDescent="0.55000000000000004">
      <c r="A806" s="9"/>
      <c r="B806" s="10"/>
      <c r="C806" s="10"/>
      <c r="D806" s="10"/>
      <c r="E806" s="10"/>
      <c r="F806" s="10"/>
      <c r="G806" s="10"/>
      <c r="H806" s="10"/>
      <c r="O806" s="27"/>
      <c r="P806" s="27"/>
      <c r="Q806" s="27"/>
      <c r="R806" s="27"/>
    </row>
    <row r="807" spans="1:18" s="11" customFormat="1" x14ac:dyDescent="0.55000000000000004">
      <c r="A807" s="9"/>
      <c r="B807" s="10"/>
      <c r="C807" s="10"/>
      <c r="D807" s="10"/>
      <c r="E807" s="10"/>
      <c r="F807" s="10"/>
      <c r="G807" s="10"/>
      <c r="H807" s="10"/>
      <c r="O807" s="27"/>
      <c r="P807" s="27"/>
      <c r="Q807" s="27"/>
      <c r="R807" s="27"/>
    </row>
    <row r="808" spans="1:18" s="11" customFormat="1" x14ac:dyDescent="0.55000000000000004">
      <c r="A808" s="9"/>
      <c r="B808" s="10"/>
      <c r="C808" s="10"/>
      <c r="D808" s="10"/>
      <c r="E808" s="10"/>
      <c r="F808" s="10"/>
      <c r="G808" s="10"/>
      <c r="H808" s="10"/>
      <c r="O808" s="27"/>
      <c r="P808" s="27"/>
      <c r="Q808" s="27"/>
      <c r="R808" s="27"/>
    </row>
    <row r="809" spans="1:18" s="11" customFormat="1" x14ac:dyDescent="0.55000000000000004">
      <c r="A809" s="9"/>
      <c r="B809" s="10"/>
      <c r="C809" s="10"/>
      <c r="D809" s="10"/>
      <c r="E809" s="10"/>
      <c r="F809" s="10"/>
      <c r="G809" s="10"/>
      <c r="H809" s="10"/>
      <c r="O809" s="27"/>
      <c r="P809" s="27"/>
      <c r="Q809" s="27"/>
      <c r="R809" s="27"/>
    </row>
    <row r="810" spans="1:18" s="11" customFormat="1" x14ac:dyDescent="0.55000000000000004">
      <c r="A810" s="9"/>
      <c r="B810" s="10"/>
      <c r="C810" s="10"/>
      <c r="D810" s="10"/>
      <c r="E810" s="10"/>
      <c r="F810" s="10"/>
      <c r="G810" s="10"/>
      <c r="H810" s="10"/>
      <c r="O810" s="27"/>
      <c r="P810" s="27"/>
      <c r="Q810" s="27"/>
      <c r="R810" s="27"/>
    </row>
    <row r="811" spans="1:18" s="11" customFormat="1" x14ac:dyDescent="0.55000000000000004">
      <c r="A811" s="9"/>
      <c r="B811" s="10"/>
      <c r="C811" s="10"/>
      <c r="D811" s="10"/>
      <c r="E811" s="10"/>
      <c r="F811" s="10"/>
      <c r="G811" s="10"/>
      <c r="H811" s="10"/>
      <c r="O811" s="27"/>
      <c r="P811" s="27"/>
      <c r="Q811" s="27"/>
      <c r="R811" s="27"/>
    </row>
    <row r="812" spans="1:18" s="11" customFormat="1" x14ac:dyDescent="0.55000000000000004">
      <c r="A812" s="9"/>
      <c r="B812" s="10"/>
      <c r="C812" s="10"/>
      <c r="D812" s="10"/>
      <c r="E812" s="10"/>
      <c r="F812" s="10"/>
      <c r="G812" s="10"/>
      <c r="H812" s="10"/>
      <c r="O812" s="27"/>
      <c r="P812" s="27"/>
      <c r="Q812" s="27"/>
      <c r="R812" s="27"/>
    </row>
    <row r="813" spans="1:18" s="11" customFormat="1" x14ac:dyDescent="0.55000000000000004">
      <c r="A813" s="9"/>
      <c r="B813" s="10"/>
      <c r="C813" s="10"/>
      <c r="D813" s="10"/>
      <c r="E813" s="10"/>
      <c r="F813" s="10"/>
      <c r="G813" s="10"/>
      <c r="H813" s="10"/>
      <c r="O813" s="27"/>
      <c r="P813" s="27"/>
      <c r="Q813" s="27"/>
      <c r="R813" s="27"/>
    </row>
    <row r="814" spans="1:18" s="11" customFormat="1" x14ac:dyDescent="0.55000000000000004">
      <c r="A814" s="9"/>
      <c r="B814" s="10"/>
      <c r="C814" s="10"/>
      <c r="D814" s="10"/>
      <c r="E814" s="10"/>
      <c r="F814" s="10"/>
      <c r="G814" s="10"/>
      <c r="H814" s="10"/>
      <c r="O814" s="27"/>
      <c r="P814" s="27"/>
      <c r="Q814" s="27"/>
      <c r="R814" s="27"/>
    </row>
    <row r="815" spans="1:18" s="11" customFormat="1" x14ac:dyDescent="0.55000000000000004">
      <c r="A815" s="9"/>
      <c r="B815" s="10"/>
      <c r="C815" s="10"/>
      <c r="D815" s="10"/>
      <c r="E815" s="10"/>
      <c r="F815" s="10"/>
      <c r="G815" s="10"/>
      <c r="H815" s="10"/>
      <c r="O815" s="27"/>
      <c r="P815" s="27"/>
      <c r="Q815" s="27"/>
      <c r="R815" s="27"/>
    </row>
    <row r="816" spans="1:18" s="11" customFormat="1" x14ac:dyDescent="0.55000000000000004">
      <c r="A816" s="9"/>
      <c r="B816" s="10"/>
      <c r="C816" s="10"/>
      <c r="D816" s="10"/>
      <c r="E816" s="10"/>
      <c r="F816" s="10"/>
      <c r="G816" s="10"/>
      <c r="H816" s="10"/>
      <c r="O816" s="27"/>
      <c r="P816" s="27"/>
      <c r="Q816" s="27"/>
      <c r="R816" s="27"/>
    </row>
    <row r="817" spans="1:18" s="11" customFormat="1" x14ac:dyDescent="0.55000000000000004">
      <c r="A817" s="9"/>
      <c r="B817" s="10"/>
      <c r="C817" s="10"/>
      <c r="D817" s="10"/>
      <c r="E817" s="10"/>
      <c r="F817" s="10"/>
      <c r="G817" s="10"/>
      <c r="H817" s="10"/>
      <c r="O817" s="27"/>
      <c r="P817" s="27"/>
      <c r="Q817" s="27"/>
      <c r="R817" s="27"/>
    </row>
    <row r="818" spans="1:18" s="11" customFormat="1" x14ac:dyDescent="0.55000000000000004">
      <c r="A818" s="9"/>
      <c r="B818" s="10"/>
      <c r="C818" s="10"/>
      <c r="D818" s="10"/>
      <c r="E818" s="10"/>
      <c r="F818" s="10"/>
      <c r="G818" s="10"/>
      <c r="H818" s="10"/>
      <c r="O818" s="27"/>
      <c r="P818" s="27"/>
      <c r="Q818" s="27"/>
      <c r="R818" s="27"/>
    </row>
    <row r="819" spans="1:18" s="11" customFormat="1" x14ac:dyDescent="0.55000000000000004">
      <c r="A819" s="9"/>
      <c r="B819" s="10"/>
      <c r="C819" s="10"/>
      <c r="D819" s="10"/>
      <c r="E819" s="10"/>
      <c r="F819" s="10"/>
      <c r="G819" s="10"/>
      <c r="H819" s="10"/>
      <c r="O819" s="27"/>
      <c r="P819" s="27"/>
      <c r="Q819" s="27"/>
      <c r="R819" s="27"/>
    </row>
    <row r="820" spans="1:18" s="11" customFormat="1" x14ac:dyDescent="0.55000000000000004">
      <c r="A820" s="9"/>
      <c r="B820" s="10"/>
      <c r="C820" s="10"/>
      <c r="D820" s="10"/>
      <c r="E820" s="10"/>
      <c r="F820" s="10"/>
      <c r="G820" s="10"/>
      <c r="H820" s="10"/>
      <c r="O820" s="27"/>
      <c r="P820" s="27"/>
      <c r="Q820" s="27"/>
      <c r="R820" s="27"/>
    </row>
    <row r="821" spans="1:18" s="11" customFormat="1" x14ac:dyDescent="0.55000000000000004">
      <c r="A821" s="9"/>
      <c r="B821" s="10"/>
      <c r="C821" s="10"/>
      <c r="D821" s="10"/>
      <c r="E821" s="10"/>
      <c r="F821" s="10"/>
      <c r="G821" s="10"/>
      <c r="H821" s="10"/>
      <c r="O821" s="27"/>
      <c r="P821" s="27"/>
      <c r="Q821" s="27"/>
      <c r="R821" s="27"/>
    </row>
    <row r="822" spans="1:18" s="11" customFormat="1" x14ac:dyDescent="0.55000000000000004">
      <c r="A822" s="9"/>
      <c r="B822" s="10"/>
      <c r="C822" s="10"/>
      <c r="D822" s="10"/>
      <c r="E822" s="10"/>
      <c r="F822" s="10"/>
      <c r="G822" s="10"/>
      <c r="H822" s="10"/>
      <c r="O822" s="27"/>
      <c r="P822" s="27"/>
      <c r="Q822" s="27"/>
      <c r="R822" s="27"/>
    </row>
    <row r="823" spans="1:18" s="11" customFormat="1" x14ac:dyDescent="0.55000000000000004">
      <c r="A823" s="9"/>
      <c r="B823" s="10"/>
      <c r="C823" s="10"/>
      <c r="D823" s="10"/>
      <c r="E823" s="10"/>
      <c r="F823" s="10"/>
      <c r="G823" s="10"/>
      <c r="H823" s="10"/>
      <c r="O823" s="27"/>
      <c r="P823" s="27"/>
      <c r="Q823" s="27"/>
      <c r="R823" s="27"/>
    </row>
    <row r="824" spans="1:18" s="11" customFormat="1" x14ac:dyDescent="0.55000000000000004">
      <c r="A824" s="9"/>
      <c r="B824" s="10"/>
      <c r="C824" s="10"/>
      <c r="D824" s="10"/>
      <c r="E824" s="10"/>
      <c r="F824" s="10"/>
      <c r="G824" s="10"/>
      <c r="H824" s="10"/>
      <c r="O824" s="27"/>
      <c r="P824" s="27"/>
      <c r="Q824" s="27"/>
      <c r="R824" s="27"/>
    </row>
    <row r="825" spans="1:18" s="11" customFormat="1" x14ac:dyDescent="0.55000000000000004">
      <c r="A825" s="9"/>
      <c r="B825" s="10"/>
      <c r="C825" s="10"/>
      <c r="D825" s="10"/>
      <c r="E825" s="10"/>
      <c r="F825" s="10"/>
      <c r="G825" s="10"/>
      <c r="H825" s="10"/>
      <c r="O825" s="27"/>
      <c r="P825" s="27"/>
      <c r="Q825" s="27"/>
      <c r="R825" s="27"/>
    </row>
    <row r="826" spans="1:18" s="11" customFormat="1" x14ac:dyDescent="0.55000000000000004">
      <c r="A826" s="9"/>
      <c r="B826" s="10"/>
      <c r="C826" s="10"/>
      <c r="D826" s="10"/>
      <c r="E826" s="10"/>
      <c r="F826" s="10"/>
      <c r="G826" s="10"/>
      <c r="H826" s="10"/>
      <c r="O826" s="27"/>
      <c r="P826" s="27"/>
      <c r="Q826" s="27"/>
      <c r="R826" s="27"/>
    </row>
    <row r="827" spans="1:18" s="11" customFormat="1" x14ac:dyDescent="0.55000000000000004">
      <c r="A827" s="9"/>
      <c r="B827" s="10"/>
      <c r="C827" s="10"/>
      <c r="D827" s="10"/>
      <c r="E827" s="10"/>
      <c r="F827" s="10"/>
      <c r="G827" s="10"/>
      <c r="H827" s="10"/>
      <c r="O827" s="27"/>
      <c r="P827" s="27"/>
      <c r="Q827" s="27"/>
      <c r="R827" s="27"/>
    </row>
    <row r="828" spans="1:18" x14ac:dyDescent="0.55000000000000004">
      <c r="B828" s="10"/>
      <c r="C828" s="10"/>
      <c r="D828" s="10"/>
      <c r="E828" s="10"/>
      <c r="F828" s="10"/>
      <c r="G828" s="10"/>
      <c r="H828" s="10"/>
      <c r="M828" s="11"/>
      <c r="N828" s="11"/>
    </row>
    <row r="829" spans="1:18" x14ac:dyDescent="0.55000000000000004">
      <c r="B829" s="10"/>
      <c r="C829" s="10"/>
      <c r="D829" s="10"/>
      <c r="E829" s="10"/>
      <c r="F829" s="10"/>
      <c r="G829" s="10"/>
      <c r="H829" s="10"/>
      <c r="M829" s="11"/>
      <c r="N829" s="11"/>
    </row>
    <row r="830" spans="1:18" x14ac:dyDescent="0.55000000000000004">
      <c r="B830" s="10"/>
      <c r="C830" s="10"/>
      <c r="D830" s="10"/>
      <c r="E830" s="10"/>
      <c r="F830" s="10"/>
      <c r="G830" s="10"/>
      <c r="H830" s="10"/>
      <c r="M830" s="11"/>
      <c r="N830" s="11"/>
    </row>
    <row r="831" spans="1:18" x14ac:dyDescent="0.55000000000000004">
      <c r="B831" s="10"/>
      <c r="C831" s="10"/>
      <c r="D831" s="10"/>
      <c r="E831" s="10"/>
      <c r="F831" s="10"/>
      <c r="G831" s="10"/>
      <c r="H831" s="10"/>
      <c r="M831" s="11"/>
      <c r="N831" s="11"/>
    </row>
    <row r="832" spans="1:18" x14ac:dyDescent="0.55000000000000004">
      <c r="B832" s="10"/>
      <c r="C832" s="10"/>
      <c r="D832" s="10"/>
      <c r="E832" s="10"/>
      <c r="F832" s="10"/>
      <c r="G832" s="10"/>
      <c r="H832" s="10"/>
      <c r="M832" s="11"/>
      <c r="N832" s="11"/>
    </row>
    <row r="833" spans="4:14" x14ac:dyDescent="0.55000000000000004">
      <c r="D833" s="10"/>
      <c r="E833" s="10"/>
      <c r="F833" s="10"/>
      <c r="G833" s="10"/>
      <c r="H833" s="10"/>
      <c r="M833" s="11"/>
      <c r="N833" s="11"/>
    </row>
  </sheetData>
  <mergeCells count="18">
    <mergeCell ref="O5:S5"/>
    <mergeCell ref="A1:N1"/>
    <mergeCell ref="A2:N2"/>
    <mergeCell ref="A5:A6"/>
    <mergeCell ref="B5:B6"/>
    <mergeCell ref="C5:C6"/>
    <mergeCell ref="D5:D6"/>
    <mergeCell ref="E5:E6"/>
    <mergeCell ref="B26:C26"/>
    <mergeCell ref="M4:N4"/>
    <mergeCell ref="L5:L6"/>
    <mergeCell ref="M5:M6"/>
    <mergeCell ref="N5:N6"/>
    <mergeCell ref="F5:F6"/>
    <mergeCell ref="G5:G6"/>
    <mergeCell ref="H5:H6"/>
    <mergeCell ref="J5:J6"/>
    <mergeCell ref="K5:K6"/>
  </mergeCells>
  <phoneticPr fontId="19" type="noConversion"/>
  <printOptions horizontalCentered="1"/>
  <pageMargins left="0" right="0" top="0" bottom="0" header="0.31496062992125984" footer="0.31496062992125984"/>
  <pageSetup paperSize="9" scale="29" fitToHeight="0" orientation="portrait" r:id="rId1"/>
  <colBreaks count="1" manualBreakCount="1">
    <brk id="19" max="1048575" man="1"/>
  </colBreaks>
  <ignoredErrors>
    <ignoredError sqref="N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3829-1CF4-4EE4-9511-96EE2EA5955F}">
  <sheetPr codeName="Sheet3" filterMode="1">
    <tabColor theme="7" tint="0.59999389629810485"/>
    <pageSetUpPr fitToPage="1"/>
  </sheetPr>
  <dimension ref="A1:BM1011"/>
  <sheetViews>
    <sheetView view="pageBreakPreview" zoomScale="50" zoomScaleNormal="50" zoomScaleSheetLayoutView="50" workbookViewId="0">
      <pane xSplit="7" ySplit="9" topLeftCell="H124" activePane="bottomRight" state="frozen"/>
      <selection pane="topRight" activeCell="H1" sqref="H1"/>
      <selection pane="bottomLeft" activeCell="A9" sqref="A9"/>
      <selection pane="bottomRight" activeCell="P124" sqref="P124:P170"/>
    </sheetView>
  </sheetViews>
  <sheetFormatPr defaultColWidth="12.6640625" defaultRowHeight="27.85" x14ac:dyDescent="0.7"/>
  <cols>
    <col min="1" max="1" width="8.21875" style="17" customWidth="1"/>
    <col min="2" max="2" width="29.109375" style="17" bestFit="1" customWidth="1"/>
    <col min="3" max="3" width="17.6640625" style="17" bestFit="1" customWidth="1"/>
    <col min="4" max="4" width="16.21875" style="17" bestFit="1" customWidth="1"/>
    <col min="5" max="5" width="18.6640625" style="17" bestFit="1" customWidth="1"/>
    <col min="6" max="6" width="35.44140625" style="17" bestFit="1" customWidth="1"/>
    <col min="7" max="7" width="25.5546875" style="19" bestFit="1" customWidth="1"/>
    <col min="8" max="8" width="26.109375" style="19" bestFit="1" customWidth="1"/>
    <col min="9" max="9" width="34.88671875" style="19" bestFit="1" customWidth="1"/>
    <col min="10" max="10" width="17.109375" style="19" hidden="1" customWidth="1"/>
    <col min="11" max="11" width="14.5546875" style="20" hidden="1" customWidth="1"/>
    <col min="12" max="12" width="21.6640625" style="20" hidden="1" customWidth="1"/>
    <col min="13" max="14" width="15.44140625" style="20" customWidth="1"/>
    <col min="15" max="15" width="19.44140625" style="17" bestFit="1" customWidth="1"/>
    <col min="16" max="16" width="21.5546875" style="17" bestFit="1" customWidth="1"/>
    <col min="17" max="20" width="16.6640625" style="20" hidden="1" customWidth="1"/>
    <col min="21" max="22" width="16.6640625" style="29" hidden="1" customWidth="1"/>
    <col min="23" max="28" width="16.6640625" style="20" hidden="1" customWidth="1"/>
    <col min="29" max="29" width="26.21875" style="20" hidden="1" customWidth="1"/>
    <col min="30" max="31" width="16.6640625" style="29" hidden="1" customWidth="1"/>
    <col min="32" max="32" width="17.44140625" style="29" hidden="1" customWidth="1"/>
    <col min="33" max="33" width="25.21875" style="29" hidden="1" customWidth="1"/>
    <col min="34" max="34" width="38.21875" style="20" hidden="1" customWidth="1"/>
    <col min="35" max="38" width="16.6640625" style="20" hidden="1" customWidth="1"/>
    <col min="39" max="39" width="35.6640625" style="20" hidden="1" customWidth="1"/>
    <col min="40" max="46" width="16.6640625" style="20" hidden="1" customWidth="1"/>
    <col min="47" max="47" width="16.6640625" style="20" customWidth="1"/>
    <col min="48" max="48" width="20.109375" style="20" customWidth="1"/>
    <col min="49" max="52" width="16.6640625" style="20" customWidth="1"/>
    <col min="53" max="53" width="28.5546875" style="20" customWidth="1"/>
    <col min="54" max="54" width="29.44140625" style="20" customWidth="1"/>
    <col min="55" max="58" width="16.6640625" style="20" customWidth="1"/>
    <col min="59" max="61" width="16.6640625" style="29" customWidth="1"/>
    <col min="62" max="62" width="25.88671875" style="29" customWidth="1"/>
    <col min="63" max="63" width="16.6640625" style="29" customWidth="1"/>
    <col min="64" max="64" width="38.109375" style="17" customWidth="1"/>
    <col min="65" max="65" width="37.6640625" style="17" customWidth="1"/>
    <col min="66" max="16384" width="12.6640625" style="17"/>
  </cols>
  <sheetData>
    <row r="1" spans="1:65" s="15" customFormat="1" ht="35.35" x14ac:dyDescent="0.2">
      <c r="A1" s="1" t="s">
        <v>288</v>
      </c>
      <c r="B1" s="1"/>
      <c r="C1" s="1"/>
      <c r="D1" s="1"/>
      <c r="E1" s="1"/>
      <c r="F1" s="1"/>
      <c r="G1" s="1"/>
      <c r="H1" s="1"/>
      <c r="I1" s="1"/>
      <c r="J1" s="83"/>
      <c r="K1" s="83"/>
      <c r="L1" s="1"/>
      <c r="M1" s="1"/>
      <c r="N1" s="1"/>
      <c r="O1" s="1"/>
      <c r="P1" s="1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1"/>
      <c r="AV1" s="1"/>
      <c r="AW1" s="1"/>
      <c r="AX1" s="1"/>
      <c r="AY1" s="1"/>
      <c r="AZ1" s="1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</row>
    <row r="2" spans="1:65" s="15" customFormat="1" ht="35.35" x14ac:dyDescent="0.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77" t="s">
        <v>505</v>
      </c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5" s="15" customFormat="1" ht="35.35" x14ac:dyDescent="0.2">
      <c r="A3" s="1" t="s">
        <v>92</v>
      </c>
      <c r="G3" s="25"/>
      <c r="H3" s="25"/>
      <c r="I3" s="25"/>
      <c r="J3" s="25"/>
      <c r="K3" s="14"/>
      <c r="L3" s="14"/>
      <c r="M3" s="14"/>
      <c r="N3" s="14"/>
      <c r="Q3" s="14"/>
      <c r="R3" s="14"/>
      <c r="S3" s="14"/>
      <c r="T3" s="14"/>
      <c r="U3" s="14"/>
      <c r="V3" s="14"/>
      <c r="X3" s="14"/>
      <c r="Y3" s="14"/>
      <c r="Z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</row>
    <row r="4" spans="1:65" s="13" customFormat="1" ht="29.4" customHeight="1" x14ac:dyDescent="0.2">
      <c r="A4" s="259"/>
      <c r="B4" s="259"/>
      <c r="C4" s="259"/>
      <c r="D4" s="2"/>
      <c r="E4" s="2"/>
      <c r="F4" s="2"/>
      <c r="G4" s="26"/>
      <c r="H4" s="26"/>
      <c r="I4" s="26"/>
      <c r="J4" s="26"/>
      <c r="K4" s="2"/>
      <c r="L4" s="2"/>
      <c r="M4" s="2"/>
      <c r="N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</row>
    <row r="5" spans="1:65" s="16" customFormat="1" ht="32.950000000000003" customHeight="1" x14ac:dyDescent="0.7">
      <c r="A5" s="260" t="s">
        <v>0</v>
      </c>
      <c r="B5" s="260" t="s">
        <v>86</v>
      </c>
      <c r="C5" s="262" t="s">
        <v>1</v>
      </c>
      <c r="D5" s="265" t="s">
        <v>2</v>
      </c>
      <c r="E5" s="227" t="s">
        <v>3</v>
      </c>
      <c r="F5" s="227" t="s">
        <v>93</v>
      </c>
      <c r="G5" s="227" t="s">
        <v>101</v>
      </c>
      <c r="H5" s="227" t="s">
        <v>116</v>
      </c>
      <c r="I5" s="268" t="s">
        <v>487</v>
      </c>
      <c r="J5" s="227" t="s">
        <v>307</v>
      </c>
      <c r="K5" s="227" t="s">
        <v>117</v>
      </c>
      <c r="L5" s="227" t="s">
        <v>368</v>
      </c>
      <c r="M5" s="227" t="s">
        <v>7</v>
      </c>
      <c r="N5" s="227" t="s">
        <v>6</v>
      </c>
      <c r="O5" s="227" t="s">
        <v>4</v>
      </c>
      <c r="P5" s="227" t="s">
        <v>5</v>
      </c>
      <c r="Q5" s="167" t="s">
        <v>401</v>
      </c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9"/>
      <c r="AD5" s="162" t="s">
        <v>394</v>
      </c>
      <c r="AE5" s="163"/>
      <c r="AF5" s="163"/>
      <c r="AG5" s="163"/>
      <c r="AH5" s="163"/>
      <c r="AI5" s="163"/>
      <c r="AJ5" s="163"/>
      <c r="AK5" s="163"/>
      <c r="AL5" s="163"/>
      <c r="AM5" s="164"/>
      <c r="AO5" s="82"/>
      <c r="AP5" s="82"/>
      <c r="AQ5" s="82"/>
      <c r="AR5" s="82"/>
      <c r="AS5" s="82"/>
      <c r="AT5" s="82"/>
      <c r="AU5" s="286" t="s">
        <v>489</v>
      </c>
      <c r="AV5" s="277" t="s">
        <v>485</v>
      </c>
      <c r="AW5" s="274" t="s">
        <v>483</v>
      </c>
      <c r="AX5" s="280" t="s">
        <v>476</v>
      </c>
      <c r="AY5" s="281"/>
      <c r="AZ5" s="282"/>
      <c r="BA5" s="82"/>
      <c r="BB5" s="82"/>
      <c r="BC5" s="82"/>
      <c r="BD5" s="82"/>
      <c r="BE5" s="82"/>
      <c r="BF5" s="82"/>
      <c r="BG5" s="82"/>
      <c r="BH5" s="82"/>
      <c r="BI5" s="82"/>
      <c r="BJ5" s="251" t="s">
        <v>387</v>
      </c>
      <c r="BK5" s="252"/>
      <c r="BL5" s="242" t="s">
        <v>115</v>
      </c>
      <c r="BM5" s="242" t="s">
        <v>114</v>
      </c>
    </row>
    <row r="6" spans="1:65" s="16" customFormat="1" ht="32.950000000000003" customHeight="1" x14ac:dyDescent="0.7">
      <c r="A6" s="228"/>
      <c r="B6" s="228"/>
      <c r="C6" s="263"/>
      <c r="D6" s="266"/>
      <c r="E6" s="228"/>
      <c r="F6" s="228"/>
      <c r="G6" s="228"/>
      <c r="H6" s="228"/>
      <c r="I6" s="269"/>
      <c r="J6" s="228"/>
      <c r="K6" s="228"/>
      <c r="L6" s="228"/>
      <c r="M6" s="228"/>
      <c r="N6" s="228"/>
      <c r="O6" s="228"/>
      <c r="P6" s="228"/>
      <c r="Q6" s="170" t="s">
        <v>388</v>
      </c>
      <c r="R6" s="171"/>
      <c r="S6" s="171"/>
      <c r="T6" s="172"/>
      <c r="U6" s="173" t="s">
        <v>421</v>
      </c>
      <c r="V6" s="173"/>
      <c r="W6" s="173"/>
      <c r="X6" s="173"/>
      <c r="Y6" s="174" t="s">
        <v>118</v>
      </c>
      <c r="Z6" s="175"/>
      <c r="AA6" s="175"/>
      <c r="AB6" s="176"/>
      <c r="AC6" s="224" t="s">
        <v>400</v>
      </c>
      <c r="AD6" s="162" t="s">
        <v>392</v>
      </c>
      <c r="AE6" s="163"/>
      <c r="AF6" s="163"/>
      <c r="AG6" s="177" t="s">
        <v>398</v>
      </c>
      <c r="AH6" s="178"/>
      <c r="AI6" s="179"/>
      <c r="AJ6" s="162" t="s">
        <v>393</v>
      </c>
      <c r="AK6" s="163"/>
      <c r="AL6" s="163"/>
      <c r="AM6" s="164"/>
      <c r="AN6" s="165" t="s">
        <v>389</v>
      </c>
      <c r="AO6" s="166"/>
      <c r="AP6" s="166"/>
      <c r="AQ6" s="166"/>
      <c r="AR6" s="166"/>
      <c r="AS6" s="166"/>
      <c r="AT6" s="166"/>
      <c r="AU6" s="287"/>
      <c r="AV6" s="278"/>
      <c r="AW6" s="275"/>
      <c r="AX6" s="283"/>
      <c r="AY6" s="284"/>
      <c r="AZ6" s="285"/>
      <c r="BA6" s="165" t="s">
        <v>402</v>
      </c>
      <c r="BB6" s="165"/>
      <c r="BC6" s="165" t="s">
        <v>119</v>
      </c>
      <c r="BD6" s="257" t="s">
        <v>120</v>
      </c>
      <c r="BE6" s="257"/>
      <c r="BF6" s="257"/>
      <c r="BG6" s="166" t="s">
        <v>121</v>
      </c>
      <c r="BH6" s="166"/>
      <c r="BI6" s="166"/>
      <c r="BJ6" s="253"/>
      <c r="BK6" s="254"/>
      <c r="BL6" s="243"/>
      <c r="BM6" s="243"/>
    </row>
    <row r="7" spans="1:65" s="16" customFormat="1" ht="32.950000000000003" customHeight="1" x14ac:dyDescent="0.7">
      <c r="A7" s="228"/>
      <c r="B7" s="228"/>
      <c r="C7" s="263"/>
      <c r="D7" s="266"/>
      <c r="E7" s="228"/>
      <c r="F7" s="228"/>
      <c r="G7" s="228"/>
      <c r="H7" s="228"/>
      <c r="I7" s="269"/>
      <c r="J7" s="228"/>
      <c r="K7" s="228"/>
      <c r="L7" s="228"/>
      <c r="M7" s="228"/>
      <c r="N7" s="228"/>
      <c r="O7" s="228"/>
      <c r="P7" s="228"/>
      <c r="Q7" s="234" t="s">
        <v>375</v>
      </c>
      <c r="R7" s="236" t="s">
        <v>376</v>
      </c>
      <c r="S7" s="238" t="s">
        <v>80</v>
      </c>
      <c r="T7" s="241" t="s">
        <v>119</v>
      </c>
      <c r="U7" s="173" t="s">
        <v>375</v>
      </c>
      <c r="V7" s="173" t="s">
        <v>376</v>
      </c>
      <c r="W7" s="173" t="s">
        <v>80</v>
      </c>
      <c r="X7" s="173" t="s">
        <v>119</v>
      </c>
      <c r="Y7" s="232" t="s">
        <v>375</v>
      </c>
      <c r="Z7" s="232" t="s">
        <v>376</v>
      </c>
      <c r="AA7" s="224" t="s">
        <v>80</v>
      </c>
      <c r="AB7" s="230" t="s">
        <v>119</v>
      </c>
      <c r="AC7" s="224"/>
      <c r="AD7" s="222" t="s">
        <v>396</v>
      </c>
      <c r="AE7" s="222" t="s">
        <v>395</v>
      </c>
      <c r="AF7" s="222" t="s">
        <v>80</v>
      </c>
      <c r="AG7" s="248" t="s">
        <v>419</v>
      </c>
      <c r="AH7" s="248" t="s">
        <v>397</v>
      </c>
      <c r="AI7" s="248" t="s">
        <v>80</v>
      </c>
      <c r="AJ7" s="222" t="s">
        <v>375</v>
      </c>
      <c r="AK7" s="222" t="s">
        <v>376</v>
      </c>
      <c r="AL7" s="222" t="s">
        <v>80</v>
      </c>
      <c r="AM7" s="225" t="s">
        <v>462</v>
      </c>
      <c r="AN7" s="165" t="s">
        <v>76</v>
      </c>
      <c r="AO7" s="165" t="s">
        <v>77</v>
      </c>
      <c r="AP7" s="165" t="s">
        <v>78</v>
      </c>
      <c r="AQ7" s="165" t="s">
        <v>79</v>
      </c>
      <c r="AR7" s="165" t="s">
        <v>390</v>
      </c>
      <c r="AS7" s="165" t="s">
        <v>391</v>
      </c>
      <c r="AT7" s="165" t="s">
        <v>80</v>
      </c>
      <c r="AU7" s="287"/>
      <c r="AV7" s="278"/>
      <c r="AW7" s="275"/>
      <c r="AX7" s="272" t="s">
        <v>474</v>
      </c>
      <c r="AY7" s="272" t="s">
        <v>475</v>
      </c>
      <c r="AZ7" s="272" t="s">
        <v>473</v>
      </c>
      <c r="BA7" s="165" t="s">
        <v>403</v>
      </c>
      <c r="BB7" s="165" t="s">
        <v>404</v>
      </c>
      <c r="BC7" s="165"/>
      <c r="BD7" s="255" t="s">
        <v>375</v>
      </c>
      <c r="BE7" s="255" t="s">
        <v>376</v>
      </c>
      <c r="BF7" s="257" t="s">
        <v>80</v>
      </c>
      <c r="BG7" s="250" t="s">
        <v>375</v>
      </c>
      <c r="BH7" s="250" t="s">
        <v>376</v>
      </c>
      <c r="BI7" s="166" t="s">
        <v>80</v>
      </c>
      <c r="BJ7" s="245" t="s">
        <v>405</v>
      </c>
      <c r="BK7" s="246" t="s">
        <v>80</v>
      </c>
      <c r="BL7" s="243"/>
      <c r="BM7" s="243"/>
    </row>
    <row r="8" spans="1:65" s="16" customFormat="1" ht="32.950000000000003" customHeight="1" x14ac:dyDescent="0.7">
      <c r="A8" s="261"/>
      <c r="B8" s="261"/>
      <c r="C8" s="264"/>
      <c r="D8" s="267"/>
      <c r="E8" s="229"/>
      <c r="F8" s="229"/>
      <c r="G8" s="229"/>
      <c r="H8" s="229"/>
      <c r="I8" s="270"/>
      <c r="J8" s="229"/>
      <c r="K8" s="229"/>
      <c r="L8" s="229"/>
      <c r="M8" s="229"/>
      <c r="N8" s="229"/>
      <c r="O8" s="229"/>
      <c r="P8" s="229"/>
      <c r="Q8" s="235"/>
      <c r="R8" s="237"/>
      <c r="S8" s="239"/>
      <c r="T8" s="241"/>
      <c r="U8" s="240"/>
      <c r="V8" s="240"/>
      <c r="W8" s="240"/>
      <c r="X8" s="173"/>
      <c r="Y8" s="232"/>
      <c r="Z8" s="233"/>
      <c r="AA8" s="224"/>
      <c r="AB8" s="231"/>
      <c r="AC8" s="224"/>
      <c r="AD8" s="223"/>
      <c r="AE8" s="223"/>
      <c r="AF8" s="223"/>
      <c r="AG8" s="249"/>
      <c r="AH8" s="249"/>
      <c r="AI8" s="249"/>
      <c r="AJ8" s="223"/>
      <c r="AK8" s="223"/>
      <c r="AL8" s="223"/>
      <c r="AM8" s="226"/>
      <c r="AN8" s="166"/>
      <c r="AO8" s="166"/>
      <c r="AP8" s="166"/>
      <c r="AQ8" s="166"/>
      <c r="AR8" s="165"/>
      <c r="AS8" s="165"/>
      <c r="AT8" s="166"/>
      <c r="AU8" s="288"/>
      <c r="AV8" s="279"/>
      <c r="AW8" s="276"/>
      <c r="AX8" s="273"/>
      <c r="AY8" s="273"/>
      <c r="AZ8" s="273"/>
      <c r="BA8" s="165"/>
      <c r="BB8" s="165"/>
      <c r="BC8" s="165"/>
      <c r="BD8" s="255"/>
      <c r="BE8" s="256"/>
      <c r="BF8" s="257"/>
      <c r="BG8" s="250"/>
      <c r="BH8" s="271"/>
      <c r="BI8" s="166"/>
      <c r="BJ8" s="245"/>
      <c r="BK8" s="247"/>
      <c r="BL8" s="258"/>
      <c r="BM8" s="244"/>
    </row>
    <row r="9" spans="1:65" s="32" customFormat="1" ht="21.1" customHeight="1" x14ac:dyDescent="0.7">
      <c r="A9" s="58">
        <f>SUBTOTAL(3,A10:A190)</f>
        <v>20</v>
      </c>
      <c r="B9" s="58">
        <f t="shared" ref="B9:H9" si="0">SUBTOTAL(3,B10:B190)</f>
        <v>20</v>
      </c>
      <c r="C9" s="58">
        <f t="shared" si="0"/>
        <v>20</v>
      </c>
      <c r="D9" s="58">
        <f t="shared" si="0"/>
        <v>20</v>
      </c>
      <c r="E9" s="58">
        <f t="shared" si="0"/>
        <v>20</v>
      </c>
      <c r="F9" s="58">
        <f t="shared" si="0"/>
        <v>20</v>
      </c>
      <c r="G9" s="58">
        <f t="shared" si="0"/>
        <v>20</v>
      </c>
      <c r="H9" s="58">
        <f t="shared" si="0"/>
        <v>20</v>
      </c>
      <c r="I9" s="58">
        <f t="shared" ref="I9" si="1">SUBTOTAL(3,I10:I190)</f>
        <v>2</v>
      </c>
      <c r="J9" s="58">
        <f t="shared" ref="J9" si="2">SUBTOTAL(3,J10:J190)</f>
        <v>20</v>
      </c>
      <c r="K9" s="58">
        <f t="shared" ref="K9" si="3">SUBTOTAL(3,K10:K190)</f>
        <v>20</v>
      </c>
      <c r="L9" s="58">
        <f t="shared" ref="L9" si="4">SUBTOTAL(3,L10:L190)</f>
        <v>20</v>
      </c>
      <c r="M9" s="58">
        <f t="shared" ref="M9" si="5">SUBTOTAL(3,M10:M190)</f>
        <v>20</v>
      </c>
      <c r="N9" s="58">
        <f t="shared" ref="N9" si="6">SUBTOTAL(3,N10:N190)</f>
        <v>20</v>
      </c>
      <c r="O9" s="58">
        <f t="shared" ref="O9" si="7">SUBTOTAL(3,O10:O190)</f>
        <v>20</v>
      </c>
      <c r="P9" s="58">
        <f t="shared" ref="P9" si="8">SUBTOTAL(3,P10:P190)</f>
        <v>20</v>
      </c>
      <c r="Q9" s="58">
        <f t="shared" ref="Q9" si="9">SUBTOTAL(3,Q10:Q190)</f>
        <v>20</v>
      </c>
      <c r="R9" s="58">
        <f t="shared" ref="R9" si="10">SUBTOTAL(3,R10:R190)</f>
        <v>20</v>
      </c>
      <c r="S9" s="58">
        <f t="shared" ref="S9" si="11">SUBTOTAL(3,S10:S190)</f>
        <v>20</v>
      </c>
      <c r="T9" s="58">
        <f t="shared" ref="T9" si="12">SUBTOTAL(3,T10:T190)</f>
        <v>20</v>
      </c>
      <c r="U9" s="58">
        <f t="shared" ref="U9" si="13">SUBTOTAL(3,U10:U190)</f>
        <v>20</v>
      </c>
      <c r="V9" s="58">
        <f t="shared" ref="V9" si="14">SUBTOTAL(3,V10:V190)</f>
        <v>20</v>
      </c>
      <c r="W9" s="58">
        <f t="shared" ref="W9" si="15">SUBTOTAL(3,W10:W190)</f>
        <v>20</v>
      </c>
      <c r="X9" s="58">
        <f t="shared" ref="X9" si="16">SUBTOTAL(3,X10:X190)</f>
        <v>20</v>
      </c>
      <c r="Y9" s="58">
        <f t="shared" ref="Y9" si="17">SUBTOTAL(3,Y10:Y190)</f>
        <v>20</v>
      </c>
      <c r="Z9" s="58">
        <f t="shared" ref="Z9" si="18">SUBTOTAL(3,Z10:Z190)</f>
        <v>0</v>
      </c>
      <c r="AA9" s="58">
        <f t="shared" ref="AA9" si="19">SUBTOTAL(3,AA10:AA190)</f>
        <v>20</v>
      </c>
      <c r="AB9" s="58">
        <f t="shared" ref="AB9" si="20">SUBTOTAL(3,AB10:AB190)</f>
        <v>0</v>
      </c>
      <c r="AC9" s="58">
        <f t="shared" ref="AC9" si="21">SUBTOTAL(3,AC10:AC190)</f>
        <v>0</v>
      </c>
      <c r="AD9" s="58">
        <f t="shared" ref="AD9" si="22">SUBTOTAL(3,AD10:AD190)</f>
        <v>20</v>
      </c>
      <c r="AE9" s="58">
        <f t="shared" ref="AE9" si="23">SUBTOTAL(3,AE10:AE190)</f>
        <v>20</v>
      </c>
      <c r="AF9" s="58">
        <f t="shared" ref="AF9" si="24">SUBTOTAL(3,AF10:AF190)</f>
        <v>20</v>
      </c>
      <c r="AG9" s="58">
        <f t="shared" ref="AG9" si="25">SUBTOTAL(3,AG10:AG190)</f>
        <v>20</v>
      </c>
      <c r="AH9" s="58">
        <f t="shared" ref="AH9" si="26">SUBTOTAL(3,AH10:AH190)</f>
        <v>20</v>
      </c>
      <c r="AI9" s="58">
        <f t="shared" ref="AI9" si="27">SUBTOTAL(3,AI10:AI190)</f>
        <v>20</v>
      </c>
      <c r="AJ9" s="58">
        <f t="shared" ref="AJ9" si="28">SUBTOTAL(3,AJ10:AJ190)</f>
        <v>20</v>
      </c>
      <c r="AK9" s="58">
        <f t="shared" ref="AK9" si="29">SUBTOTAL(3,AK10:AK190)</f>
        <v>0</v>
      </c>
      <c r="AL9" s="58">
        <f t="shared" ref="AL9" si="30">SUBTOTAL(3,AL10:AL190)</f>
        <v>20</v>
      </c>
      <c r="AM9" s="58">
        <f t="shared" ref="AM9" si="31">SUBTOTAL(3,AM10:AM190)</f>
        <v>0</v>
      </c>
      <c r="AN9" s="58">
        <f t="shared" ref="AN9" si="32">SUBTOTAL(3,AN10:AN190)</f>
        <v>0</v>
      </c>
      <c r="AO9" s="58">
        <f t="shared" ref="AO9" si="33">SUBTOTAL(3,AO10:AO190)</f>
        <v>0</v>
      </c>
      <c r="AP9" s="58">
        <f t="shared" ref="AP9" si="34">SUBTOTAL(3,AP10:AP190)</f>
        <v>0</v>
      </c>
      <c r="AQ9" s="58">
        <f t="shared" ref="AQ9" si="35">SUBTOTAL(3,AQ10:AQ190)</f>
        <v>0</v>
      </c>
      <c r="AR9" s="58">
        <f t="shared" ref="AR9" si="36">SUBTOTAL(3,AR10:AR190)</f>
        <v>0</v>
      </c>
      <c r="AS9" s="58">
        <f t="shared" ref="AS9" si="37">SUBTOTAL(3,AS10:AS190)</f>
        <v>0</v>
      </c>
      <c r="AT9" s="58">
        <f t="shared" ref="AT9" si="38">SUBTOTAL(3,AT10:AT190)</f>
        <v>20</v>
      </c>
      <c r="AU9" s="58">
        <f t="shared" ref="AU9" si="39">SUBTOTAL(3,AU10:AU190)</f>
        <v>0</v>
      </c>
      <c r="AV9" s="58">
        <f t="shared" ref="AV9" si="40">SUBTOTAL(3,AV10:AV190)</f>
        <v>0</v>
      </c>
      <c r="AW9" s="58">
        <f t="shared" ref="AW9" si="41">SUBTOTAL(3,AW10:AW190)</f>
        <v>0</v>
      </c>
      <c r="AX9" s="58">
        <f t="shared" ref="AX9" si="42">SUBTOTAL(3,AX10:AX190)</f>
        <v>20</v>
      </c>
      <c r="AY9" s="58">
        <f t="shared" ref="AY9" si="43">SUBTOTAL(3,AY10:AY190)</f>
        <v>4</v>
      </c>
      <c r="AZ9" s="58">
        <f t="shared" ref="AZ9" si="44">SUBTOTAL(3,AZ10:AZ190)</f>
        <v>20</v>
      </c>
      <c r="BA9" s="58">
        <f t="shared" ref="BA9" si="45">SUBTOTAL(3,BA10:BA190)</f>
        <v>0</v>
      </c>
      <c r="BB9" s="58">
        <f t="shared" ref="BB9" si="46">SUBTOTAL(3,BB10:BB190)</f>
        <v>0</v>
      </c>
      <c r="BC9" s="58">
        <f t="shared" ref="BC9" si="47">SUBTOTAL(3,BC10:BC190)</f>
        <v>0</v>
      </c>
      <c r="BD9" s="58">
        <f t="shared" ref="BD9" si="48">SUBTOTAL(3,BD10:BD190)</f>
        <v>0</v>
      </c>
      <c r="BE9" s="58">
        <f t="shared" ref="BE9" si="49">SUBTOTAL(3,BE10:BE190)</f>
        <v>0</v>
      </c>
      <c r="BF9" s="58">
        <f t="shared" ref="BF9" si="50">SUBTOTAL(3,BF10:BF190)</f>
        <v>20</v>
      </c>
      <c r="BG9" s="58">
        <f t="shared" ref="BG9" si="51">SUBTOTAL(3,BG10:BG190)</f>
        <v>0</v>
      </c>
      <c r="BH9" s="58">
        <f t="shared" ref="BH9" si="52">SUBTOTAL(3,BH10:BH190)</f>
        <v>0</v>
      </c>
      <c r="BI9" s="58">
        <f t="shared" ref="BI9" si="53">SUBTOTAL(3,BI10:BI190)</f>
        <v>20</v>
      </c>
      <c r="BJ9" s="58">
        <f t="shared" ref="BJ9" si="54">SUBTOTAL(3,BJ10:BJ190)</f>
        <v>0</v>
      </c>
      <c r="BK9" s="58">
        <f t="shared" ref="BK9" si="55">SUBTOTAL(3,BK10:BK190)</f>
        <v>0</v>
      </c>
      <c r="BL9" s="58">
        <f t="shared" ref="BL9" si="56">SUBTOTAL(3,BL10:BL190)</f>
        <v>0</v>
      </c>
      <c r="BM9" s="58">
        <f t="shared" ref="BM9" si="57">SUBTOTAL(3,BM10:BM190)</f>
        <v>0</v>
      </c>
    </row>
    <row r="10" spans="1:65" ht="32.450000000000003" hidden="1" customHeight="1" x14ac:dyDescent="0.8">
      <c r="A10" s="59">
        <v>1</v>
      </c>
      <c r="B10" s="81" t="s">
        <v>182</v>
      </c>
      <c r="C10" s="108" t="s">
        <v>8</v>
      </c>
      <c r="D10" s="60" t="s">
        <v>9</v>
      </c>
      <c r="E10" s="60" t="s">
        <v>10</v>
      </c>
      <c r="F10" s="61" t="s">
        <v>94</v>
      </c>
      <c r="G10" s="61" t="s">
        <v>106</v>
      </c>
      <c r="H10" s="60" t="s">
        <v>301</v>
      </c>
      <c r="I10" s="60"/>
      <c r="J10" s="61" t="s">
        <v>308</v>
      </c>
      <c r="K10" s="62" t="s">
        <v>113</v>
      </c>
      <c r="L10" s="59" t="s">
        <v>123</v>
      </c>
      <c r="M10" s="62">
        <v>9</v>
      </c>
      <c r="N10" s="63">
        <v>114</v>
      </c>
      <c r="O10" s="64">
        <v>14.601032999999999</v>
      </c>
      <c r="P10" s="64">
        <v>99.615860999999995</v>
      </c>
      <c r="Q10" s="65" t="s">
        <v>110</v>
      </c>
      <c r="R10" s="65" t="s">
        <v>110</v>
      </c>
      <c r="S10" s="62" t="str">
        <f t="shared" ref="S10:S41" si="58">IF(R10&lt;&gt;"", "Complete", IF(Q10&lt;&gt;"", "In progress", ""))</f>
        <v>Complete</v>
      </c>
      <c r="T10" s="62" t="s">
        <v>124</v>
      </c>
      <c r="U10" s="65" t="s">
        <v>380</v>
      </c>
      <c r="V10" s="65" t="s">
        <v>380</v>
      </c>
      <c r="W10" s="65" t="str">
        <f t="shared" ref="W10:W41" si="59">IF(
  AND(
     OR(M10=9,M10=18,M10=30),
     OR(G10="ภาคเหนือ",G10="ภาคใต้",G10="ภาคตะวันออก",G10="ภาคตะวันตก",G10="ภาคตะวันออกเฉียงเหนือ")
  ),
  IF(V10&lt;&gt;"","Complete",IF(U10&lt;&gt;"","In progress","")),
  "-"
)</f>
        <v>Complete</v>
      </c>
      <c r="X10" s="51" t="s">
        <v>448</v>
      </c>
      <c r="Y10" s="65" t="s">
        <v>399</v>
      </c>
      <c r="Z10" s="65"/>
      <c r="AA10" s="62" t="str">
        <f t="shared" ref="AA10:AA41" si="60">IF(Z10&lt;&gt;"", "Complete", IF(Y10&lt;&gt;"", "In progress", ""))</f>
        <v>In progress</v>
      </c>
      <c r="AB10" s="62"/>
      <c r="AC10" s="62"/>
      <c r="AD10" s="65" t="s">
        <v>110</v>
      </c>
      <c r="AE10" s="73">
        <v>244145</v>
      </c>
      <c r="AF10" s="65" t="str">
        <f t="shared" ref="AF10:AF41" si="61">IF(AE10&lt;&gt;"", "Complete", IF(AD10&lt;&gt;"", "In progress", ""))</f>
        <v>Complete</v>
      </c>
      <c r="AG10" s="73">
        <v>244206</v>
      </c>
      <c r="AH10" s="73" t="s">
        <v>399</v>
      </c>
      <c r="AI10" s="62" t="str">
        <f t="shared" ref="AI10:AI41" si="62">IF(AH10&lt;&gt;"", "Complete", IF(AG10&lt;&gt;"", "In progress", ""))</f>
        <v>Complete</v>
      </c>
      <c r="AJ10" s="62" t="s">
        <v>469</v>
      </c>
      <c r="AK10" s="62"/>
      <c r="AL10" s="62" t="str">
        <f t="shared" ref="AL10:AL41" si="63">IF(AK10&lt;&gt;"", "Complete", IF(AJ10&lt;&gt;"", "In progress", ""))</f>
        <v>In progress</v>
      </c>
      <c r="AM10" s="62"/>
      <c r="AN10" s="62"/>
      <c r="AO10" s="62"/>
      <c r="AP10" s="62"/>
      <c r="AQ10" s="62"/>
      <c r="AR10" s="62"/>
      <c r="AS10" s="62"/>
      <c r="AT10" s="62" t="str">
        <f t="shared" ref="AT10:AT41" si="64">IF(AQ10&lt;&gt;"", "Complete", IF(AP10&lt;&gt;"", "In progress", ""))</f>
        <v/>
      </c>
      <c r="AU10" s="62"/>
      <c r="AV10" s="62"/>
      <c r="AW10" s="107"/>
      <c r="AX10" s="73">
        <v>244407</v>
      </c>
      <c r="AY10" s="73">
        <v>244432</v>
      </c>
      <c r="AZ10" s="99" t="str">
        <f t="shared" ref="AZ10:AZ51" si="65">IF(AY10&lt;&gt;"", "Complete", IF(AX10&lt;&gt;"", "In progress", ""))</f>
        <v>Complete</v>
      </c>
      <c r="BA10" s="62"/>
      <c r="BB10" s="62"/>
      <c r="BC10" s="62"/>
      <c r="BD10" s="62"/>
      <c r="BE10" s="62"/>
      <c r="BF10" s="62" t="str">
        <f t="shared" ref="BF10:BF41" si="66">IF(BE10&lt;&gt;"", "Complete", IF(BD10&lt;&gt;"", "In progress", ""))</f>
        <v/>
      </c>
      <c r="BG10" s="65"/>
      <c r="BH10" s="65"/>
      <c r="BI10" s="65" t="str">
        <f t="shared" ref="BI10:BI41" si="67">IF(BH10&lt;&gt;"", "Complete", IF(BG10&lt;&gt;"", "In progress", ""))</f>
        <v/>
      </c>
      <c r="BJ10" s="66"/>
      <c r="BK10" s="66"/>
      <c r="BL10" s="67"/>
      <c r="BM10" s="67"/>
    </row>
    <row r="11" spans="1:65" ht="32.450000000000003" hidden="1" customHeight="1" x14ac:dyDescent="0.8">
      <c r="A11" s="59">
        <v>2</v>
      </c>
      <c r="B11" s="81" t="s">
        <v>236</v>
      </c>
      <c r="C11" s="60" t="s">
        <v>8</v>
      </c>
      <c r="D11" s="60" t="s">
        <v>9</v>
      </c>
      <c r="E11" s="60" t="s">
        <v>10</v>
      </c>
      <c r="F11" s="61" t="s">
        <v>94</v>
      </c>
      <c r="G11" s="61" t="s">
        <v>106</v>
      </c>
      <c r="H11" s="60" t="s">
        <v>301</v>
      </c>
      <c r="I11" s="60"/>
      <c r="J11" s="61" t="s">
        <v>309</v>
      </c>
      <c r="K11" s="62" t="s">
        <v>113</v>
      </c>
      <c r="L11" s="59" t="s">
        <v>123</v>
      </c>
      <c r="M11" s="62">
        <v>9</v>
      </c>
      <c r="N11" s="63">
        <v>90</v>
      </c>
      <c r="O11" s="64">
        <v>14.588587</v>
      </c>
      <c r="P11" s="64">
        <v>99.638116999999994</v>
      </c>
      <c r="Q11" s="65" t="s">
        <v>110</v>
      </c>
      <c r="R11" s="65" t="s">
        <v>110</v>
      </c>
      <c r="S11" s="62" t="str">
        <f t="shared" si="58"/>
        <v>Complete</v>
      </c>
      <c r="T11" s="62" t="s">
        <v>124</v>
      </c>
      <c r="U11" s="65" t="s">
        <v>380</v>
      </c>
      <c r="V11" s="65" t="s">
        <v>380</v>
      </c>
      <c r="W11" s="65" t="str">
        <f t="shared" si="59"/>
        <v>Complete</v>
      </c>
      <c r="X11" s="51" t="s">
        <v>448</v>
      </c>
      <c r="Y11" s="65" t="s">
        <v>399</v>
      </c>
      <c r="Z11" s="65"/>
      <c r="AA11" s="62" t="str">
        <f t="shared" si="60"/>
        <v>In progress</v>
      </c>
      <c r="AB11" s="62"/>
      <c r="AC11" s="62"/>
      <c r="AD11" s="65" t="s">
        <v>110</v>
      </c>
      <c r="AE11" s="73">
        <v>244145</v>
      </c>
      <c r="AF11" s="65" t="str">
        <f t="shared" si="61"/>
        <v>Complete</v>
      </c>
      <c r="AG11" s="73">
        <v>244206</v>
      </c>
      <c r="AH11" s="73" t="s">
        <v>399</v>
      </c>
      <c r="AI11" s="62" t="str">
        <f t="shared" si="62"/>
        <v>Complete</v>
      </c>
      <c r="AJ11" s="62" t="s">
        <v>469</v>
      </c>
      <c r="AK11" s="62"/>
      <c r="AL11" s="62" t="str">
        <f t="shared" si="63"/>
        <v>In progress</v>
      </c>
      <c r="AM11" s="62"/>
      <c r="AN11" s="62"/>
      <c r="AO11" s="62"/>
      <c r="AP11" s="62"/>
      <c r="AQ11" s="62"/>
      <c r="AR11" s="62"/>
      <c r="AS11" s="62"/>
      <c r="AT11" s="62" t="str">
        <f t="shared" si="64"/>
        <v/>
      </c>
      <c r="AU11" s="62"/>
      <c r="AV11" s="62"/>
      <c r="AW11" s="62"/>
      <c r="AX11" s="73">
        <v>244407</v>
      </c>
      <c r="AY11" s="73">
        <v>244432</v>
      </c>
      <c r="AZ11" s="99" t="str">
        <f t="shared" si="65"/>
        <v>Complete</v>
      </c>
      <c r="BA11" s="62"/>
      <c r="BB11" s="62"/>
      <c r="BC11" s="62"/>
      <c r="BD11" s="62"/>
      <c r="BE11" s="62"/>
      <c r="BF11" s="62" t="str">
        <f t="shared" si="66"/>
        <v/>
      </c>
      <c r="BG11" s="65"/>
      <c r="BH11" s="65"/>
      <c r="BI11" s="65" t="str">
        <f t="shared" si="67"/>
        <v/>
      </c>
      <c r="BJ11" s="66"/>
      <c r="BK11" s="66"/>
      <c r="BL11" s="67"/>
      <c r="BM11" s="67"/>
    </row>
    <row r="12" spans="1:65" ht="32.450000000000003" hidden="1" customHeight="1" x14ac:dyDescent="0.8">
      <c r="A12" s="59">
        <v>3</v>
      </c>
      <c r="B12" s="81" t="s">
        <v>251</v>
      </c>
      <c r="C12" s="60" t="s">
        <v>8</v>
      </c>
      <c r="D12" s="60" t="s">
        <v>9</v>
      </c>
      <c r="E12" s="60" t="s">
        <v>10</v>
      </c>
      <c r="F12" s="61" t="s">
        <v>94</v>
      </c>
      <c r="G12" s="61" t="s">
        <v>106</v>
      </c>
      <c r="H12" s="60" t="s">
        <v>301</v>
      </c>
      <c r="I12" s="60"/>
      <c r="J12" s="61" t="s">
        <v>310</v>
      </c>
      <c r="K12" s="62" t="s">
        <v>113</v>
      </c>
      <c r="L12" s="59" t="s">
        <v>123</v>
      </c>
      <c r="M12" s="62">
        <v>9</v>
      </c>
      <c r="N12" s="63">
        <v>104</v>
      </c>
      <c r="O12" s="64">
        <v>14.567454</v>
      </c>
      <c r="P12" s="64">
        <v>99.634530999999996</v>
      </c>
      <c r="Q12" s="65" t="s">
        <v>110</v>
      </c>
      <c r="R12" s="65" t="s">
        <v>110</v>
      </c>
      <c r="S12" s="62" t="str">
        <f t="shared" si="58"/>
        <v>Complete</v>
      </c>
      <c r="T12" s="62" t="s">
        <v>124</v>
      </c>
      <c r="U12" s="65" t="s">
        <v>380</v>
      </c>
      <c r="V12" s="65" t="s">
        <v>380</v>
      </c>
      <c r="W12" s="65" t="str">
        <f t="shared" si="59"/>
        <v>Complete</v>
      </c>
      <c r="X12" s="51" t="s">
        <v>448</v>
      </c>
      <c r="Y12" s="65" t="s">
        <v>399</v>
      </c>
      <c r="Z12" s="65"/>
      <c r="AA12" s="62" t="str">
        <f t="shared" si="60"/>
        <v>In progress</v>
      </c>
      <c r="AB12" s="62"/>
      <c r="AC12" s="62"/>
      <c r="AD12" s="65" t="s">
        <v>110</v>
      </c>
      <c r="AE12" s="73">
        <v>244145</v>
      </c>
      <c r="AF12" s="65" t="str">
        <f t="shared" si="61"/>
        <v>Complete</v>
      </c>
      <c r="AG12" s="73">
        <v>244206</v>
      </c>
      <c r="AH12" s="73" t="s">
        <v>399</v>
      </c>
      <c r="AI12" s="62" t="str">
        <f t="shared" si="62"/>
        <v>Complete</v>
      </c>
      <c r="AJ12" s="62" t="s">
        <v>469</v>
      </c>
      <c r="AK12" s="62"/>
      <c r="AL12" s="62" t="str">
        <f t="shared" si="63"/>
        <v>In progress</v>
      </c>
      <c r="AM12" s="62"/>
      <c r="AN12" s="62"/>
      <c r="AO12" s="62"/>
      <c r="AP12" s="62"/>
      <c r="AQ12" s="62"/>
      <c r="AR12" s="62"/>
      <c r="AS12" s="62"/>
      <c r="AT12" s="62" t="str">
        <f t="shared" si="64"/>
        <v/>
      </c>
      <c r="AU12" s="62"/>
      <c r="AV12" s="62"/>
      <c r="AW12" s="62"/>
      <c r="AX12" s="73">
        <v>244407</v>
      </c>
      <c r="AY12" s="73">
        <v>244433</v>
      </c>
      <c r="AZ12" s="99" t="str">
        <f t="shared" si="65"/>
        <v>Complete</v>
      </c>
      <c r="BA12" s="62"/>
      <c r="BB12" s="62"/>
      <c r="BC12" s="62"/>
      <c r="BD12" s="62"/>
      <c r="BE12" s="62"/>
      <c r="BF12" s="62" t="str">
        <f t="shared" si="66"/>
        <v/>
      </c>
      <c r="BG12" s="65"/>
      <c r="BH12" s="65"/>
      <c r="BI12" s="65" t="str">
        <f t="shared" si="67"/>
        <v/>
      </c>
      <c r="BJ12" s="66"/>
      <c r="BK12" s="66"/>
      <c r="BL12" s="67"/>
      <c r="BM12" s="67"/>
    </row>
    <row r="13" spans="1:65" ht="32.450000000000003" hidden="1" customHeight="1" x14ac:dyDescent="0.8">
      <c r="A13" s="62">
        <v>4</v>
      </c>
      <c r="B13" s="81" t="s">
        <v>266</v>
      </c>
      <c r="C13" s="60" t="s">
        <v>8</v>
      </c>
      <c r="D13" s="60" t="s">
        <v>9</v>
      </c>
      <c r="E13" s="60" t="s">
        <v>10</v>
      </c>
      <c r="F13" s="61" t="s">
        <v>94</v>
      </c>
      <c r="G13" s="61" t="s">
        <v>106</v>
      </c>
      <c r="H13" s="60" t="s">
        <v>301</v>
      </c>
      <c r="I13" s="60"/>
      <c r="J13" s="61" t="s">
        <v>311</v>
      </c>
      <c r="K13" s="62" t="s">
        <v>113</v>
      </c>
      <c r="L13" s="59" t="s">
        <v>123</v>
      </c>
      <c r="M13" s="62">
        <v>9</v>
      </c>
      <c r="N13" s="63">
        <v>86</v>
      </c>
      <c r="O13" s="64">
        <v>14.625292</v>
      </c>
      <c r="P13" s="64">
        <v>99.652235000000005</v>
      </c>
      <c r="Q13" s="65" t="s">
        <v>110</v>
      </c>
      <c r="R13" s="65" t="s">
        <v>110</v>
      </c>
      <c r="S13" s="62" t="str">
        <f t="shared" si="58"/>
        <v>Complete</v>
      </c>
      <c r="T13" s="62" t="s">
        <v>124</v>
      </c>
      <c r="U13" s="65" t="s">
        <v>380</v>
      </c>
      <c r="V13" s="65" t="s">
        <v>380</v>
      </c>
      <c r="W13" s="65" t="str">
        <f t="shared" si="59"/>
        <v>Complete</v>
      </c>
      <c r="X13" s="51" t="s">
        <v>448</v>
      </c>
      <c r="Y13" s="65" t="s">
        <v>399</v>
      </c>
      <c r="Z13" s="65"/>
      <c r="AA13" s="62" t="str">
        <f t="shared" si="60"/>
        <v>In progress</v>
      </c>
      <c r="AB13" s="62"/>
      <c r="AC13" s="62"/>
      <c r="AD13" s="65" t="s">
        <v>110</v>
      </c>
      <c r="AE13" s="73">
        <v>244145</v>
      </c>
      <c r="AF13" s="65" t="str">
        <f t="shared" si="61"/>
        <v>Complete</v>
      </c>
      <c r="AG13" s="73">
        <v>244206</v>
      </c>
      <c r="AH13" s="73" t="s">
        <v>399</v>
      </c>
      <c r="AI13" s="62" t="str">
        <f t="shared" si="62"/>
        <v>Complete</v>
      </c>
      <c r="AJ13" s="62" t="s">
        <v>469</v>
      </c>
      <c r="AK13" s="62"/>
      <c r="AL13" s="62" t="str">
        <f t="shared" si="63"/>
        <v>In progress</v>
      </c>
      <c r="AM13" s="62"/>
      <c r="AN13" s="62"/>
      <c r="AO13" s="62"/>
      <c r="AP13" s="62"/>
      <c r="AQ13" s="62"/>
      <c r="AR13" s="62"/>
      <c r="AS13" s="62"/>
      <c r="AT13" s="62" t="str">
        <f t="shared" si="64"/>
        <v/>
      </c>
      <c r="AU13" s="62"/>
      <c r="AV13" s="62"/>
      <c r="AW13" s="62"/>
      <c r="AX13" s="73">
        <v>244407</v>
      </c>
      <c r="AY13" s="73">
        <v>244432</v>
      </c>
      <c r="AZ13" s="99" t="str">
        <f t="shared" si="65"/>
        <v>Complete</v>
      </c>
      <c r="BA13" s="62"/>
      <c r="BB13" s="62"/>
      <c r="BC13" s="62"/>
      <c r="BD13" s="62"/>
      <c r="BE13" s="62"/>
      <c r="BF13" s="62" t="str">
        <f t="shared" si="66"/>
        <v/>
      </c>
      <c r="BG13" s="65"/>
      <c r="BH13" s="65"/>
      <c r="BI13" s="65" t="str">
        <f t="shared" si="67"/>
        <v/>
      </c>
      <c r="BJ13" s="66"/>
      <c r="BK13" s="66"/>
      <c r="BL13" s="67"/>
      <c r="BM13" s="67"/>
    </row>
    <row r="14" spans="1:65" ht="32.450000000000003" hidden="1" customHeight="1" x14ac:dyDescent="0.8">
      <c r="A14" s="62">
        <v>5</v>
      </c>
      <c r="B14" s="81" t="s">
        <v>161</v>
      </c>
      <c r="C14" s="60" t="s">
        <v>11</v>
      </c>
      <c r="D14" s="60" t="s">
        <v>9</v>
      </c>
      <c r="E14" s="60" t="s">
        <v>10</v>
      </c>
      <c r="F14" s="61" t="s">
        <v>94</v>
      </c>
      <c r="G14" s="61" t="s">
        <v>106</v>
      </c>
      <c r="H14" s="60" t="s">
        <v>301</v>
      </c>
      <c r="I14" s="60"/>
      <c r="J14" s="61" t="s">
        <v>312</v>
      </c>
      <c r="K14" s="62" t="s">
        <v>113</v>
      </c>
      <c r="L14" s="59" t="s">
        <v>123</v>
      </c>
      <c r="M14" s="62">
        <v>9</v>
      </c>
      <c r="N14" s="63">
        <v>105</v>
      </c>
      <c r="O14" s="64">
        <v>14.477975000000001</v>
      </c>
      <c r="P14" s="64">
        <v>99.653895000000006</v>
      </c>
      <c r="Q14" s="65" t="s">
        <v>110</v>
      </c>
      <c r="R14" s="65" t="s">
        <v>110</v>
      </c>
      <c r="S14" s="62" t="str">
        <f t="shared" si="58"/>
        <v>Complete</v>
      </c>
      <c r="T14" s="62" t="s">
        <v>124</v>
      </c>
      <c r="U14" s="65" t="s">
        <v>380</v>
      </c>
      <c r="V14" s="65" t="s">
        <v>380</v>
      </c>
      <c r="W14" s="65" t="str">
        <f t="shared" si="59"/>
        <v>Complete</v>
      </c>
      <c r="X14" s="51" t="s">
        <v>448</v>
      </c>
      <c r="Y14" s="65" t="s">
        <v>399</v>
      </c>
      <c r="Z14" s="65"/>
      <c r="AA14" s="62" t="str">
        <f t="shared" si="60"/>
        <v>In progress</v>
      </c>
      <c r="AB14" s="62"/>
      <c r="AC14" s="62"/>
      <c r="AD14" s="65" t="s">
        <v>110</v>
      </c>
      <c r="AE14" s="73">
        <v>244145</v>
      </c>
      <c r="AF14" s="65" t="str">
        <f t="shared" si="61"/>
        <v>Complete</v>
      </c>
      <c r="AG14" s="73">
        <v>244206</v>
      </c>
      <c r="AH14" s="73" t="s">
        <v>399</v>
      </c>
      <c r="AI14" s="62" t="str">
        <f t="shared" si="62"/>
        <v>Complete</v>
      </c>
      <c r="AJ14" s="62" t="s">
        <v>469</v>
      </c>
      <c r="AK14" s="62"/>
      <c r="AL14" s="62" t="str">
        <f t="shared" si="63"/>
        <v>In progress</v>
      </c>
      <c r="AM14" s="62"/>
      <c r="AN14" s="62"/>
      <c r="AO14" s="62"/>
      <c r="AP14" s="62"/>
      <c r="AQ14" s="62"/>
      <c r="AR14" s="62"/>
      <c r="AS14" s="62"/>
      <c r="AT14" s="62" t="str">
        <f t="shared" si="64"/>
        <v/>
      </c>
      <c r="AU14" s="62"/>
      <c r="AV14" s="62"/>
      <c r="AW14" s="62"/>
      <c r="AX14" s="73">
        <v>244381</v>
      </c>
      <c r="AY14" s="73">
        <v>244436</v>
      </c>
      <c r="AZ14" s="99" t="str">
        <f t="shared" si="65"/>
        <v>Complete</v>
      </c>
      <c r="BA14" s="62"/>
      <c r="BB14" s="62"/>
      <c r="BC14" s="62"/>
      <c r="BD14" s="62"/>
      <c r="BE14" s="62"/>
      <c r="BF14" s="62" t="str">
        <f t="shared" si="66"/>
        <v/>
      </c>
      <c r="BG14" s="65"/>
      <c r="BH14" s="65"/>
      <c r="BI14" s="65" t="str">
        <f t="shared" si="67"/>
        <v/>
      </c>
      <c r="BJ14" s="66"/>
      <c r="BK14" s="66"/>
      <c r="BL14" s="67"/>
      <c r="BM14" s="67"/>
    </row>
    <row r="15" spans="1:65" ht="32.450000000000003" hidden="1" customHeight="1" x14ac:dyDescent="0.8">
      <c r="A15" s="59">
        <v>6</v>
      </c>
      <c r="B15" s="81" t="s">
        <v>203</v>
      </c>
      <c r="C15" s="108" t="s">
        <v>11</v>
      </c>
      <c r="D15" s="60" t="s">
        <v>9</v>
      </c>
      <c r="E15" s="60" t="s">
        <v>10</v>
      </c>
      <c r="F15" s="61" t="s">
        <v>94</v>
      </c>
      <c r="G15" s="61" t="s">
        <v>106</v>
      </c>
      <c r="H15" s="60" t="s">
        <v>301</v>
      </c>
      <c r="I15" s="60"/>
      <c r="J15" s="61" t="s">
        <v>313</v>
      </c>
      <c r="K15" s="62" t="s">
        <v>113</v>
      </c>
      <c r="L15" s="59" t="s">
        <v>123</v>
      </c>
      <c r="M15" s="62">
        <v>9</v>
      </c>
      <c r="N15" s="63">
        <v>106</v>
      </c>
      <c r="O15" s="64">
        <v>14.532685000000001</v>
      </c>
      <c r="P15" s="64">
        <v>99.649880999999993</v>
      </c>
      <c r="Q15" s="65" t="s">
        <v>110</v>
      </c>
      <c r="R15" s="65" t="s">
        <v>110</v>
      </c>
      <c r="S15" s="62" t="str">
        <f t="shared" si="58"/>
        <v>Complete</v>
      </c>
      <c r="T15" s="62" t="s">
        <v>124</v>
      </c>
      <c r="U15" s="65" t="s">
        <v>380</v>
      </c>
      <c r="V15" s="65" t="s">
        <v>380</v>
      </c>
      <c r="W15" s="65" t="str">
        <f t="shared" si="59"/>
        <v>Complete</v>
      </c>
      <c r="X15" s="51" t="s">
        <v>448</v>
      </c>
      <c r="Y15" s="65" t="s">
        <v>399</v>
      </c>
      <c r="Z15" s="65"/>
      <c r="AA15" s="62" t="str">
        <f t="shared" si="60"/>
        <v>In progress</v>
      </c>
      <c r="AB15" s="62"/>
      <c r="AC15" s="62"/>
      <c r="AD15" s="65" t="s">
        <v>110</v>
      </c>
      <c r="AE15" s="73">
        <v>244145</v>
      </c>
      <c r="AF15" s="65" t="str">
        <f t="shared" si="61"/>
        <v>Complete</v>
      </c>
      <c r="AG15" s="73">
        <v>244206</v>
      </c>
      <c r="AH15" s="73" t="s">
        <v>399</v>
      </c>
      <c r="AI15" s="62" t="str">
        <f t="shared" si="62"/>
        <v>Complete</v>
      </c>
      <c r="AJ15" s="62" t="s">
        <v>469</v>
      </c>
      <c r="AK15" s="62"/>
      <c r="AL15" s="62" t="str">
        <f t="shared" si="63"/>
        <v>In progress</v>
      </c>
      <c r="AM15" s="62"/>
      <c r="AN15" s="62"/>
      <c r="AO15" s="62"/>
      <c r="AP15" s="62"/>
      <c r="AQ15" s="62"/>
      <c r="AR15" s="62"/>
      <c r="AS15" s="62"/>
      <c r="AT15" s="62" t="str">
        <f t="shared" si="64"/>
        <v/>
      </c>
      <c r="AU15" s="62"/>
      <c r="AV15" s="62"/>
      <c r="AW15" s="107"/>
      <c r="AX15" s="73">
        <v>244407</v>
      </c>
      <c r="AY15" s="73">
        <v>244433</v>
      </c>
      <c r="AZ15" s="99" t="str">
        <f t="shared" si="65"/>
        <v>Complete</v>
      </c>
      <c r="BA15" s="62"/>
      <c r="BB15" s="62"/>
      <c r="BC15" s="62"/>
      <c r="BD15" s="62"/>
      <c r="BE15" s="62"/>
      <c r="BF15" s="62" t="str">
        <f t="shared" si="66"/>
        <v/>
      </c>
      <c r="BG15" s="65"/>
      <c r="BH15" s="65"/>
      <c r="BI15" s="65" t="str">
        <f t="shared" si="67"/>
        <v/>
      </c>
      <c r="BJ15" s="66"/>
      <c r="BK15" s="66"/>
      <c r="BL15" s="67"/>
      <c r="BM15" s="67"/>
    </row>
    <row r="16" spans="1:65" ht="32.450000000000003" hidden="1" customHeight="1" x14ac:dyDescent="0.8">
      <c r="A16" s="59">
        <v>7</v>
      </c>
      <c r="B16" s="81" t="s">
        <v>223</v>
      </c>
      <c r="C16" s="60" t="s">
        <v>11</v>
      </c>
      <c r="D16" s="60" t="s">
        <v>9</v>
      </c>
      <c r="E16" s="60" t="s">
        <v>10</v>
      </c>
      <c r="F16" s="61" t="s">
        <v>94</v>
      </c>
      <c r="G16" s="61" t="s">
        <v>106</v>
      </c>
      <c r="H16" s="60" t="s">
        <v>301</v>
      </c>
      <c r="I16" s="60"/>
      <c r="J16" s="61" t="s">
        <v>314</v>
      </c>
      <c r="K16" s="62" t="s">
        <v>113</v>
      </c>
      <c r="L16" s="59" t="s">
        <v>123</v>
      </c>
      <c r="M16" s="62">
        <v>9</v>
      </c>
      <c r="N16" s="63">
        <v>87</v>
      </c>
      <c r="O16" s="64">
        <v>14.494989</v>
      </c>
      <c r="P16" s="64">
        <v>99.673000999999999</v>
      </c>
      <c r="Q16" s="65" t="s">
        <v>110</v>
      </c>
      <c r="R16" s="65" t="s">
        <v>110</v>
      </c>
      <c r="S16" s="62" t="str">
        <f t="shared" si="58"/>
        <v>Complete</v>
      </c>
      <c r="T16" s="62" t="s">
        <v>124</v>
      </c>
      <c r="U16" s="65" t="s">
        <v>380</v>
      </c>
      <c r="V16" s="65" t="s">
        <v>380</v>
      </c>
      <c r="W16" s="65" t="str">
        <f t="shared" si="59"/>
        <v>Complete</v>
      </c>
      <c r="X16" s="51" t="s">
        <v>448</v>
      </c>
      <c r="Y16" s="65" t="s">
        <v>399</v>
      </c>
      <c r="Z16" s="65"/>
      <c r="AA16" s="62" t="str">
        <f t="shared" si="60"/>
        <v>In progress</v>
      </c>
      <c r="AB16" s="62"/>
      <c r="AC16" s="62"/>
      <c r="AD16" s="65" t="s">
        <v>110</v>
      </c>
      <c r="AE16" s="73">
        <v>244145</v>
      </c>
      <c r="AF16" s="65" t="str">
        <f t="shared" si="61"/>
        <v>Complete</v>
      </c>
      <c r="AG16" s="73">
        <v>244206</v>
      </c>
      <c r="AH16" s="73" t="s">
        <v>399</v>
      </c>
      <c r="AI16" s="62" t="str">
        <f t="shared" si="62"/>
        <v>Complete</v>
      </c>
      <c r="AJ16" s="62" t="s">
        <v>469</v>
      </c>
      <c r="AK16" s="62"/>
      <c r="AL16" s="62" t="str">
        <f t="shared" si="63"/>
        <v>In progress</v>
      </c>
      <c r="AM16" s="62"/>
      <c r="AN16" s="62"/>
      <c r="AO16" s="62"/>
      <c r="AP16" s="62"/>
      <c r="AQ16" s="62"/>
      <c r="AR16" s="62"/>
      <c r="AS16" s="62"/>
      <c r="AT16" s="62" t="str">
        <f t="shared" si="64"/>
        <v/>
      </c>
      <c r="AU16" s="62"/>
      <c r="AV16" s="62"/>
      <c r="AW16" s="62"/>
      <c r="AX16" s="73">
        <v>244381</v>
      </c>
      <c r="AY16" s="73">
        <v>244434</v>
      </c>
      <c r="AZ16" s="99" t="str">
        <f t="shared" si="65"/>
        <v>Complete</v>
      </c>
      <c r="BA16" s="62"/>
      <c r="BB16" s="62"/>
      <c r="BC16" s="62"/>
      <c r="BD16" s="62"/>
      <c r="BE16" s="62"/>
      <c r="BF16" s="62" t="str">
        <f t="shared" si="66"/>
        <v/>
      </c>
      <c r="BG16" s="65"/>
      <c r="BH16" s="65"/>
      <c r="BI16" s="65" t="str">
        <f t="shared" si="67"/>
        <v/>
      </c>
      <c r="BJ16" s="66"/>
      <c r="BK16" s="66"/>
      <c r="BL16" s="67"/>
      <c r="BM16" s="67"/>
    </row>
    <row r="17" spans="1:65" ht="32.450000000000003" hidden="1" customHeight="1" x14ac:dyDescent="0.8">
      <c r="A17" s="59">
        <v>8</v>
      </c>
      <c r="B17" s="81" t="s">
        <v>278</v>
      </c>
      <c r="C17" s="60" t="s">
        <v>11</v>
      </c>
      <c r="D17" s="60" t="s">
        <v>9</v>
      </c>
      <c r="E17" s="60" t="s">
        <v>10</v>
      </c>
      <c r="F17" s="61" t="s">
        <v>94</v>
      </c>
      <c r="G17" s="61" t="s">
        <v>106</v>
      </c>
      <c r="H17" s="60" t="s">
        <v>301</v>
      </c>
      <c r="I17" s="60"/>
      <c r="J17" s="61" t="s">
        <v>315</v>
      </c>
      <c r="K17" s="62" t="s">
        <v>113</v>
      </c>
      <c r="L17" s="59" t="s">
        <v>123</v>
      </c>
      <c r="M17" s="62">
        <v>9</v>
      </c>
      <c r="N17" s="63">
        <v>132</v>
      </c>
      <c r="O17" s="64">
        <v>14.51521</v>
      </c>
      <c r="P17" s="64">
        <v>99.633162999999996</v>
      </c>
      <c r="Q17" s="65" t="s">
        <v>110</v>
      </c>
      <c r="R17" s="65" t="s">
        <v>110</v>
      </c>
      <c r="S17" s="62" t="str">
        <f t="shared" si="58"/>
        <v>Complete</v>
      </c>
      <c r="T17" s="62" t="s">
        <v>124</v>
      </c>
      <c r="U17" s="65" t="s">
        <v>380</v>
      </c>
      <c r="V17" s="65" t="s">
        <v>380</v>
      </c>
      <c r="W17" s="65" t="str">
        <f t="shared" si="59"/>
        <v>Complete</v>
      </c>
      <c r="X17" s="51" t="s">
        <v>448</v>
      </c>
      <c r="Y17" s="65" t="s">
        <v>399</v>
      </c>
      <c r="Z17" s="65"/>
      <c r="AA17" s="62" t="str">
        <f t="shared" si="60"/>
        <v>In progress</v>
      </c>
      <c r="AB17" s="62"/>
      <c r="AC17" s="62"/>
      <c r="AD17" s="65" t="s">
        <v>110</v>
      </c>
      <c r="AE17" s="73">
        <v>244145</v>
      </c>
      <c r="AF17" s="65" t="str">
        <f t="shared" si="61"/>
        <v>Complete</v>
      </c>
      <c r="AG17" s="73">
        <v>244206</v>
      </c>
      <c r="AH17" s="73" t="s">
        <v>399</v>
      </c>
      <c r="AI17" s="62" t="str">
        <f t="shared" si="62"/>
        <v>Complete</v>
      </c>
      <c r="AJ17" s="62" t="s">
        <v>469</v>
      </c>
      <c r="AK17" s="62"/>
      <c r="AL17" s="62" t="str">
        <f t="shared" si="63"/>
        <v>In progress</v>
      </c>
      <c r="AM17" s="62"/>
      <c r="AN17" s="62"/>
      <c r="AO17" s="62"/>
      <c r="AP17" s="62"/>
      <c r="AQ17" s="62"/>
      <c r="AR17" s="62"/>
      <c r="AS17" s="62"/>
      <c r="AT17" s="62" t="str">
        <f t="shared" si="64"/>
        <v/>
      </c>
      <c r="AU17" s="62"/>
      <c r="AV17" s="62"/>
      <c r="AW17" s="62"/>
      <c r="AX17" s="73">
        <v>244407</v>
      </c>
      <c r="AY17" s="73">
        <v>244433</v>
      </c>
      <c r="AZ17" s="99" t="str">
        <f t="shared" si="65"/>
        <v>Complete</v>
      </c>
      <c r="BA17" s="62"/>
      <c r="BB17" s="62"/>
      <c r="BC17" s="62"/>
      <c r="BD17" s="62"/>
      <c r="BE17" s="62"/>
      <c r="BF17" s="62" t="str">
        <f t="shared" si="66"/>
        <v/>
      </c>
      <c r="BG17" s="65"/>
      <c r="BH17" s="65"/>
      <c r="BI17" s="65" t="str">
        <f t="shared" si="67"/>
        <v/>
      </c>
      <c r="BJ17" s="66"/>
      <c r="BK17" s="66"/>
      <c r="BL17" s="67"/>
      <c r="BM17" s="67"/>
    </row>
    <row r="18" spans="1:65" ht="32.450000000000003" hidden="1" customHeight="1" x14ac:dyDescent="0.8">
      <c r="A18" s="62">
        <v>9</v>
      </c>
      <c r="B18" s="81" t="s">
        <v>289</v>
      </c>
      <c r="C18" s="60" t="s">
        <v>12</v>
      </c>
      <c r="D18" s="60" t="s">
        <v>9</v>
      </c>
      <c r="E18" s="60" t="s">
        <v>10</v>
      </c>
      <c r="F18" s="61" t="s">
        <v>94</v>
      </c>
      <c r="G18" s="61" t="s">
        <v>106</v>
      </c>
      <c r="H18" s="60" t="s">
        <v>301</v>
      </c>
      <c r="I18" s="60"/>
      <c r="J18" s="61" t="s">
        <v>316</v>
      </c>
      <c r="K18" s="62" t="s">
        <v>113</v>
      </c>
      <c r="L18" s="59" t="s">
        <v>123</v>
      </c>
      <c r="M18" s="62">
        <v>9</v>
      </c>
      <c r="N18" s="63">
        <v>73</v>
      </c>
      <c r="O18" s="64">
        <v>14.486867</v>
      </c>
      <c r="P18" s="64">
        <v>99.695015999999995</v>
      </c>
      <c r="Q18" s="65" t="s">
        <v>110</v>
      </c>
      <c r="R18" s="65" t="s">
        <v>110</v>
      </c>
      <c r="S18" s="62" t="str">
        <f t="shared" si="58"/>
        <v>Complete</v>
      </c>
      <c r="T18" s="62" t="s">
        <v>124</v>
      </c>
      <c r="U18" s="65" t="s">
        <v>380</v>
      </c>
      <c r="V18" s="65" t="s">
        <v>380</v>
      </c>
      <c r="W18" s="65" t="str">
        <f t="shared" si="59"/>
        <v>Complete</v>
      </c>
      <c r="X18" s="51" t="s">
        <v>448</v>
      </c>
      <c r="Y18" s="65" t="s">
        <v>399</v>
      </c>
      <c r="Z18" s="65"/>
      <c r="AA18" s="62" t="str">
        <f t="shared" si="60"/>
        <v>In progress</v>
      </c>
      <c r="AB18" s="62"/>
      <c r="AC18" s="62"/>
      <c r="AD18" s="65" t="s">
        <v>110</v>
      </c>
      <c r="AE18" s="73">
        <v>244145</v>
      </c>
      <c r="AF18" s="65" t="str">
        <f t="shared" si="61"/>
        <v>Complete</v>
      </c>
      <c r="AG18" s="73">
        <v>244206</v>
      </c>
      <c r="AH18" s="73" t="s">
        <v>399</v>
      </c>
      <c r="AI18" s="62" t="str">
        <f t="shared" si="62"/>
        <v>Complete</v>
      </c>
      <c r="AJ18" s="62" t="s">
        <v>469</v>
      </c>
      <c r="AK18" s="62"/>
      <c r="AL18" s="62" t="str">
        <f t="shared" si="63"/>
        <v>In progress</v>
      </c>
      <c r="AM18" s="62"/>
      <c r="AN18" s="62"/>
      <c r="AO18" s="62"/>
      <c r="AP18" s="62"/>
      <c r="AQ18" s="62"/>
      <c r="AR18" s="62"/>
      <c r="AS18" s="62"/>
      <c r="AT18" s="62" t="str">
        <f t="shared" si="64"/>
        <v/>
      </c>
      <c r="AU18" s="107"/>
      <c r="AV18" s="62"/>
      <c r="AW18" s="62"/>
      <c r="AX18" s="73">
        <v>244381</v>
      </c>
      <c r="AY18" s="73">
        <v>244434</v>
      </c>
      <c r="AZ18" s="99" t="str">
        <f t="shared" si="65"/>
        <v>Complete</v>
      </c>
      <c r="BA18" s="62"/>
      <c r="BB18" s="62"/>
      <c r="BC18" s="62"/>
      <c r="BD18" s="62"/>
      <c r="BE18" s="62"/>
      <c r="BF18" s="62" t="str">
        <f t="shared" si="66"/>
        <v/>
      </c>
      <c r="BG18" s="65"/>
      <c r="BH18" s="65"/>
      <c r="BI18" s="65" t="str">
        <f t="shared" si="67"/>
        <v/>
      </c>
      <c r="BJ18" s="66"/>
      <c r="BK18" s="66"/>
      <c r="BL18" s="67"/>
      <c r="BM18" s="67"/>
    </row>
    <row r="19" spans="1:65" ht="32.450000000000003" hidden="1" customHeight="1" x14ac:dyDescent="0.8">
      <c r="A19" s="62">
        <v>10</v>
      </c>
      <c r="B19" s="81" t="s">
        <v>144</v>
      </c>
      <c r="C19" s="60" t="s">
        <v>12</v>
      </c>
      <c r="D19" s="60" t="s">
        <v>9</v>
      </c>
      <c r="E19" s="60" t="s">
        <v>10</v>
      </c>
      <c r="F19" s="61" t="s">
        <v>94</v>
      </c>
      <c r="G19" s="61" t="s">
        <v>106</v>
      </c>
      <c r="H19" s="60" t="s">
        <v>301</v>
      </c>
      <c r="I19" s="60"/>
      <c r="J19" s="61" t="s">
        <v>317</v>
      </c>
      <c r="K19" s="62" t="s">
        <v>113</v>
      </c>
      <c r="L19" s="59" t="s">
        <v>123</v>
      </c>
      <c r="M19" s="62">
        <v>9</v>
      </c>
      <c r="N19" s="63">
        <v>42</v>
      </c>
      <c r="O19" s="64">
        <v>14.448948</v>
      </c>
      <c r="P19" s="64">
        <v>99.723167000000004</v>
      </c>
      <c r="Q19" s="65" t="s">
        <v>110</v>
      </c>
      <c r="R19" s="65" t="s">
        <v>110</v>
      </c>
      <c r="S19" s="62" t="str">
        <f t="shared" si="58"/>
        <v>Complete</v>
      </c>
      <c r="T19" s="62" t="s">
        <v>124</v>
      </c>
      <c r="U19" s="65" t="s">
        <v>380</v>
      </c>
      <c r="V19" s="65" t="s">
        <v>380</v>
      </c>
      <c r="W19" s="65" t="str">
        <f t="shared" si="59"/>
        <v>Complete</v>
      </c>
      <c r="X19" s="51" t="s">
        <v>448</v>
      </c>
      <c r="Y19" s="65" t="s">
        <v>399</v>
      </c>
      <c r="Z19" s="65"/>
      <c r="AA19" s="62" t="str">
        <f t="shared" si="60"/>
        <v>In progress</v>
      </c>
      <c r="AB19" s="62"/>
      <c r="AC19" s="62"/>
      <c r="AD19" s="65" t="s">
        <v>110</v>
      </c>
      <c r="AE19" s="73">
        <v>244145</v>
      </c>
      <c r="AF19" s="65" t="str">
        <f t="shared" si="61"/>
        <v>Complete</v>
      </c>
      <c r="AG19" s="73">
        <v>244206</v>
      </c>
      <c r="AH19" s="73" t="s">
        <v>399</v>
      </c>
      <c r="AI19" s="62" t="str">
        <f t="shared" si="62"/>
        <v>Complete</v>
      </c>
      <c r="AJ19" s="62" t="s">
        <v>469</v>
      </c>
      <c r="AK19" s="62"/>
      <c r="AL19" s="62" t="str">
        <f t="shared" si="63"/>
        <v>In progress</v>
      </c>
      <c r="AM19" s="62"/>
      <c r="AN19" s="62"/>
      <c r="AO19" s="62"/>
      <c r="AP19" s="62"/>
      <c r="AQ19" s="62"/>
      <c r="AR19" s="62"/>
      <c r="AS19" s="62"/>
      <c r="AT19" s="62" t="str">
        <f t="shared" si="64"/>
        <v/>
      </c>
      <c r="AU19" s="62"/>
      <c r="AV19" s="62"/>
      <c r="AW19" s="62"/>
      <c r="AX19" s="73">
        <v>244398</v>
      </c>
      <c r="AY19" s="73">
        <v>244436</v>
      </c>
      <c r="AZ19" s="99" t="str">
        <f t="shared" si="65"/>
        <v>Complete</v>
      </c>
      <c r="BA19" s="62"/>
      <c r="BB19" s="62"/>
      <c r="BC19" s="62"/>
      <c r="BD19" s="62"/>
      <c r="BE19" s="62"/>
      <c r="BF19" s="62" t="str">
        <f t="shared" si="66"/>
        <v/>
      </c>
      <c r="BG19" s="65"/>
      <c r="BH19" s="65"/>
      <c r="BI19" s="65" t="str">
        <f t="shared" si="67"/>
        <v/>
      </c>
      <c r="BJ19" s="66"/>
      <c r="BK19" s="66"/>
      <c r="BL19" s="67"/>
      <c r="BM19" s="67"/>
    </row>
    <row r="20" spans="1:65" ht="32.450000000000003" hidden="1" customHeight="1" x14ac:dyDescent="0.8">
      <c r="A20" s="59">
        <v>11</v>
      </c>
      <c r="B20" s="81" t="s">
        <v>431</v>
      </c>
      <c r="C20" s="60" t="s">
        <v>12</v>
      </c>
      <c r="D20" s="60" t="s">
        <v>9</v>
      </c>
      <c r="E20" s="60" t="s">
        <v>10</v>
      </c>
      <c r="F20" s="61" t="s">
        <v>94</v>
      </c>
      <c r="G20" s="61" t="s">
        <v>106</v>
      </c>
      <c r="H20" s="60" t="s">
        <v>301</v>
      </c>
      <c r="I20" s="60"/>
      <c r="J20" s="61" t="s">
        <v>308</v>
      </c>
      <c r="K20" s="62" t="s">
        <v>113</v>
      </c>
      <c r="L20" s="59" t="s">
        <v>123</v>
      </c>
      <c r="M20" s="62">
        <v>9</v>
      </c>
      <c r="N20" s="63">
        <v>40</v>
      </c>
      <c r="O20" s="64" t="s">
        <v>369</v>
      </c>
      <c r="P20" s="64">
        <v>99.727384999999998</v>
      </c>
      <c r="Q20" s="65" t="s">
        <v>110</v>
      </c>
      <c r="R20" s="65" t="s">
        <v>110</v>
      </c>
      <c r="S20" s="62" t="str">
        <f t="shared" si="58"/>
        <v>Complete</v>
      </c>
      <c r="T20" s="62" t="s">
        <v>124</v>
      </c>
      <c r="U20" s="65" t="s">
        <v>380</v>
      </c>
      <c r="V20" s="65" t="s">
        <v>380</v>
      </c>
      <c r="W20" s="65" t="str">
        <f t="shared" si="59"/>
        <v>Complete</v>
      </c>
      <c r="X20" s="51" t="s">
        <v>448</v>
      </c>
      <c r="Y20" s="65" t="s">
        <v>399</v>
      </c>
      <c r="Z20" s="65"/>
      <c r="AA20" s="62" t="str">
        <f t="shared" si="60"/>
        <v>In progress</v>
      </c>
      <c r="AB20" s="62"/>
      <c r="AC20" s="62"/>
      <c r="AD20" s="65" t="s">
        <v>110</v>
      </c>
      <c r="AE20" s="73">
        <v>244145</v>
      </c>
      <c r="AF20" s="65" t="str">
        <f t="shared" si="61"/>
        <v>Complete</v>
      </c>
      <c r="AG20" s="73">
        <v>244206</v>
      </c>
      <c r="AH20" s="73" t="s">
        <v>399</v>
      </c>
      <c r="AI20" s="62" t="str">
        <f t="shared" si="62"/>
        <v>Complete</v>
      </c>
      <c r="AJ20" s="62" t="s">
        <v>469</v>
      </c>
      <c r="AK20" s="62"/>
      <c r="AL20" s="62" t="str">
        <f t="shared" si="63"/>
        <v>In progress</v>
      </c>
      <c r="AM20" s="62"/>
      <c r="AN20" s="62"/>
      <c r="AO20" s="62"/>
      <c r="AP20" s="62"/>
      <c r="AQ20" s="62"/>
      <c r="AR20" s="62"/>
      <c r="AS20" s="62"/>
      <c r="AT20" s="62" t="str">
        <f t="shared" si="64"/>
        <v/>
      </c>
      <c r="AU20" s="62"/>
      <c r="AV20" s="62"/>
      <c r="AW20" s="62"/>
      <c r="AX20" s="73">
        <v>244398</v>
      </c>
      <c r="AY20" s="73">
        <v>244436</v>
      </c>
      <c r="AZ20" s="99" t="str">
        <f t="shared" si="65"/>
        <v>Complete</v>
      </c>
      <c r="BA20" s="62"/>
      <c r="BB20" s="62"/>
      <c r="BC20" s="62"/>
      <c r="BD20" s="62"/>
      <c r="BE20" s="62"/>
      <c r="BF20" s="62" t="str">
        <f t="shared" si="66"/>
        <v/>
      </c>
      <c r="BG20" s="65"/>
      <c r="BH20" s="65"/>
      <c r="BI20" s="65" t="str">
        <f t="shared" si="67"/>
        <v/>
      </c>
      <c r="BJ20" s="66"/>
      <c r="BK20" s="66"/>
      <c r="BL20" s="67"/>
      <c r="BM20" s="67"/>
    </row>
    <row r="21" spans="1:65" ht="32.450000000000003" hidden="1" customHeight="1" x14ac:dyDescent="0.8">
      <c r="A21" s="59">
        <v>12</v>
      </c>
      <c r="B21" s="81" t="s">
        <v>224</v>
      </c>
      <c r="C21" s="60" t="s">
        <v>12</v>
      </c>
      <c r="D21" s="60" t="s">
        <v>9</v>
      </c>
      <c r="E21" s="60" t="s">
        <v>10</v>
      </c>
      <c r="F21" s="61" t="s">
        <v>94</v>
      </c>
      <c r="G21" s="61" t="s">
        <v>106</v>
      </c>
      <c r="H21" s="60" t="s">
        <v>301</v>
      </c>
      <c r="I21" s="60"/>
      <c r="J21" s="61" t="s">
        <v>314</v>
      </c>
      <c r="K21" s="62" t="s">
        <v>113</v>
      </c>
      <c r="L21" s="59" t="s">
        <v>123</v>
      </c>
      <c r="M21" s="62">
        <v>9</v>
      </c>
      <c r="N21" s="63">
        <v>40</v>
      </c>
      <c r="O21" s="64">
        <v>14.435006</v>
      </c>
      <c r="P21" s="64">
        <v>99.735956000000002</v>
      </c>
      <c r="Q21" s="65" t="s">
        <v>110</v>
      </c>
      <c r="R21" s="65" t="s">
        <v>110</v>
      </c>
      <c r="S21" s="62" t="str">
        <f t="shared" si="58"/>
        <v>Complete</v>
      </c>
      <c r="T21" s="62" t="s">
        <v>124</v>
      </c>
      <c r="U21" s="65" t="s">
        <v>380</v>
      </c>
      <c r="V21" s="65" t="s">
        <v>380</v>
      </c>
      <c r="W21" s="65" t="str">
        <f t="shared" si="59"/>
        <v>Complete</v>
      </c>
      <c r="X21" s="51" t="s">
        <v>448</v>
      </c>
      <c r="Y21" s="65" t="s">
        <v>399</v>
      </c>
      <c r="Z21" s="65"/>
      <c r="AA21" s="62" t="str">
        <f t="shared" si="60"/>
        <v>In progress</v>
      </c>
      <c r="AB21" s="62"/>
      <c r="AC21" s="62"/>
      <c r="AD21" s="65" t="s">
        <v>110</v>
      </c>
      <c r="AE21" s="73">
        <v>244145</v>
      </c>
      <c r="AF21" s="65" t="str">
        <f t="shared" si="61"/>
        <v>Complete</v>
      </c>
      <c r="AG21" s="73">
        <v>244206</v>
      </c>
      <c r="AH21" s="73" t="s">
        <v>399</v>
      </c>
      <c r="AI21" s="62" t="str">
        <f t="shared" si="62"/>
        <v>Complete</v>
      </c>
      <c r="AJ21" s="62" t="s">
        <v>469</v>
      </c>
      <c r="AK21" s="62"/>
      <c r="AL21" s="62" t="str">
        <f t="shared" si="63"/>
        <v>In progress</v>
      </c>
      <c r="AM21" s="62"/>
      <c r="AN21" s="62"/>
      <c r="AO21" s="62"/>
      <c r="AP21" s="62"/>
      <c r="AQ21" s="62"/>
      <c r="AR21" s="62"/>
      <c r="AS21" s="62"/>
      <c r="AT21" s="62" t="str">
        <f t="shared" si="64"/>
        <v/>
      </c>
      <c r="AU21" s="62"/>
      <c r="AV21" s="62"/>
      <c r="AW21" s="62"/>
      <c r="AX21" s="73">
        <v>244398</v>
      </c>
      <c r="AY21" s="73">
        <v>244436</v>
      </c>
      <c r="AZ21" s="99" t="str">
        <f t="shared" si="65"/>
        <v>Complete</v>
      </c>
      <c r="BA21" s="62"/>
      <c r="BB21" s="62"/>
      <c r="BC21" s="62"/>
      <c r="BD21" s="62"/>
      <c r="BE21" s="62"/>
      <c r="BF21" s="62" t="str">
        <f t="shared" si="66"/>
        <v/>
      </c>
      <c r="BG21" s="65"/>
      <c r="BH21" s="65"/>
      <c r="BI21" s="65" t="str">
        <f t="shared" si="67"/>
        <v/>
      </c>
      <c r="BJ21" s="66"/>
      <c r="BK21" s="66"/>
      <c r="BL21" s="67"/>
      <c r="BM21" s="67"/>
    </row>
    <row r="22" spans="1:65" ht="32.450000000000003" hidden="1" customHeight="1" x14ac:dyDescent="0.8">
      <c r="A22" s="59">
        <v>13</v>
      </c>
      <c r="B22" s="81" t="s">
        <v>237</v>
      </c>
      <c r="C22" s="60" t="s">
        <v>12</v>
      </c>
      <c r="D22" s="60" t="s">
        <v>9</v>
      </c>
      <c r="E22" s="60" t="s">
        <v>10</v>
      </c>
      <c r="F22" s="61" t="s">
        <v>94</v>
      </c>
      <c r="G22" s="61" t="s">
        <v>106</v>
      </c>
      <c r="H22" s="60" t="s">
        <v>301</v>
      </c>
      <c r="I22" s="60"/>
      <c r="J22" s="61" t="s">
        <v>309</v>
      </c>
      <c r="K22" s="62" t="s">
        <v>113</v>
      </c>
      <c r="L22" s="59" t="s">
        <v>123</v>
      </c>
      <c r="M22" s="62">
        <v>9</v>
      </c>
      <c r="N22" s="63">
        <v>56</v>
      </c>
      <c r="O22" s="64">
        <v>14.481615</v>
      </c>
      <c r="P22" s="64">
        <v>99.745157000000006</v>
      </c>
      <c r="Q22" s="65" t="s">
        <v>110</v>
      </c>
      <c r="R22" s="65" t="s">
        <v>110</v>
      </c>
      <c r="S22" s="62" t="str">
        <f t="shared" si="58"/>
        <v>Complete</v>
      </c>
      <c r="T22" s="62" t="s">
        <v>124</v>
      </c>
      <c r="U22" s="65" t="s">
        <v>380</v>
      </c>
      <c r="V22" s="65" t="s">
        <v>380</v>
      </c>
      <c r="W22" s="65" t="str">
        <f t="shared" si="59"/>
        <v>Complete</v>
      </c>
      <c r="X22" s="51" t="s">
        <v>448</v>
      </c>
      <c r="Y22" s="65" t="s">
        <v>399</v>
      </c>
      <c r="Z22" s="65"/>
      <c r="AA22" s="62" t="str">
        <f t="shared" si="60"/>
        <v>In progress</v>
      </c>
      <c r="AB22" s="62"/>
      <c r="AC22" s="62"/>
      <c r="AD22" s="65" t="s">
        <v>110</v>
      </c>
      <c r="AE22" s="73">
        <v>244145</v>
      </c>
      <c r="AF22" s="65" t="str">
        <f t="shared" si="61"/>
        <v>Complete</v>
      </c>
      <c r="AG22" s="73">
        <v>244206</v>
      </c>
      <c r="AH22" s="73" t="s">
        <v>399</v>
      </c>
      <c r="AI22" s="62" t="str">
        <f t="shared" si="62"/>
        <v>Complete</v>
      </c>
      <c r="AJ22" s="62" t="s">
        <v>469</v>
      </c>
      <c r="AK22" s="62"/>
      <c r="AL22" s="62" t="str">
        <f t="shared" si="63"/>
        <v>In progress</v>
      </c>
      <c r="AM22" s="62"/>
      <c r="AN22" s="62"/>
      <c r="AO22" s="62"/>
      <c r="AP22" s="62"/>
      <c r="AQ22" s="62"/>
      <c r="AR22" s="62"/>
      <c r="AS22" s="62"/>
      <c r="AT22" s="62" t="str">
        <f t="shared" si="64"/>
        <v/>
      </c>
      <c r="AU22" s="62"/>
      <c r="AV22" s="62"/>
      <c r="AW22" s="62"/>
      <c r="AX22" s="73">
        <v>244398</v>
      </c>
      <c r="AY22" s="73">
        <v>244436</v>
      </c>
      <c r="AZ22" s="99" t="str">
        <f t="shared" si="65"/>
        <v>Complete</v>
      </c>
      <c r="BA22" s="62"/>
      <c r="BB22" s="62"/>
      <c r="BC22" s="62"/>
      <c r="BD22" s="62"/>
      <c r="BE22" s="62"/>
      <c r="BF22" s="62" t="str">
        <f t="shared" si="66"/>
        <v/>
      </c>
      <c r="BG22" s="65"/>
      <c r="BH22" s="65"/>
      <c r="BI22" s="65" t="str">
        <f t="shared" si="67"/>
        <v/>
      </c>
      <c r="BJ22" s="66"/>
      <c r="BK22" s="66"/>
      <c r="BL22" s="67"/>
      <c r="BM22" s="67"/>
    </row>
    <row r="23" spans="1:65" ht="32.450000000000003" hidden="1" customHeight="1" x14ac:dyDescent="0.8">
      <c r="A23" s="62">
        <v>14</v>
      </c>
      <c r="B23" s="81" t="s">
        <v>267</v>
      </c>
      <c r="C23" s="108" t="s">
        <v>12</v>
      </c>
      <c r="D23" s="60" t="s">
        <v>9</v>
      </c>
      <c r="E23" s="60" t="s">
        <v>10</v>
      </c>
      <c r="F23" s="61" t="s">
        <v>94</v>
      </c>
      <c r="G23" s="61" t="s">
        <v>106</v>
      </c>
      <c r="H23" s="60" t="s">
        <v>302</v>
      </c>
      <c r="I23" s="60"/>
      <c r="J23" s="61" t="s">
        <v>318</v>
      </c>
      <c r="K23" s="62" t="s">
        <v>113</v>
      </c>
      <c r="L23" s="59" t="s">
        <v>123</v>
      </c>
      <c r="M23" s="62">
        <v>9</v>
      </c>
      <c r="N23" s="63">
        <v>75</v>
      </c>
      <c r="O23" s="64">
        <v>14.446396</v>
      </c>
      <c r="P23" s="64">
        <v>99.667615999999995</v>
      </c>
      <c r="Q23" s="65" t="s">
        <v>110</v>
      </c>
      <c r="R23" s="65" t="s">
        <v>110</v>
      </c>
      <c r="S23" s="62" t="str">
        <f t="shared" si="58"/>
        <v>Complete</v>
      </c>
      <c r="T23" s="62" t="s">
        <v>124</v>
      </c>
      <c r="U23" s="65" t="s">
        <v>380</v>
      </c>
      <c r="V23" s="65" t="s">
        <v>380</v>
      </c>
      <c r="W23" s="65" t="str">
        <f t="shared" si="59"/>
        <v>Complete</v>
      </c>
      <c r="X23" s="51" t="s">
        <v>448</v>
      </c>
      <c r="Y23" s="65" t="s">
        <v>399</v>
      </c>
      <c r="Z23" s="65"/>
      <c r="AA23" s="62" t="str">
        <f t="shared" si="60"/>
        <v>In progress</v>
      </c>
      <c r="AB23" s="62"/>
      <c r="AC23" s="62"/>
      <c r="AD23" s="65" t="s">
        <v>110</v>
      </c>
      <c r="AE23" s="73">
        <v>244145</v>
      </c>
      <c r="AF23" s="65" t="str">
        <f t="shared" si="61"/>
        <v>Complete</v>
      </c>
      <c r="AG23" s="73">
        <v>244206</v>
      </c>
      <c r="AH23" s="73" t="s">
        <v>399</v>
      </c>
      <c r="AI23" s="62" t="str">
        <f t="shared" si="62"/>
        <v>Complete</v>
      </c>
      <c r="AJ23" s="62" t="s">
        <v>469</v>
      </c>
      <c r="AK23" s="62"/>
      <c r="AL23" s="62" t="str">
        <f t="shared" si="63"/>
        <v>In progress</v>
      </c>
      <c r="AM23" s="62"/>
      <c r="AN23" s="62"/>
      <c r="AO23" s="62"/>
      <c r="AP23" s="62"/>
      <c r="AQ23" s="62"/>
      <c r="AR23" s="62"/>
      <c r="AS23" s="62"/>
      <c r="AT23" s="62" t="str">
        <f t="shared" si="64"/>
        <v/>
      </c>
      <c r="AU23" s="62"/>
      <c r="AV23" s="62"/>
      <c r="AW23" s="107"/>
      <c r="AX23" s="73">
        <v>244381</v>
      </c>
      <c r="AY23" s="73">
        <v>244435</v>
      </c>
      <c r="AZ23" s="99" t="str">
        <f t="shared" si="65"/>
        <v>Complete</v>
      </c>
      <c r="BA23" s="62"/>
      <c r="BB23" s="62"/>
      <c r="BC23" s="62"/>
      <c r="BD23" s="62"/>
      <c r="BE23" s="62"/>
      <c r="BF23" s="62" t="str">
        <f t="shared" si="66"/>
        <v/>
      </c>
      <c r="BG23" s="65"/>
      <c r="BH23" s="65"/>
      <c r="BI23" s="65" t="str">
        <f t="shared" si="67"/>
        <v/>
      </c>
      <c r="BJ23" s="66"/>
      <c r="BK23" s="66"/>
      <c r="BL23" s="67"/>
      <c r="BM23" s="67"/>
    </row>
    <row r="24" spans="1:65" ht="32.450000000000003" hidden="1" customHeight="1" x14ac:dyDescent="0.8">
      <c r="A24" s="62">
        <v>15</v>
      </c>
      <c r="B24" s="81" t="s">
        <v>279</v>
      </c>
      <c r="C24" s="60" t="s">
        <v>12</v>
      </c>
      <c r="D24" s="60" t="s">
        <v>9</v>
      </c>
      <c r="E24" s="60" t="s">
        <v>10</v>
      </c>
      <c r="F24" s="61" t="s">
        <v>94</v>
      </c>
      <c r="G24" s="61" t="s">
        <v>106</v>
      </c>
      <c r="H24" s="60" t="s">
        <v>301</v>
      </c>
      <c r="I24" s="60"/>
      <c r="J24" s="61" t="s">
        <v>319</v>
      </c>
      <c r="K24" s="62" t="s">
        <v>113</v>
      </c>
      <c r="L24" s="59" t="s">
        <v>123</v>
      </c>
      <c r="M24" s="62">
        <v>9</v>
      </c>
      <c r="N24" s="63">
        <v>34</v>
      </c>
      <c r="O24" s="64">
        <v>14.406573</v>
      </c>
      <c r="P24" s="64">
        <v>99.741555000000005</v>
      </c>
      <c r="Q24" s="65" t="s">
        <v>110</v>
      </c>
      <c r="R24" s="65" t="s">
        <v>110</v>
      </c>
      <c r="S24" s="62" t="str">
        <f t="shared" si="58"/>
        <v>Complete</v>
      </c>
      <c r="T24" s="62" t="s">
        <v>124</v>
      </c>
      <c r="U24" s="65" t="s">
        <v>380</v>
      </c>
      <c r="V24" s="65" t="s">
        <v>380</v>
      </c>
      <c r="W24" s="65" t="str">
        <f t="shared" si="59"/>
        <v>Complete</v>
      </c>
      <c r="X24" s="51" t="s">
        <v>448</v>
      </c>
      <c r="Y24" s="65" t="s">
        <v>399</v>
      </c>
      <c r="Z24" s="65"/>
      <c r="AA24" s="62" t="str">
        <f t="shared" si="60"/>
        <v>In progress</v>
      </c>
      <c r="AB24" s="62"/>
      <c r="AC24" s="62"/>
      <c r="AD24" s="65" t="s">
        <v>110</v>
      </c>
      <c r="AE24" s="73">
        <v>244145</v>
      </c>
      <c r="AF24" s="65" t="str">
        <f t="shared" si="61"/>
        <v>Complete</v>
      </c>
      <c r="AG24" s="73">
        <v>244206</v>
      </c>
      <c r="AH24" s="73" t="s">
        <v>399</v>
      </c>
      <c r="AI24" s="62" t="str">
        <f t="shared" si="62"/>
        <v>Complete</v>
      </c>
      <c r="AJ24" s="62" t="s">
        <v>469</v>
      </c>
      <c r="AK24" s="62"/>
      <c r="AL24" s="62" t="str">
        <f t="shared" si="63"/>
        <v>In progress</v>
      </c>
      <c r="AM24" s="62"/>
      <c r="AN24" s="62"/>
      <c r="AO24" s="62"/>
      <c r="AP24" s="62"/>
      <c r="AQ24" s="62"/>
      <c r="AR24" s="62"/>
      <c r="AS24" s="62"/>
      <c r="AT24" s="62" t="str">
        <f t="shared" si="64"/>
        <v/>
      </c>
      <c r="AU24" s="62"/>
      <c r="AV24" s="62"/>
      <c r="AW24" s="62"/>
      <c r="AX24" s="73">
        <v>244398</v>
      </c>
      <c r="AY24" s="73">
        <v>244425</v>
      </c>
      <c r="AZ24" s="99" t="str">
        <f t="shared" si="65"/>
        <v>Complete</v>
      </c>
      <c r="BA24" s="62"/>
      <c r="BB24" s="62"/>
      <c r="BC24" s="62"/>
      <c r="BD24" s="62"/>
      <c r="BE24" s="62"/>
      <c r="BF24" s="62" t="str">
        <f t="shared" si="66"/>
        <v/>
      </c>
      <c r="BG24" s="65"/>
      <c r="BH24" s="65"/>
      <c r="BI24" s="65" t="str">
        <f t="shared" si="67"/>
        <v/>
      </c>
      <c r="BJ24" s="66"/>
      <c r="BK24" s="66"/>
      <c r="BL24" s="67"/>
      <c r="BM24" s="67"/>
    </row>
    <row r="25" spans="1:65" ht="32.450000000000003" hidden="1" customHeight="1" x14ac:dyDescent="0.7">
      <c r="A25" s="59">
        <v>31</v>
      </c>
      <c r="B25" s="81" t="s">
        <v>240</v>
      </c>
      <c r="C25" s="60" t="s">
        <v>16</v>
      </c>
      <c r="D25" s="60" t="s">
        <v>17</v>
      </c>
      <c r="E25" s="60" t="s">
        <v>18</v>
      </c>
      <c r="F25" s="68" t="s">
        <v>95</v>
      </c>
      <c r="G25" s="68" t="s">
        <v>103</v>
      </c>
      <c r="H25" s="68" t="s">
        <v>301</v>
      </c>
      <c r="I25" s="68"/>
      <c r="J25" s="68" t="s">
        <v>334</v>
      </c>
      <c r="K25" s="59" t="s">
        <v>112</v>
      </c>
      <c r="L25" s="59" t="s">
        <v>123</v>
      </c>
      <c r="M25" s="59">
        <v>9</v>
      </c>
      <c r="N25" s="63">
        <v>154</v>
      </c>
      <c r="O25" s="64">
        <v>15.9575</v>
      </c>
      <c r="P25" s="64">
        <v>99.384280000000004</v>
      </c>
      <c r="Q25" s="65" t="s">
        <v>110</v>
      </c>
      <c r="R25" s="65" t="s">
        <v>109</v>
      </c>
      <c r="S25" s="62" t="str">
        <f t="shared" si="58"/>
        <v>Complete</v>
      </c>
      <c r="T25" s="62" t="s">
        <v>124</v>
      </c>
      <c r="U25" s="65" t="s">
        <v>380</v>
      </c>
      <c r="V25" s="65" t="s">
        <v>380</v>
      </c>
      <c r="W25" s="65" t="str">
        <f t="shared" si="59"/>
        <v>Complete</v>
      </c>
      <c r="X25" s="51" t="s">
        <v>448</v>
      </c>
      <c r="Y25" s="65" t="s">
        <v>414</v>
      </c>
      <c r="Z25" s="65"/>
      <c r="AA25" s="62" t="str">
        <f t="shared" si="60"/>
        <v>In progress</v>
      </c>
      <c r="AB25" s="62"/>
      <c r="AC25" s="62"/>
      <c r="AD25" s="65" t="s">
        <v>110</v>
      </c>
      <c r="AE25" s="73">
        <v>244145</v>
      </c>
      <c r="AF25" s="65" t="str">
        <f t="shared" si="61"/>
        <v>Complete</v>
      </c>
      <c r="AG25" s="73">
        <v>244206</v>
      </c>
      <c r="AH25" s="73" t="s">
        <v>399</v>
      </c>
      <c r="AI25" s="62" t="str">
        <f t="shared" si="62"/>
        <v>Complete</v>
      </c>
      <c r="AJ25" s="62" t="s">
        <v>469</v>
      </c>
      <c r="AK25" s="62"/>
      <c r="AL25" s="62" t="str">
        <f t="shared" si="63"/>
        <v>In progress</v>
      </c>
      <c r="AM25" s="62"/>
      <c r="AN25" s="62"/>
      <c r="AO25" s="62"/>
      <c r="AP25" s="62"/>
      <c r="AQ25" s="62"/>
      <c r="AR25" s="62"/>
      <c r="AS25" s="62"/>
      <c r="AT25" s="62" t="str">
        <f t="shared" si="64"/>
        <v/>
      </c>
      <c r="AU25" s="62"/>
      <c r="AV25" s="62"/>
      <c r="AW25" s="62"/>
      <c r="AX25" s="73">
        <v>244402</v>
      </c>
      <c r="AY25" s="73">
        <v>244421</v>
      </c>
      <c r="AZ25" s="99" t="str">
        <f t="shared" si="65"/>
        <v>Complete</v>
      </c>
      <c r="BA25" s="62"/>
      <c r="BB25" s="62"/>
      <c r="BC25" s="62"/>
      <c r="BD25" s="62"/>
      <c r="BE25" s="62"/>
      <c r="BF25" s="62" t="str">
        <f t="shared" si="66"/>
        <v/>
      </c>
      <c r="BG25" s="65"/>
      <c r="BH25" s="65"/>
      <c r="BI25" s="65" t="str">
        <f t="shared" si="67"/>
        <v/>
      </c>
      <c r="BJ25" s="66"/>
      <c r="BK25" s="66"/>
      <c r="BL25" s="69"/>
      <c r="BM25" s="69"/>
    </row>
    <row r="26" spans="1:65" ht="32.450000000000003" hidden="1" customHeight="1" x14ac:dyDescent="0.7">
      <c r="A26" s="59">
        <v>32</v>
      </c>
      <c r="B26" s="81" t="s">
        <v>254</v>
      </c>
      <c r="C26" s="60" t="s">
        <v>16</v>
      </c>
      <c r="D26" s="60" t="s">
        <v>17</v>
      </c>
      <c r="E26" s="60" t="s">
        <v>18</v>
      </c>
      <c r="F26" s="68" t="s">
        <v>95</v>
      </c>
      <c r="G26" s="68" t="s">
        <v>103</v>
      </c>
      <c r="H26" s="68" t="s">
        <v>304</v>
      </c>
      <c r="I26" s="68"/>
      <c r="J26" s="68" t="s">
        <v>335</v>
      </c>
      <c r="K26" s="59" t="s">
        <v>112</v>
      </c>
      <c r="L26" s="59" t="s">
        <v>123</v>
      </c>
      <c r="M26" s="59">
        <v>9</v>
      </c>
      <c r="N26" s="63">
        <v>168</v>
      </c>
      <c r="O26" s="64">
        <v>15.952680000000001</v>
      </c>
      <c r="P26" s="64">
        <v>99.357929999999996</v>
      </c>
      <c r="Q26" s="65" t="s">
        <v>110</v>
      </c>
      <c r="R26" s="65" t="s">
        <v>109</v>
      </c>
      <c r="S26" s="62" t="str">
        <f t="shared" si="58"/>
        <v>Complete</v>
      </c>
      <c r="T26" s="62" t="s">
        <v>124</v>
      </c>
      <c r="U26" s="65" t="s">
        <v>380</v>
      </c>
      <c r="V26" s="65" t="s">
        <v>380</v>
      </c>
      <c r="W26" s="65" t="str">
        <f t="shared" si="59"/>
        <v>Complete</v>
      </c>
      <c r="X26" s="51" t="s">
        <v>448</v>
      </c>
      <c r="Y26" s="65" t="s">
        <v>414</v>
      </c>
      <c r="Z26" s="65"/>
      <c r="AA26" s="62" t="str">
        <f t="shared" si="60"/>
        <v>In progress</v>
      </c>
      <c r="AB26" s="62"/>
      <c r="AC26" s="62"/>
      <c r="AD26" s="65" t="s">
        <v>110</v>
      </c>
      <c r="AE26" s="73">
        <v>244145</v>
      </c>
      <c r="AF26" s="65" t="str">
        <f t="shared" si="61"/>
        <v>Complete</v>
      </c>
      <c r="AG26" s="73">
        <v>244206</v>
      </c>
      <c r="AH26" s="73" t="s">
        <v>399</v>
      </c>
      <c r="AI26" s="62" t="str">
        <f t="shared" si="62"/>
        <v>Complete</v>
      </c>
      <c r="AJ26" s="62" t="s">
        <v>469</v>
      </c>
      <c r="AK26" s="62"/>
      <c r="AL26" s="62" t="str">
        <f t="shared" si="63"/>
        <v>In progress</v>
      </c>
      <c r="AM26" s="62"/>
      <c r="AN26" s="62"/>
      <c r="AO26" s="62"/>
      <c r="AP26" s="62"/>
      <c r="AQ26" s="62"/>
      <c r="AR26" s="62"/>
      <c r="AS26" s="62"/>
      <c r="AT26" s="62" t="str">
        <f t="shared" si="64"/>
        <v/>
      </c>
      <c r="AU26" s="62"/>
      <c r="AV26" s="62"/>
      <c r="AW26" s="62"/>
      <c r="AX26" s="73">
        <v>244402</v>
      </c>
      <c r="AY26" s="73">
        <v>244421</v>
      </c>
      <c r="AZ26" s="99" t="str">
        <f t="shared" si="65"/>
        <v>Complete</v>
      </c>
      <c r="BA26" s="62"/>
      <c r="BB26" s="62"/>
      <c r="BC26" s="62"/>
      <c r="BD26" s="62"/>
      <c r="BE26" s="62"/>
      <c r="BF26" s="62" t="str">
        <f t="shared" si="66"/>
        <v/>
      </c>
      <c r="BG26" s="65"/>
      <c r="BH26" s="65"/>
      <c r="BI26" s="65" t="str">
        <f t="shared" si="67"/>
        <v/>
      </c>
      <c r="BJ26" s="66"/>
      <c r="BK26" s="66"/>
      <c r="BL26" s="69"/>
      <c r="BM26" s="69"/>
    </row>
    <row r="27" spans="1:65" ht="32.450000000000003" hidden="1" customHeight="1" x14ac:dyDescent="0.7">
      <c r="A27" s="59">
        <v>33</v>
      </c>
      <c r="B27" s="81" t="s">
        <v>147</v>
      </c>
      <c r="C27" s="60" t="s">
        <v>16</v>
      </c>
      <c r="D27" s="60" t="s">
        <v>17</v>
      </c>
      <c r="E27" s="60" t="s">
        <v>18</v>
      </c>
      <c r="F27" s="68" t="s">
        <v>95</v>
      </c>
      <c r="G27" s="68" t="s">
        <v>103</v>
      </c>
      <c r="H27" s="68" t="s">
        <v>301</v>
      </c>
      <c r="I27" s="68"/>
      <c r="J27" s="68" t="s">
        <v>336</v>
      </c>
      <c r="K27" s="59" t="s">
        <v>112</v>
      </c>
      <c r="L27" s="59" t="s">
        <v>123</v>
      </c>
      <c r="M27" s="59">
        <v>9</v>
      </c>
      <c r="N27" s="63">
        <v>153.4</v>
      </c>
      <c r="O27" s="64">
        <v>15.946070000000001</v>
      </c>
      <c r="P27" s="64">
        <v>99.413359999999997</v>
      </c>
      <c r="Q27" s="65" t="s">
        <v>110</v>
      </c>
      <c r="R27" s="65" t="s">
        <v>109</v>
      </c>
      <c r="S27" s="62" t="str">
        <f t="shared" si="58"/>
        <v>Complete</v>
      </c>
      <c r="T27" s="62" t="s">
        <v>124</v>
      </c>
      <c r="U27" s="65" t="s">
        <v>380</v>
      </c>
      <c r="V27" s="65" t="s">
        <v>380</v>
      </c>
      <c r="W27" s="65" t="str">
        <f t="shared" si="59"/>
        <v>Complete</v>
      </c>
      <c r="X27" s="51" t="s">
        <v>448</v>
      </c>
      <c r="Y27" s="65" t="s">
        <v>414</v>
      </c>
      <c r="Z27" s="65"/>
      <c r="AA27" s="62" t="str">
        <f t="shared" si="60"/>
        <v>In progress</v>
      </c>
      <c r="AB27" s="62"/>
      <c r="AC27" s="62"/>
      <c r="AD27" s="65" t="s">
        <v>110</v>
      </c>
      <c r="AE27" s="73">
        <v>244145</v>
      </c>
      <c r="AF27" s="65" t="str">
        <f t="shared" si="61"/>
        <v>Complete</v>
      </c>
      <c r="AG27" s="73">
        <v>244206</v>
      </c>
      <c r="AH27" s="73" t="s">
        <v>399</v>
      </c>
      <c r="AI27" s="62" t="str">
        <f t="shared" si="62"/>
        <v>Complete</v>
      </c>
      <c r="AJ27" s="62" t="s">
        <v>469</v>
      </c>
      <c r="AK27" s="62"/>
      <c r="AL27" s="62" t="str">
        <f t="shared" si="63"/>
        <v>In progress</v>
      </c>
      <c r="AM27" s="62"/>
      <c r="AN27" s="62"/>
      <c r="AO27" s="62"/>
      <c r="AP27" s="62"/>
      <c r="AQ27" s="62"/>
      <c r="AR27" s="62"/>
      <c r="AS27" s="62"/>
      <c r="AT27" s="62" t="str">
        <f t="shared" si="64"/>
        <v/>
      </c>
      <c r="AU27" s="62"/>
      <c r="AV27" s="62"/>
      <c r="AW27" s="62"/>
      <c r="AX27" s="73">
        <v>244402</v>
      </c>
      <c r="AY27" s="73">
        <v>244421</v>
      </c>
      <c r="AZ27" s="99" t="str">
        <f t="shared" si="65"/>
        <v>Complete</v>
      </c>
      <c r="BA27" s="62"/>
      <c r="BB27" s="62"/>
      <c r="BC27" s="62"/>
      <c r="BD27" s="62"/>
      <c r="BE27" s="62"/>
      <c r="BF27" s="62" t="str">
        <f t="shared" si="66"/>
        <v/>
      </c>
      <c r="BG27" s="65"/>
      <c r="BH27" s="65"/>
      <c r="BI27" s="65" t="str">
        <f t="shared" si="67"/>
        <v/>
      </c>
      <c r="BJ27" s="66"/>
      <c r="BK27" s="66"/>
      <c r="BL27" s="69"/>
      <c r="BM27" s="69"/>
    </row>
    <row r="28" spans="1:65" ht="32.450000000000003" hidden="1" customHeight="1" x14ac:dyDescent="0.7">
      <c r="A28" s="62">
        <v>34</v>
      </c>
      <c r="B28" s="81" t="s">
        <v>164</v>
      </c>
      <c r="C28" s="60" t="s">
        <v>16</v>
      </c>
      <c r="D28" s="60" t="s">
        <v>17</v>
      </c>
      <c r="E28" s="60" t="s">
        <v>18</v>
      </c>
      <c r="F28" s="68" t="s">
        <v>95</v>
      </c>
      <c r="G28" s="68" t="s">
        <v>103</v>
      </c>
      <c r="H28" s="68" t="s">
        <v>301</v>
      </c>
      <c r="I28" s="68"/>
      <c r="J28" s="68" t="s">
        <v>334</v>
      </c>
      <c r="K28" s="59" t="s">
        <v>112</v>
      </c>
      <c r="L28" s="59" t="s">
        <v>123</v>
      </c>
      <c r="M28" s="59">
        <v>9</v>
      </c>
      <c r="N28" s="63">
        <v>140</v>
      </c>
      <c r="O28" s="64">
        <v>15.93205</v>
      </c>
      <c r="P28" s="64">
        <v>99.387860000000003</v>
      </c>
      <c r="Q28" s="65" t="s">
        <v>110</v>
      </c>
      <c r="R28" s="65" t="s">
        <v>377</v>
      </c>
      <c r="S28" s="62" t="str">
        <f t="shared" si="58"/>
        <v>Complete</v>
      </c>
      <c r="T28" s="62" t="s">
        <v>124</v>
      </c>
      <c r="U28" s="65" t="s">
        <v>380</v>
      </c>
      <c r="V28" s="65" t="s">
        <v>380</v>
      </c>
      <c r="W28" s="65" t="str">
        <f t="shared" si="59"/>
        <v>Complete</v>
      </c>
      <c r="X28" s="51" t="s">
        <v>448</v>
      </c>
      <c r="Y28" s="65" t="s">
        <v>415</v>
      </c>
      <c r="Z28" s="65"/>
      <c r="AA28" s="62" t="str">
        <f t="shared" si="60"/>
        <v>In progress</v>
      </c>
      <c r="AB28" s="62"/>
      <c r="AC28" s="62"/>
      <c r="AD28" s="65" t="s">
        <v>110</v>
      </c>
      <c r="AE28" s="73">
        <v>244145</v>
      </c>
      <c r="AF28" s="65" t="str">
        <f t="shared" si="61"/>
        <v>Complete</v>
      </c>
      <c r="AG28" s="73">
        <v>244206</v>
      </c>
      <c r="AH28" s="73" t="s">
        <v>399</v>
      </c>
      <c r="AI28" s="62" t="str">
        <f t="shared" si="62"/>
        <v>Complete</v>
      </c>
      <c r="AJ28" s="62" t="s">
        <v>469</v>
      </c>
      <c r="AK28" s="62"/>
      <c r="AL28" s="62" t="str">
        <f t="shared" si="63"/>
        <v>In progress</v>
      </c>
      <c r="AM28" s="62"/>
      <c r="AN28" s="62"/>
      <c r="AO28" s="62"/>
      <c r="AP28" s="62"/>
      <c r="AQ28" s="62"/>
      <c r="AR28" s="62"/>
      <c r="AS28" s="62"/>
      <c r="AT28" s="62" t="str">
        <f t="shared" si="64"/>
        <v/>
      </c>
      <c r="AU28" s="62"/>
      <c r="AV28" s="62"/>
      <c r="AW28" s="62"/>
      <c r="AX28" s="73">
        <v>244402</v>
      </c>
      <c r="AY28" s="73">
        <v>244421</v>
      </c>
      <c r="AZ28" s="99" t="str">
        <f t="shared" si="65"/>
        <v>Complete</v>
      </c>
      <c r="BA28" s="62"/>
      <c r="BB28" s="62"/>
      <c r="BC28" s="62"/>
      <c r="BD28" s="62"/>
      <c r="BE28" s="62"/>
      <c r="BF28" s="62" t="str">
        <f t="shared" si="66"/>
        <v/>
      </c>
      <c r="BG28" s="65"/>
      <c r="BH28" s="65"/>
      <c r="BI28" s="65" t="str">
        <f t="shared" si="67"/>
        <v/>
      </c>
      <c r="BJ28" s="66"/>
      <c r="BK28" s="66"/>
      <c r="BL28" s="69"/>
      <c r="BM28" s="69"/>
    </row>
    <row r="29" spans="1:65" ht="32.450000000000003" hidden="1" customHeight="1" x14ac:dyDescent="0.7">
      <c r="A29" s="62">
        <v>35</v>
      </c>
      <c r="B29" s="81" t="s">
        <v>435</v>
      </c>
      <c r="C29" s="60" t="s">
        <v>16</v>
      </c>
      <c r="D29" s="60" t="s">
        <v>17</v>
      </c>
      <c r="E29" s="60" t="s">
        <v>18</v>
      </c>
      <c r="F29" s="68" t="s">
        <v>95</v>
      </c>
      <c r="G29" s="68" t="s">
        <v>103</v>
      </c>
      <c r="H29" s="68" t="s">
        <v>301</v>
      </c>
      <c r="I29" s="68"/>
      <c r="J29" s="68" t="s">
        <v>337</v>
      </c>
      <c r="K29" s="59" t="s">
        <v>112</v>
      </c>
      <c r="L29" s="59" t="s">
        <v>123</v>
      </c>
      <c r="M29" s="59">
        <v>9</v>
      </c>
      <c r="N29" s="63">
        <v>129</v>
      </c>
      <c r="O29" s="64">
        <v>15.919129999999999</v>
      </c>
      <c r="P29" s="64">
        <v>99.401449999999997</v>
      </c>
      <c r="Q29" s="65" t="s">
        <v>110</v>
      </c>
      <c r="R29" s="65" t="s">
        <v>109</v>
      </c>
      <c r="S29" s="62" t="str">
        <f t="shared" si="58"/>
        <v>Complete</v>
      </c>
      <c r="T29" s="62" t="s">
        <v>124</v>
      </c>
      <c r="U29" s="65" t="s">
        <v>380</v>
      </c>
      <c r="V29" s="65" t="s">
        <v>380</v>
      </c>
      <c r="W29" s="65" t="str">
        <f t="shared" si="59"/>
        <v>Complete</v>
      </c>
      <c r="X29" s="51" t="s">
        <v>448</v>
      </c>
      <c r="Y29" s="65" t="s">
        <v>414</v>
      </c>
      <c r="Z29" s="65"/>
      <c r="AA29" s="62" t="str">
        <f t="shared" si="60"/>
        <v>In progress</v>
      </c>
      <c r="AB29" s="62"/>
      <c r="AC29" s="62"/>
      <c r="AD29" s="65" t="s">
        <v>110</v>
      </c>
      <c r="AE29" s="73">
        <v>244145</v>
      </c>
      <c r="AF29" s="65" t="str">
        <f t="shared" si="61"/>
        <v>Complete</v>
      </c>
      <c r="AG29" s="73">
        <v>244206</v>
      </c>
      <c r="AH29" s="73" t="s">
        <v>399</v>
      </c>
      <c r="AI29" s="62" t="str">
        <f t="shared" si="62"/>
        <v>Complete</v>
      </c>
      <c r="AJ29" s="62" t="s">
        <v>469</v>
      </c>
      <c r="AK29" s="62"/>
      <c r="AL29" s="62" t="str">
        <f t="shared" si="63"/>
        <v>In progress</v>
      </c>
      <c r="AM29" s="62"/>
      <c r="AN29" s="62"/>
      <c r="AO29" s="62"/>
      <c r="AP29" s="62"/>
      <c r="AQ29" s="62"/>
      <c r="AR29" s="62"/>
      <c r="AS29" s="62"/>
      <c r="AT29" s="62" t="str">
        <f t="shared" si="64"/>
        <v/>
      </c>
      <c r="AU29" s="62"/>
      <c r="AV29" s="62"/>
      <c r="AW29" s="62"/>
      <c r="AX29" s="73">
        <v>244402</v>
      </c>
      <c r="AY29" s="73">
        <v>244421</v>
      </c>
      <c r="AZ29" s="99" t="str">
        <f t="shared" si="65"/>
        <v>Complete</v>
      </c>
      <c r="BA29" s="62"/>
      <c r="BB29" s="62"/>
      <c r="BC29" s="62"/>
      <c r="BD29" s="62"/>
      <c r="BE29" s="62"/>
      <c r="BF29" s="62" t="str">
        <f t="shared" si="66"/>
        <v/>
      </c>
      <c r="BG29" s="65"/>
      <c r="BH29" s="65"/>
      <c r="BI29" s="65" t="str">
        <f t="shared" si="67"/>
        <v/>
      </c>
      <c r="BJ29" s="66"/>
      <c r="BK29" s="66"/>
      <c r="BL29" s="69"/>
      <c r="BM29" s="69"/>
    </row>
    <row r="30" spans="1:65" ht="32.450000000000003" hidden="1" customHeight="1" x14ac:dyDescent="0.7">
      <c r="A30" s="59">
        <v>36</v>
      </c>
      <c r="B30" s="81" t="s">
        <v>442</v>
      </c>
      <c r="C30" s="108" t="s">
        <v>16</v>
      </c>
      <c r="D30" s="60" t="s">
        <v>17</v>
      </c>
      <c r="E30" s="60" t="s">
        <v>18</v>
      </c>
      <c r="F30" s="68" t="s">
        <v>95</v>
      </c>
      <c r="G30" s="68" t="s">
        <v>103</v>
      </c>
      <c r="H30" s="68" t="s">
        <v>304</v>
      </c>
      <c r="I30" s="68"/>
      <c r="J30" s="68" t="s">
        <v>338</v>
      </c>
      <c r="K30" s="59" t="s">
        <v>112</v>
      </c>
      <c r="L30" s="59" t="s">
        <v>472</v>
      </c>
      <c r="M30" s="59">
        <v>18</v>
      </c>
      <c r="N30" s="63">
        <v>125</v>
      </c>
      <c r="O30" s="64">
        <v>15.927490000000001</v>
      </c>
      <c r="P30" s="64">
        <v>99.422960000000003</v>
      </c>
      <c r="Q30" s="65" t="s">
        <v>110</v>
      </c>
      <c r="R30" s="65" t="s">
        <v>377</v>
      </c>
      <c r="S30" s="62" t="str">
        <f t="shared" si="58"/>
        <v>Complete</v>
      </c>
      <c r="T30" s="62" t="s">
        <v>124</v>
      </c>
      <c r="U30" s="65" t="s">
        <v>380</v>
      </c>
      <c r="V30" s="65" t="s">
        <v>379</v>
      </c>
      <c r="W30" s="65" t="str">
        <f t="shared" si="59"/>
        <v>Complete</v>
      </c>
      <c r="X30" s="51" t="s">
        <v>448</v>
      </c>
      <c r="Y30" s="65" t="s">
        <v>415</v>
      </c>
      <c r="Z30" s="65"/>
      <c r="AA30" s="62" t="str">
        <f t="shared" si="60"/>
        <v>In progress</v>
      </c>
      <c r="AB30" s="62"/>
      <c r="AC30" s="62"/>
      <c r="AD30" s="65" t="s">
        <v>399</v>
      </c>
      <c r="AE30" s="75" t="s">
        <v>420</v>
      </c>
      <c r="AF30" s="65" t="str">
        <f t="shared" si="61"/>
        <v>Complete</v>
      </c>
      <c r="AG30" s="62" t="s">
        <v>418</v>
      </c>
      <c r="AH30" s="62" t="s">
        <v>447</v>
      </c>
      <c r="AI30" s="62" t="str">
        <f t="shared" si="62"/>
        <v>Complete</v>
      </c>
      <c r="AJ30" s="73">
        <v>244470</v>
      </c>
      <c r="AK30" s="73">
        <v>244470</v>
      </c>
      <c r="AL30" s="62" t="str">
        <f t="shared" si="63"/>
        <v>Complete</v>
      </c>
      <c r="AM30" s="73">
        <v>244684</v>
      </c>
      <c r="AN30" s="62" t="s">
        <v>458</v>
      </c>
      <c r="AO30" s="62" t="s">
        <v>463</v>
      </c>
      <c r="AP30" s="62" t="s">
        <v>452</v>
      </c>
      <c r="AQ30" s="62"/>
      <c r="AR30" s="62"/>
      <c r="AS30" s="62"/>
      <c r="AT30" s="62" t="str">
        <f t="shared" si="64"/>
        <v>In progress</v>
      </c>
      <c r="AU30" s="107"/>
      <c r="AV30" s="107"/>
      <c r="AW30" s="62"/>
      <c r="AX30" s="73">
        <v>244359</v>
      </c>
      <c r="AY30" s="73">
        <v>244369</v>
      </c>
      <c r="AZ30" s="103" t="str">
        <f t="shared" si="65"/>
        <v>Complete</v>
      </c>
      <c r="BA30" s="62"/>
      <c r="BB30" s="62"/>
      <c r="BC30" s="62"/>
      <c r="BD30" s="62"/>
      <c r="BE30" s="62"/>
      <c r="BF30" s="62" t="str">
        <f t="shared" si="66"/>
        <v/>
      </c>
      <c r="BG30" s="65"/>
      <c r="BH30" s="65"/>
      <c r="BI30" s="65" t="str">
        <f t="shared" si="67"/>
        <v/>
      </c>
      <c r="BJ30" s="66"/>
      <c r="BK30" s="66"/>
      <c r="BL30" s="69"/>
      <c r="BM30" s="55" t="s">
        <v>455</v>
      </c>
    </row>
    <row r="31" spans="1:65" ht="32.450000000000003" hidden="1" customHeight="1" x14ac:dyDescent="0.7">
      <c r="A31" s="59">
        <v>37</v>
      </c>
      <c r="B31" s="81" t="s">
        <v>165</v>
      </c>
      <c r="C31" s="60" t="s">
        <v>19</v>
      </c>
      <c r="D31" s="60" t="s">
        <v>20</v>
      </c>
      <c r="E31" s="60" t="s">
        <v>18</v>
      </c>
      <c r="F31" s="68" t="s">
        <v>95</v>
      </c>
      <c r="G31" s="68" t="s">
        <v>103</v>
      </c>
      <c r="H31" s="68" t="s">
        <v>301</v>
      </c>
      <c r="I31" s="68"/>
      <c r="J31" s="68" t="s">
        <v>339</v>
      </c>
      <c r="K31" s="59" t="s">
        <v>112</v>
      </c>
      <c r="L31" s="59" t="s">
        <v>123</v>
      </c>
      <c r="M31" s="59">
        <v>9</v>
      </c>
      <c r="N31" s="63">
        <v>132</v>
      </c>
      <c r="O31" s="64">
        <v>16.105584</v>
      </c>
      <c r="P31" s="64">
        <v>99.371335999999999</v>
      </c>
      <c r="Q31" s="65" t="s">
        <v>110</v>
      </c>
      <c r="R31" s="65" t="s">
        <v>108</v>
      </c>
      <c r="S31" s="62" t="str">
        <f t="shared" si="58"/>
        <v>Complete</v>
      </c>
      <c r="T31" s="62" t="s">
        <v>124</v>
      </c>
      <c r="U31" s="65" t="s">
        <v>380</v>
      </c>
      <c r="V31" s="65" t="s">
        <v>380</v>
      </c>
      <c r="W31" s="65" t="str">
        <f t="shared" si="59"/>
        <v>Complete</v>
      </c>
      <c r="X31" s="51" t="s">
        <v>448</v>
      </c>
      <c r="Y31" s="65" t="s">
        <v>413</v>
      </c>
      <c r="Z31" s="65"/>
      <c r="AA31" s="62" t="str">
        <f t="shared" si="60"/>
        <v>In progress</v>
      </c>
      <c r="AB31" s="62"/>
      <c r="AC31" s="62"/>
      <c r="AD31" s="65" t="s">
        <v>110</v>
      </c>
      <c r="AE31" s="73">
        <v>244145</v>
      </c>
      <c r="AF31" s="65" t="str">
        <f t="shared" si="61"/>
        <v>Complete</v>
      </c>
      <c r="AG31" s="73">
        <v>244206</v>
      </c>
      <c r="AH31" s="73" t="s">
        <v>399</v>
      </c>
      <c r="AI31" s="62" t="str">
        <f t="shared" si="62"/>
        <v>Complete</v>
      </c>
      <c r="AJ31" s="62" t="s">
        <v>469</v>
      </c>
      <c r="AK31" s="62"/>
      <c r="AL31" s="62" t="str">
        <f t="shared" si="63"/>
        <v>In progress</v>
      </c>
      <c r="AM31" s="62"/>
      <c r="AN31" s="62"/>
      <c r="AO31" s="62"/>
      <c r="AP31" s="62"/>
      <c r="AQ31" s="62"/>
      <c r="AR31" s="62"/>
      <c r="AS31" s="62"/>
      <c r="AT31" s="62" t="str">
        <f t="shared" si="64"/>
        <v/>
      </c>
      <c r="AU31" s="62"/>
      <c r="AV31" s="62"/>
      <c r="AW31" s="62"/>
      <c r="AX31" s="73">
        <v>244392</v>
      </c>
      <c r="AY31" s="73">
        <v>244415</v>
      </c>
      <c r="AZ31" s="99" t="str">
        <f t="shared" si="65"/>
        <v>Complete</v>
      </c>
      <c r="BA31" s="62"/>
      <c r="BB31" s="62"/>
      <c r="BC31" s="62"/>
      <c r="BD31" s="62"/>
      <c r="BE31" s="62"/>
      <c r="BF31" s="62" t="str">
        <f t="shared" si="66"/>
        <v/>
      </c>
      <c r="BG31" s="65"/>
      <c r="BH31" s="65"/>
      <c r="BI31" s="65" t="str">
        <f t="shared" si="67"/>
        <v/>
      </c>
      <c r="BJ31" s="66"/>
      <c r="BK31" s="66"/>
      <c r="BL31" s="69"/>
      <c r="BM31" s="69"/>
    </row>
    <row r="32" spans="1:65" ht="32.450000000000003" hidden="1" customHeight="1" x14ac:dyDescent="0.7">
      <c r="A32" s="59">
        <v>38</v>
      </c>
      <c r="B32" s="81" t="s">
        <v>205</v>
      </c>
      <c r="C32" s="60" t="s">
        <v>19</v>
      </c>
      <c r="D32" s="60" t="s">
        <v>20</v>
      </c>
      <c r="E32" s="60" t="s">
        <v>18</v>
      </c>
      <c r="F32" s="68" t="s">
        <v>95</v>
      </c>
      <c r="G32" s="68" t="s">
        <v>103</v>
      </c>
      <c r="H32" s="68" t="s">
        <v>301</v>
      </c>
      <c r="I32" s="68"/>
      <c r="J32" s="68" t="s">
        <v>339</v>
      </c>
      <c r="K32" s="59" t="s">
        <v>112</v>
      </c>
      <c r="L32" s="59" t="s">
        <v>123</v>
      </c>
      <c r="M32" s="59">
        <v>9</v>
      </c>
      <c r="N32" s="63">
        <v>121</v>
      </c>
      <c r="O32" s="64">
        <v>16.072842000000001</v>
      </c>
      <c r="P32" s="64">
        <v>99.372585000000001</v>
      </c>
      <c r="Q32" s="65" t="s">
        <v>110</v>
      </c>
      <c r="R32" s="65" t="s">
        <v>108</v>
      </c>
      <c r="S32" s="62" t="str">
        <f t="shared" si="58"/>
        <v>Complete</v>
      </c>
      <c r="T32" s="62" t="s">
        <v>124</v>
      </c>
      <c r="U32" s="65" t="s">
        <v>380</v>
      </c>
      <c r="V32" s="65" t="s">
        <v>380</v>
      </c>
      <c r="W32" s="65" t="str">
        <f t="shared" si="59"/>
        <v>Complete</v>
      </c>
      <c r="X32" s="51" t="s">
        <v>448</v>
      </c>
      <c r="Y32" s="65" t="s">
        <v>413</v>
      </c>
      <c r="Z32" s="65"/>
      <c r="AA32" s="62" t="str">
        <f t="shared" si="60"/>
        <v>In progress</v>
      </c>
      <c r="AB32" s="62"/>
      <c r="AC32" s="62"/>
      <c r="AD32" s="65" t="s">
        <v>110</v>
      </c>
      <c r="AE32" s="73">
        <v>244145</v>
      </c>
      <c r="AF32" s="65" t="str">
        <f t="shared" si="61"/>
        <v>Complete</v>
      </c>
      <c r="AG32" s="73">
        <v>244206</v>
      </c>
      <c r="AH32" s="73" t="s">
        <v>399</v>
      </c>
      <c r="AI32" s="62" t="str">
        <f t="shared" si="62"/>
        <v>Complete</v>
      </c>
      <c r="AJ32" s="62" t="s">
        <v>469</v>
      </c>
      <c r="AK32" s="62"/>
      <c r="AL32" s="62" t="str">
        <f t="shared" si="63"/>
        <v>In progress</v>
      </c>
      <c r="AM32" s="62"/>
      <c r="AN32" s="62"/>
      <c r="AO32" s="62"/>
      <c r="AP32" s="62"/>
      <c r="AQ32" s="62"/>
      <c r="AR32" s="62"/>
      <c r="AS32" s="62"/>
      <c r="AT32" s="62" t="str">
        <f t="shared" si="64"/>
        <v/>
      </c>
      <c r="AU32" s="62"/>
      <c r="AV32" s="62"/>
      <c r="AW32" s="62"/>
      <c r="AX32" s="73">
        <v>244393</v>
      </c>
      <c r="AY32" s="73">
        <v>244416</v>
      </c>
      <c r="AZ32" s="99" t="str">
        <f t="shared" si="65"/>
        <v>Complete</v>
      </c>
      <c r="BA32" s="62"/>
      <c r="BB32" s="62"/>
      <c r="BC32" s="62"/>
      <c r="BD32" s="62"/>
      <c r="BE32" s="62"/>
      <c r="BF32" s="62" t="str">
        <f t="shared" si="66"/>
        <v/>
      </c>
      <c r="BG32" s="65"/>
      <c r="BH32" s="65"/>
      <c r="BI32" s="65" t="str">
        <f t="shared" si="67"/>
        <v/>
      </c>
      <c r="BJ32" s="66"/>
      <c r="BK32" s="66"/>
      <c r="BL32" s="69"/>
      <c r="BM32" s="69"/>
    </row>
    <row r="33" spans="1:65" ht="32.450000000000003" hidden="1" customHeight="1" x14ac:dyDescent="0.7">
      <c r="A33" s="62">
        <v>39</v>
      </c>
      <c r="B33" s="81" t="s">
        <v>148</v>
      </c>
      <c r="C33" s="60" t="s">
        <v>21</v>
      </c>
      <c r="D33" s="60" t="s">
        <v>22</v>
      </c>
      <c r="E33" s="60" t="s">
        <v>18</v>
      </c>
      <c r="F33" s="68" t="s">
        <v>95</v>
      </c>
      <c r="G33" s="68" t="s">
        <v>103</v>
      </c>
      <c r="H33" s="68" t="s">
        <v>301</v>
      </c>
      <c r="I33" s="68"/>
      <c r="J33" s="68" t="s">
        <v>336</v>
      </c>
      <c r="K33" s="59" t="s">
        <v>112</v>
      </c>
      <c r="L33" s="59" t="s">
        <v>123</v>
      </c>
      <c r="M33" s="59">
        <v>9</v>
      </c>
      <c r="N33" s="63">
        <v>112.8</v>
      </c>
      <c r="O33" s="64">
        <v>16.062110000000001</v>
      </c>
      <c r="P33" s="64">
        <v>99.383889999999994</v>
      </c>
      <c r="Q33" s="65" t="s">
        <v>110</v>
      </c>
      <c r="R33" s="65" t="s">
        <v>108</v>
      </c>
      <c r="S33" s="62" t="str">
        <f t="shared" si="58"/>
        <v>Complete</v>
      </c>
      <c r="T33" s="62" t="s">
        <v>124</v>
      </c>
      <c r="U33" s="65" t="s">
        <v>380</v>
      </c>
      <c r="V33" s="65" t="s">
        <v>380</v>
      </c>
      <c r="W33" s="65" t="str">
        <f t="shared" si="59"/>
        <v>Complete</v>
      </c>
      <c r="X33" s="51" t="s">
        <v>448</v>
      </c>
      <c r="Y33" s="65" t="s">
        <v>413</v>
      </c>
      <c r="Z33" s="65"/>
      <c r="AA33" s="62" t="str">
        <f t="shared" si="60"/>
        <v>In progress</v>
      </c>
      <c r="AB33" s="62"/>
      <c r="AC33" s="62"/>
      <c r="AD33" s="65" t="s">
        <v>110</v>
      </c>
      <c r="AE33" s="73">
        <v>244145</v>
      </c>
      <c r="AF33" s="65" t="str">
        <f t="shared" si="61"/>
        <v>Complete</v>
      </c>
      <c r="AG33" s="73">
        <v>244206</v>
      </c>
      <c r="AH33" s="73" t="s">
        <v>399</v>
      </c>
      <c r="AI33" s="62" t="str">
        <f t="shared" si="62"/>
        <v>Complete</v>
      </c>
      <c r="AJ33" s="62" t="s">
        <v>469</v>
      </c>
      <c r="AK33" s="62"/>
      <c r="AL33" s="62" t="str">
        <f t="shared" si="63"/>
        <v>In progress</v>
      </c>
      <c r="AM33" s="62"/>
      <c r="AN33" s="62"/>
      <c r="AO33" s="62"/>
      <c r="AP33" s="62"/>
      <c r="AQ33" s="62"/>
      <c r="AR33" s="62"/>
      <c r="AS33" s="62"/>
      <c r="AT33" s="62" t="str">
        <f t="shared" si="64"/>
        <v/>
      </c>
      <c r="AU33" s="62"/>
      <c r="AV33" s="62"/>
      <c r="AW33" s="62"/>
      <c r="AX33" s="73">
        <v>244393</v>
      </c>
      <c r="AY33" s="73">
        <v>244415</v>
      </c>
      <c r="AZ33" s="99" t="str">
        <f t="shared" si="65"/>
        <v>Complete</v>
      </c>
      <c r="BA33" s="62"/>
      <c r="BB33" s="62"/>
      <c r="BC33" s="62"/>
      <c r="BD33" s="62"/>
      <c r="BE33" s="62"/>
      <c r="BF33" s="62" t="str">
        <f t="shared" si="66"/>
        <v/>
      </c>
      <c r="BG33" s="65"/>
      <c r="BH33" s="65"/>
      <c r="BI33" s="65" t="str">
        <f t="shared" si="67"/>
        <v/>
      </c>
      <c r="BJ33" s="66"/>
      <c r="BK33" s="66"/>
      <c r="BL33" s="69"/>
      <c r="BM33" s="69"/>
    </row>
    <row r="34" spans="1:65" ht="32.450000000000003" hidden="1" customHeight="1" x14ac:dyDescent="0.7">
      <c r="A34" s="62">
        <v>40</v>
      </c>
      <c r="B34" s="81" t="s">
        <v>291</v>
      </c>
      <c r="C34" s="60" t="s">
        <v>21</v>
      </c>
      <c r="D34" s="60" t="s">
        <v>22</v>
      </c>
      <c r="E34" s="60" t="s">
        <v>18</v>
      </c>
      <c r="F34" s="68" t="s">
        <v>95</v>
      </c>
      <c r="G34" s="68" t="s">
        <v>103</v>
      </c>
      <c r="H34" s="68" t="s">
        <v>301</v>
      </c>
      <c r="I34" s="68"/>
      <c r="J34" s="68" t="s">
        <v>339</v>
      </c>
      <c r="K34" s="59" t="s">
        <v>112</v>
      </c>
      <c r="L34" s="59" t="s">
        <v>123</v>
      </c>
      <c r="M34" s="59">
        <v>9</v>
      </c>
      <c r="N34" s="63">
        <v>150</v>
      </c>
      <c r="O34" s="64">
        <v>15.995089999999999</v>
      </c>
      <c r="P34" s="64">
        <v>99.364739999999998</v>
      </c>
      <c r="Q34" s="65" t="s">
        <v>110</v>
      </c>
      <c r="R34" s="65" t="s">
        <v>108</v>
      </c>
      <c r="S34" s="62" t="str">
        <f t="shared" si="58"/>
        <v>Complete</v>
      </c>
      <c r="T34" s="62" t="s">
        <v>124</v>
      </c>
      <c r="U34" s="65" t="s">
        <v>380</v>
      </c>
      <c r="V34" s="65" t="s">
        <v>380</v>
      </c>
      <c r="W34" s="65" t="str">
        <f t="shared" si="59"/>
        <v>Complete</v>
      </c>
      <c r="X34" s="51" t="s">
        <v>448</v>
      </c>
      <c r="Y34" s="65" t="s">
        <v>413</v>
      </c>
      <c r="Z34" s="65"/>
      <c r="AA34" s="62" t="str">
        <f t="shared" si="60"/>
        <v>In progress</v>
      </c>
      <c r="AB34" s="62"/>
      <c r="AC34" s="62"/>
      <c r="AD34" s="65" t="s">
        <v>110</v>
      </c>
      <c r="AE34" s="73">
        <v>244145</v>
      </c>
      <c r="AF34" s="65" t="str">
        <f t="shared" si="61"/>
        <v>Complete</v>
      </c>
      <c r="AG34" s="73">
        <v>244206</v>
      </c>
      <c r="AH34" s="73" t="s">
        <v>399</v>
      </c>
      <c r="AI34" s="62" t="str">
        <f t="shared" si="62"/>
        <v>Complete</v>
      </c>
      <c r="AJ34" s="62" t="s">
        <v>469</v>
      </c>
      <c r="AK34" s="62"/>
      <c r="AL34" s="62" t="str">
        <f t="shared" si="63"/>
        <v>In progress</v>
      </c>
      <c r="AM34" s="62"/>
      <c r="AN34" s="62"/>
      <c r="AO34" s="62"/>
      <c r="AP34" s="62"/>
      <c r="AQ34" s="62"/>
      <c r="AR34" s="62"/>
      <c r="AS34" s="62"/>
      <c r="AT34" s="62" t="str">
        <f t="shared" si="64"/>
        <v/>
      </c>
      <c r="AU34" s="62"/>
      <c r="AV34" s="62"/>
      <c r="AW34" s="62"/>
      <c r="AX34" s="73">
        <v>244399</v>
      </c>
      <c r="AY34" s="73">
        <v>244411</v>
      </c>
      <c r="AZ34" s="99" t="str">
        <f t="shared" si="65"/>
        <v>Complete</v>
      </c>
      <c r="BA34" s="62"/>
      <c r="BB34" s="62"/>
      <c r="BC34" s="62"/>
      <c r="BD34" s="62"/>
      <c r="BE34" s="62"/>
      <c r="BF34" s="62" t="str">
        <f t="shared" si="66"/>
        <v/>
      </c>
      <c r="BG34" s="65"/>
      <c r="BH34" s="65"/>
      <c r="BI34" s="65" t="str">
        <f t="shared" si="67"/>
        <v/>
      </c>
      <c r="BJ34" s="66"/>
      <c r="BK34" s="66"/>
      <c r="BL34" s="69"/>
      <c r="BM34" s="69"/>
    </row>
    <row r="35" spans="1:65" ht="32.450000000000003" hidden="1" customHeight="1" x14ac:dyDescent="0.7">
      <c r="A35" s="59">
        <v>41</v>
      </c>
      <c r="B35" s="81" t="s">
        <v>429</v>
      </c>
      <c r="C35" s="60" t="s">
        <v>21</v>
      </c>
      <c r="D35" s="60" t="s">
        <v>22</v>
      </c>
      <c r="E35" s="60" t="s">
        <v>18</v>
      </c>
      <c r="F35" s="68" t="s">
        <v>95</v>
      </c>
      <c r="G35" s="68" t="s">
        <v>103</v>
      </c>
      <c r="H35" s="68" t="s">
        <v>301</v>
      </c>
      <c r="I35" s="68"/>
      <c r="J35" s="68" t="s">
        <v>308</v>
      </c>
      <c r="K35" s="59" t="s">
        <v>112</v>
      </c>
      <c r="L35" s="59" t="s">
        <v>123</v>
      </c>
      <c r="M35" s="59">
        <v>9</v>
      </c>
      <c r="N35" s="63">
        <v>136.6</v>
      </c>
      <c r="O35" s="64">
        <v>16.03417</v>
      </c>
      <c r="P35" s="64">
        <v>99.396630000000002</v>
      </c>
      <c r="Q35" s="65" t="s">
        <v>110</v>
      </c>
      <c r="R35" s="65" t="s">
        <v>108</v>
      </c>
      <c r="S35" s="62" t="str">
        <f t="shared" si="58"/>
        <v>Complete</v>
      </c>
      <c r="T35" s="62" t="s">
        <v>124</v>
      </c>
      <c r="U35" s="65" t="s">
        <v>380</v>
      </c>
      <c r="V35" s="65" t="s">
        <v>380</v>
      </c>
      <c r="W35" s="65" t="str">
        <f t="shared" si="59"/>
        <v>Complete</v>
      </c>
      <c r="X35" s="51" t="s">
        <v>448</v>
      </c>
      <c r="Y35" s="65" t="s">
        <v>413</v>
      </c>
      <c r="Z35" s="65"/>
      <c r="AA35" s="62" t="str">
        <f t="shared" si="60"/>
        <v>In progress</v>
      </c>
      <c r="AB35" s="62"/>
      <c r="AC35" s="62"/>
      <c r="AD35" s="65" t="s">
        <v>110</v>
      </c>
      <c r="AE35" s="73">
        <v>244145</v>
      </c>
      <c r="AF35" s="65" t="str">
        <f t="shared" si="61"/>
        <v>Complete</v>
      </c>
      <c r="AG35" s="73">
        <v>244206</v>
      </c>
      <c r="AH35" s="73" t="s">
        <v>399</v>
      </c>
      <c r="AI35" s="62" t="str">
        <f t="shared" si="62"/>
        <v>Complete</v>
      </c>
      <c r="AJ35" s="62" t="s">
        <v>469</v>
      </c>
      <c r="AK35" s="62"/>
      <c r="AL35" s="62" t="str">
        <f t="shared" si="63"/>
        <v>In progress</v>
      </c>
      <c r="AM35" s="62"/>
      <c r="AN35" s="62"/>
      <c r="AO35" s="62"/>
      <c r="AP35" s="62"/>
      <c r="AQ35" s="62"/>
      <c r="AR35" s="62"/>
      <c r="AS35" s="62"/>
      <c r="AT35" s="62" t="str">
        <f t="shared" si="64"/>
        <v/>
      </c>
      <c r="AU35" s="62"/>
      <c r="AV35" s="62"/>
      <c r="AW35" s="62"/>
      <c r="AX35" s="73">
        <v>244393</v>
      </c>
      <c r="AY35" s="73">
        <v>244416</v>
      </c>
      <c r="AZ35" s="99" t="str">
        <f t="shared" si="65"/>
        <v>Complete</v>
      </c>
      <c r="BA35" s="62"/>
      <c r="BB35" s="62"/>
      <c r="BC35" s="62"/>
      <c r="BD35" s="62"/>
      <c r="BE35" s="62"/>
      <c r="BF35" s="62" t="str">
        <f t="shared" si="66"/>
        <v/>
      </c>
      <c r="BG35" s="65"/>
      <c r="BH35" s="65"/>
      <c r="BI35" s="65" t="str">
        <f t="shared" si="67"/>
        <v/>
      </c>
      <c r="BJ35" s="66"/>
      <c r="BK35" s="66"/>
      <c r="BL35" s="69"/>
      <c r="BM35" s="69"/>
    </row>
    <row r="36" spans="1:65" ht="32.450000000000003" hidden="1" customHeight="1" x14ac:dyDescent="0.7">
      <c r="A36" s="59">
        <v>42</v>
      </c>
      <c r="B36" s="81" t="s">
        <v>185</v>
      </c>
      <c r="C36" s="60" t="s">
        <v>21</v>
      </c>
      <c r="D36" s="60" t="s">
        <v>22</v>
      </c>
      <c r="E36" s="60" t="s">
        <v>18</v>
      </c>
      <c r="F36" s="68" t="s">
        <v>95</v>
      </c>
      <c r="G36" s="68" t="s">
        <v>103</v>
      </c>
      <c r="H36" s="68" t="s">
        <v>301</v>
      </c>
      <c r="I36" s="68"/>
      <c r="J36" s="68" t="s">
        <v>340</v>
      </c>
      <c r="K36" s="59" t="s">
        <v>112</v>
      </c>
      <c r="L36" s="59" t="s">
        <v>123</v>
      </c>
      <c r="M36" s="59">
        <v>9</v>
      </c>
      <c r="N36" s="63">
        <v>142</v>
      </c>
      <c r="O36" s="64">
        <v>16.02214</v>
      </c>
      <c r="P36" s="64">
        <v>99.368819999999999</v>
      </c>
      <c r="Q36" s="65" t="s">
        <v>110</v>
      </c>
      <c r="R36" s="65" t="s">
        <v>108</v>
      </c>
      <c r="S36" s="62" t="str">
        <f t="shared" si="58"/>
        <v>Complete</v>
      </c>
      <c r="T36" s="62" t="s">
        <v>124</v>
      </c>
      <c r="U36" s="65" t="s">
        <v>380</v>
      </c>
      <c r="V36" s="65" t="s">
        <v>380</v>
      </c>
      <c r="W36" s="65" t="str">
        <f t="shared" si="59"/>
        <v>Complete</v>
      </c>
      <c r="X36" s="51" t="s">
        <v>448</v>
      </c>
      <c r="Y36" s="65" t="s">
        <v>413</v>
      </c>
      <c r="Z36" s="65"/>
      <c r="AA36" s="62" t="str">
        <f t="shared" si="60"/>
        <v>In progress</v>
      </c>
      <c r="AB36" s="62"/>
      <c r="AC36" s="62"/>
      <c r="AD36" s="65" t="s">
        <v>110</v>
      </c>
      <c r="AE36" s="73">
        <v>244145</v>
      </c>
      <c r="AF36" s="65" t="str">
        <f t="shared" si="61"/>
        <v>Complete</v>
      </c>
      <c r="AG36" s="73">
        <v>244206</v>
      </c>
      <c r="AH36" s="73" t="s">
        <v>399</v>
      </c>
      <c r="AI36" s="62" t="str">
        <f t="shared" si="62"/>
        <v>Complete</v>
      </c>
      <c r="AJ36" s="62" t="s">
        <v>469</v>
      </c>
      <c r="AK36" s="62"/>
      <c r="AL36" s="62" t="str">
        <f t="shared" si="63"/>
        <v>In progress</v>
      </c>
      <c r="AM36" s="62"/>
      <c r="AN36" s="62"/>
      <c r="AO36" s="62"/>
      <c r="AP36" s="62"/>
      <c r="AQ36" s="62"/>
      <c r="AR36" s="62"/>
      <c r="AS36" s="62"/>
      <c r="AT36" s="62" t="str">
        <f t="shared" si="64"/>
        <v/>
      </c>
      <c r="AU36" s="62"/>
      <c r="AV36" s="62"/>
      <c r="AW36" s="62"/>
      <c r="AX36" s="73">
        <v>244397</v>
      </c>
      <c r="AY36" s="73">
        <v>244417</v>
      </c>
      <c r="AZ36" s="99" t="str">
        <f t="shared" si="65"/>
        <v>Complete</v>
      </c>
      <c r="BA36" s="62"/>
      <c r="BB36" s="62"/>
      <c r="BC36" s="62"/>
      <c r="BD36" s="62"/>
      <c r="BE36" s="62"/>
      <c r="BF36" s="62" t="str">
        <f t="shared" si="66"/>
        <v/>
      </c>
      <c r="BG36" s="65"/>
      <c r="BH36" s="65"/>
      <c r="BI36" s="65" t="str">
        <f t="shared" si="67"/>
        <v/>
      </c>
      <c r="BJ36" s="66"/>
      <c r="BK36" s="66"/>
      <c r="BL36" s="69"/>
      <c r="BM36" s="69"/>
    </row>
    <row r="37" spans="1:65" ht="32.450000000000003" hidden="1" customHeight="1" x14ac:dyDescent="0.7">
      <c r="A37" s="59">
        <v>43</v>
      </c>
      <c r="B37" s="81" t="s">
        <v>206</v>
      </c>
      <c r="C37" s="60" t="s">
        <v>21</v>
      </c>
      <c r="D37" s="60" t="s">
        <v>22</v>
      </c>
      <c r="E37" s="60" t="s">
        <v>18</v>
      </c>
      <c r="F37" s="68" t="s">
        <v>95</v>
      </c>
      <c r="G37" s="68" t="s">
        <v>103</v>
      </c>
      <c r="H37" s="68" t="s">
        <v>301</v>
      </c>
      <c r="I37" s="68"/>
      <c r="J37" s="68" t="s">
        <v>336</v>
      </c>
      <c r="K37" s="59" t="s">
        <v>112</v>
      </c>
      <c r="L37" s="59" t="s">
        <v>123</v>
      </c>
      <c r="M37" s="59">
        <v>9</v>
      </c>
      <c r="N37" s="63">
        <v>142.30000000000001</v>
      </c>
      <c r="O37" s="64">
        <v>15.99898</v>
      </c>
      <c r="P37" s="64">
        <v>99.372839999999997</v>
      </c>
      <c r="Q37" s="65" t="s">
        <v>110</v>
      </c>
      <c r="R37" s="65" t="s">
        <v>108</v>
      </c>
      <c r="S37" s="62" t="str">
        <f t="shared" si="58"/>
        <v>Complete</v>
      </c>
      <c r="T37" s="62" t="s">
        <v>124</v>
      </c>
      <c r="U37" s="65" t="s">
        <v>380</v>
      </c>
      <c r="V37" s="65" t="s">
        <v>380</v>
      </c>
      <c r="W37" s="65" t="str">
        <f t="shared" si="59"/>
        <v>Complete</v>
      </c>
      <c r="X37" s="51" t="s">
        <v>448</v>
      </c>
      <c r="Y37" s="65" t="s">
        <v>413</v>
      </c>
      <c r="Z37" s="65"/>
      <c r="AA37" s="62" t="str">
        <f t="shared" si="60"/>
        <v>In progress</v>
      </c>
      <c r="AB37" s="62"/>
      <c r="AC37" s="62"/>
      <c r="AD37" s="65" t="s">
        <v>110</v>
      </c>
      <c r="AE37" s="73">
        <v>244145</v>
      </c>
      <c r="AF37" s="65" t="str">
        <f t="shared" si="61"/>
        <v>Complete</v>
      </c>
      <c r="AG37" s="73">
        <v>244206</v>
      </c>
      <c r="AH37" s="73" t="s">
        <v>399</v>
      </c>
      <c r="AI37" s="62" t="str">
        <f t="shared" si="62"/>
        <v>Complete</v>
      </c>
      <c r="AJ37" s="62" t="s">
        <v>469</v>
      </c>
      <c r="AK37" s="62"/>
      <c r="AL37" s="62" t="str">
        <f t="shared" si="63"/>
        <v>In progress</v>
      </c>
      <c r="AM37" s="62"/>
      <c r="AN37" s="62"/>
      <c r="AO37" s="62"/>
      <c r="AP37" s="62"/>
      <c r="AQ37" s="62"/>
      <c r="AR37" s="62"/>
      <c r="AS37" s="62"/>
      <c r="AT37" s="62" t="str">
        <f t="shared" si="64"/>
        <v/>
      </c>
      <c r="AU37" s="62"/>
      <c r="AV37" s="62"/>
      <c r="AW37" s="62"/>
      <c r="AX37" s="73">
        <v>244397</v>
      </c>
      <c r="AY37" s="73">
        <v>244419</v>
      </c>
      <c r="AZ37" s="99" t="str">
        <f t="shared" si="65"/>
        <v>Complete</v>
      </c>
      <c r="BA37" s="62"/>
      <c r="BB37" s="62"/>
      <c r="BC37" s="62"/>
      <c r="BD37" s="62"/>
      <c r="BE37" s="62"/>
      <c r="BF37" s="62" t="str">
        <f t="shared" si="66"/>
        <v/>
      </c>
      <c r="BG37" s="65"/>
      <c r="BH37" s="65"/>
      <c r="BI37" s="65" t="str">
        <f t="shared" si="67"/>
        <v/>
      </c>
      <c r="BJ37" s="66"/>
      <c r="BK37" s="66"/>
      <c r="BL37" s="69"/>
      <c r="BM37" s="69"/>
    </row>
    <row r="38" spans="1:65" ht="32.450000000000003" hidden="1" customHeight="1" x14ac:dyDescent="0.7">
      <c r="A38" s="62">
        <v>44</v>
      </c>
      <c r="B38" s="81" t="s">
        <v>386</v>
      </c>
      <c r="C38" s="60" t="s">
        <v>21</v>
      </c>
      <c r="D38" s="60" t="s">
        <v>22</v>
      </c>
      <c r="E38" s="60" t="s">
        <v>18</v>
      </c>
      <c r="F38" s="68" t="s">
        <v>95</v>
      </c>
      <c r="G38" s="68" t="s">
        <v>103</v>
      </c>
      <c r="H38" s="68" t="s">
        <v>302</v>
      </c>
      <c r="I38" s="68"/>
      <c r="J38" s="68" t="s">
        <v>336</v>
      </c>
      <c r="K38" s="59" t="s">
        <v>112</v>
      </c>
      <c r="L38" s="59" t="s">
        <v>123</v>
      </c>
      <c r="M38" s="59">
        <v>9</v>
      </c>
      <c r="N38" s="63">
        <v>146.1</v>
      </c>
      <c r="O38" s="64">
        <v>15.97804</v>
      </c>
      <c r="P38" s="64">
        <v>99.381150000000005</v>
      </c>
      <c r="Q38" s="65" t="s">
        <v>110</v>
      </c>
      <c r="R38" s="65" t="s">
        <v>108</v>
      </c>
      <c r="S38" s="62" t="str">
        <f t="shared" si="58"/>
        <v>Complete</v>
      </c>
      <c r="T38" s="62" t="s">
        <v>124</v>
      </c>
      <c r="U38" s="65" t="s">
        <v>380</v>
      </c>
      <c r="V38" s="65" t="s">
        <v>380</v>
      </c>
      <c r="W38" s="65" t="str">
        <f t="shared" si="59"/>
        <v>Complete</v>
      </c>
      <c r="X38" s="51" t="s">
        <v>448</v>
      </c>
      <c r="Y38" s="65" t="s">
        <v>413</v>
      </c>
      <c r="Z38" s="65"/>
      <c r="AA38" s="62" t="str">
        <f t="shared" si="60"/>
        <v>In progress</v>
      </c>
      <c r="AB38" s="62"/>
      <c r="AC38" s="62"/>
      <c r="AD38" s="65" t="s">
        <v>110</v>
      </c>
      <c r="AE38" s="73">
        <v>244145</v>
      </c>
      <c r="AF38" s="65" t="str">
        <f t="shared" si="61"/>
        <v>Complete</v>
      </c>
      <c r="AG38" s="73">
        <v>244206</v>
      </c>
      <c r="AH38" s="73" t="s">
        <v>399</v>
      </c>
      <c r="AI38" s="62" t="str">
        <f t="shared" si="62"/>
        <v>Complete</v>
      </c>
      <c r="AJ38" s="62" t="s">
        <v>469</v>
      </c>
      <c r="AK38" s="62"/>
      <c r="AL38" s="62" t="str">
        <f t="shared" si="63"/>
        <v>In progress</v>
      </c>
      <c r="AM38" s="62"/>
      <c r="AN38" s="62"/>
      <c r="AO38" s="62"/>
      <c r="AP38" s="62"/>
      <c r="AQ38" s="62"/>
      <c r="AR38" s="62"/>
      <c r="AS38" s="62"/>
      <c r="AT38" s="62" t="str">
        <f t="shared" si="64"/>
        <v/>
      </c>
      <c r="AU38" s="62"/>
      <c r="AV38" s="62"/>
      <c r="AW38" s="62"/>
      <c r="AX38" s="73">
        <v>244399</v>
      </c>
      <c r="AY38" s="73">
        <v>244419</v>
      </c>
      <c r="AZ38" s="99" t="str">
        <f t="shared" si="65"/>
        <v>Complete</v>
      </c>
      <c r="BA38" s="62"/>
      <c r="BB38" s="62"/>
      <c r="BC38" s="62"/>
      <c r="BD38" s="62"/>
      <c r="BE38" s="62"/>
      <c r="BF38" s="62" t="str">
        <f t="shared" si="66"/>
        <v/>
      </c>
      <c r="BG38" s="65"/>
      <c r="BH38" s="65"/>
      <c r="BI38" s="65" t="str">
        <f t="shared" si="67"/>
        <v/>
      </c>
      <c r="BJ38" s="66"/>
      <c r="BK38" s="66"/>
      <c r="BL38" s="69"/>
      <c r="BM38" s="69"/>
    </row>
    <row r="39" spans="1:65" ht="32.450000000000003" hidden="1" customHeight="1" x14ac:dyDescent="0.7">
      <c r="A39" s="62">
        <v>45</v>
      </c>
      <c r="B39" s="81" t="s">
        <v>436</v>
      </c>
      <c r="C39" s="60" t="s">
        <v>21</v>
      </c>
      <c r="D39" s="60" t="s">
        <v>22</v>
      </c>
      <c r="E39" s="60" t="s">
        <v>18</v>
      </c>
      <c r="F39" s="68" t="s">
        <v>95</v>
      </c>
      <c r="G39" s="68" t="s">
        <v>103</v>
      </c>
      <c r="H39" s="68" t="s">
        <v>301</v>
      </c>
      <c r="I39" s="68"/>
      <c r="J39" s="68" t="s">
        <v>340</v>
      </c>
      <c r="K39" s="59" t="s">
        <v>112</v>
      </c>
      <c r="L39" s="59" t="s">
        <v>123</v>
      </c>
      <c r="M39" s="59">
        <v>9</v>
      </c>
      <c r="N39" s="63">
        <v>123.5</v>
      </c>
      <c r="O39" s="64">
        <v>16.054590000000001</v>
      </c>
      <c r="P39" s="64">
        <v>99.356039999999993</v>
      </c>
      <c r="Q39" s="65" t="s">
        <v>110</v>
      </c>
      <c r="R39" s="65" t="s">
        <v>109</v>
      </c>
      <c r="S39" s="62" t="str">
        <f t="shared" si="58"/>
        <v>Complete</v>
      </c>
      <c r="T39" s="62" t="s">
        <v>124</v>
      </c>
      <c r="U39" s="65" t="s">
        <v>380</v>
      </c>
      <c r="V39" s="65" t="s">
        <v>380</v>
      </c>
      <c r="W39" s="65" t="str">
        <f t="shared" si="59"/>
        <v>Complete</v>
      </c>
      <c r="X39" s="51" t="s">
        <v>448</v>
      </c>
      <c r="Y39" s="65" t="s">
        <v>414</v>
      </c>
      <c r="Z39" s="65"/>
      <c r="AA39" s="62" t="str">
        <f t="shared" si="60"/>
        <v>In progress</v>
      </c>
      <c r="AB39" s="62"/>
      <c r="AC39" s="62"/>
      <c r="AD39" s="65" t="s">
        <v>110</v>
      </c>
      <c r="AE39" s="73">
        <v>244145</v>
      </c>
      <c r="AF39" s="65" t="str">
        <f t="shared" si="61"/>
        <v>Complete</v>
      </c>
      <c r="AG39" s="73">
        <v>244206</v>
      </c>
      <c r="AH39" s="73" t="s">
        <v>399</v>
      </c>
      <c r="AI39" s="62" t="str">
        <f t="shared" si="62"/>
        <v>Complete</v>
      </c>
      <c r="AJ39" s="62" t="s">
        <v>469</v>
      </c>
      <c r="AK39" s="62"/>
      <c r="AL39" s="62" t="str">
        <f t="shared" si="63"/>
        <v>In progress</v>
      </c>
      <c r="AM39" s="62"/>
      <c r="AN39" s="62"/>
      <c r="AO39" s="62"/>
      <c r="AP39" s="62"/>
      <c r="AQ39" s="62"/>
      <c r="AR39" s="62"/>
      <c r="AS39" s="62"/>
      <c r="AT39" s="62" t="str">
        <f t="shared" si="64"/>
        <v/>
      </c>
      <c r="AU39" s="62"/>
      <c r="AV39" s="62"/>
      <c r="AW39" s="62"/>
      <c r="AX39" s="73">
        <v>244397</v>
      </c>
      <c r="AY39" s="73">
        <v>244417</v>
      </c>
      <c r="AZ39" s="99" t="str">
        <f t="shared" si="65"/>
        <v>Complete</v>
      </c>
      <c r="BA39" s="62"/>
      <c r="BB39" s="62"/>
      <c r="BC39" s="62"/>
      <c r="BD39" s="62"/>
      <c r="BE39" s="62"/>
      <c r="BF39" s="62" t="str">
        <f t="shared" si="66"/>
        <v/>
      </c>
      <c r="BG39" s="65"/>
      <c r="BH39" s="65"/>
      <c r="BI39" s="65" t="str">
        <f t="shared" si="67"/>
        <v/>
      </c>
      <c r="BJ39" s="66"/>
      <c r="BK39" s="66"/>
      <c r="BL39" s="69"/>
      <c r="BM39" s="69"/>
    </row>
    <row r="40" spans="1:65" s="18" customFormat="1" ht="32.450000000000003" hidden="1" customHeight="1" x14ac:dyDescent="0.45">
      <c r="A40" s="59">
        <v>46</v>
      </c>
      <c r="B40" s="81" t="s">
        <v>282</v>
      </c>
      <c r="C40" s="60" t="s">
        <v>21</v>
      </c>
      <c r="D40" s="60" t="s">
        <v>22</v>
      </c>
      <c r="E40" s="60" t="s">
        <v>18</v>
      </c>
      <c r="F40" s="68" t="s">
        <v>95</v>
      </c>
      <c r="G40" s="68" t="s">
        <v>103</v>
      </c>
      <c r="H40" s="68" t="s">
        <v>301</v>
      </c>
      <c r="I40" s="68"/>
      <c r="J40" s="68" t="s">
        <v>337</v>
      </c>
      <c r="K40" s="59" t="s">
        <v>112</v>
      </c>
      <c r="L40" s="59" t="s">
        <v>123</v>
      </c>
      <c r="M40" s="59">
        <v>9</v>
      </c>
      <c r="N40" s="63">
        <v>139.4</v>
      </c>
      <c r="O40" s="64">
        <v>16.03021</v>
      </c>
      <c r="P40" s="64">
        <v>99.375370000000004</v>
      </c>
      <c r="Q40" s="65" t="s">
        <v>110</v>
      </c>
      <c r="R40" s="65" t="s">
        <v>108</v>
      </c>
      <c r="S40" s="62" t="str">
        <f t="shared" si="58"/>
        <v>Complete</v>
      </c>
      <c r="T40" s="62" t="s">
        <v>124</v>
      </c>
      <c r="U40" s="65" t="s">
        <v>380</v>
      </c>
      <c r="V40" s="65" t="s">
        <v>380</v>
      </c>
      <c r="W40" s="65" t="str">
        <f t="shared" si="59"/>
        <v>Complete</v>
      </c>
      <c r="X40" s="51" t="s">
        <v>448</v>
      </c>
      <c r="Y40" s="65" t="s">
        <v>413</v>
      </c>
      <c r="Z40" s="65"/>
      <c r="AA40" s="62" t="str">
        <f t="shared" si="60"/>
        <v>In progress</v>
      </c>
      <c r="AB40" s="62"/>
      <c r="AC40" s="62"/>
      <c r="AD40" s="65" t="s">
        <v>110</v>
      </c>
      <c r="AE40" s="73">
        <v>244145</v>
      </c>
      <c r="AF40" s="65" t="str">
        <f t="shared" si="61"/>
        <v>Complete</v>
      </c>
      <c r="AG40" s="73">
        <v>244206</v>
      </c>
      <c r="AH40" s="73" t="s">
        <v>399</v>
      </c>
      <c r="AI40" s="62" t="str">
        <f t="shared" si="62"/>
        <v>Complete</v>
      </c>
      <c r="AJ40" s="62" t="s">
        <v>469</v>
      </c>
      <c r="AK40" s="62"/>
      <c r="AL40" s="62" t="str">
        <f t="shared" si="63"/>
        <v>In progress</v>
      </c>
      <c r="AM40" s="62"/>
      <c r="AN40" s="62"/>
      <c r="AO40" s="62"/>
      <c r="AP40" s="62"/>
      <c r="AQ40" s="62"/>
      <c r="AR40" s="62"/>
      <c r="AS40" s="62"/>
      <c r="AT40" s="62" t="str">
        <f t="shared" si="64"/>
        <v/>
      </c>
      <c r="AU40" s="62"/>
      <c r="AV40" s="62"/>
      <c r="AW40" s="62"/>
      <c r="AX40" s="73">
        <v>244397</v>
      </c>
      <c r="AY40" s="73">
        <v>244417</v>
      </c>
      <c r="AZ40" s="99" t="str">
        <f t="shared" si="65"/>
        <v>Complete</v>
      </c>
      <c r="BA40" s="62"/>
      <c r="BB40" s="62"/>
      <c r="BC40" s="62"/>
      <c r="BD40" s="62"/>
      <c r="BE40" s="62"/>
      <c r="BF40" s="62" t="str">
        <f t="shared" si="66"/>
        <v/>
      </c>
      <c r="BG40" s="65"/>
      <c r="BH40" s="65"/>
      <c r="BI40" s="65" t="str">
        <f t="shared" si="67"/>
        <v/>
      </c>
      <c r="BJ40" s="66"/>
      <c r="BK40" s="66"/>
      <c r="BL40" s="69"/>
      <c r="BM40" s="69"/>
    </row>
    <row r="41" spans="1:65" s="18" customFormat="1" ht="32.450000000000003" hidden="1" customHeight="1" x14ac:dyDescent="0.45">
      <c r="A41" s="59">
        <v>47</v>
      </c>
      <c r="B41" s="81" t="s">
        <v>149</v>
      </c>
      <c r="C41" s="108" t="s">
        <v>23</v>
      </c>
      <c r="D41" s="60" t="s">
        <v>24</v>
      </c>
      <c r="E41" s="60" t="s">
        <v>25</v>
      </c>
      <c r="F41" s="60" t="s">
        <v>96</v>
      </c>
      <c r="G41" s="60" t="s">
        <v>104</v>
      </c>
      <c r="H41" s="60" t="s">
        <v>301</v>
      </c>
      <c r="I41" s="60"/>
      <c r="J41" s="60" t="s">
        <v>341</v>
      </c>
      <c r="K41" s="62" t="s">
        <v>113</v>
      </c>
      <c r="L41" s="59" t="s">
        <v>123</v>
      </c>
      <c r="M41" s="62">
        <v>9</v>
      </c>
      <c r="N41" s="63">
        <v>198</v>
      </c>
      <c r="O41" s="64">
        <v>16.904046999999998</v>
      </c>
      <c r="P41" s="64">
        <v>102.74367599999999</v>
      </c>
      <c r="Q41" s="65" t="s">
        <v>110</v>
      </c>
      <c r="R41" s="65" t="s">
        <v>108</v>
      </c>
      <c r="S41" s="62" t="str">
        <f t="shared" si="58"/>
        <v>Complete</v>
      </c>
      <c r="T41" s="62" t="s">
        <v>124</v>
      </c>
      <c r="U41" s="65" t="s">
        <v>380</v>
      </c>
      <c r="V41" s="65" t="s">
        <v>380</v>
      </c>
      <c r="W41" s="65" t="str">
        <f t="shared" si="59"/>
        <v>Complete</v>
      </c>
      <c r="X41" s="51" t="s">
        <v>448</v>
      </c>
      <c r="Y41" s="65" t="s">
        <v>413</v>
      </c>
      <c r="Z41" s="65"/>
      <c r="AA41" s="62" t="str">
        <f t="shared" si="60"/>
        <v>In progress</v>
      </c>
      <c r="AB41" s="62"/>
      <c r="AC41" s="62"/>
      <c r="AD41" s="65" t="s">
        <v>110</v>
      </c>
      <c r="AE41" s="73">
        <v>244145</v>
      </c>
      <c r="AF41" s="65" t="str">
        <f t="shared" si="61"/>
        <v>Complete</v>
      </c>
      <c r="AG41" s="73">
        <v>244206</v>
      </c>
      <c r="AH41" s="73" t="s">
        <v>399</v>
      </c>
      <c r="AI41" s="62" t="str">
        <f t="shared" si="62"/>
        <v>Complete</v>
      </c>
      <c r="AJ41" s="62" t="s">
        <v>469</v>
      </c>
      <c r="AK41" s="62"/>
      <c r="AL41" s="62" t="str">
        <f t="shared" si="63"/>
        <v>In progress</v>
      </c>
      <c r="AM41" s="62"/>
      <c r="AN41" s="62"/>
      <c r="AO41" s="62"/>
      <c r="AP41" s="62"/>
      <c r="AQ41" s="62"/>
      <c r="AR41" s="62"/>
      <c r="AS41" s="62"/>
      <c r="AT41" s="62" t="str">
        <f t="shared" si="64"/>
        <v/>
      </c>
      <c r="AU41" s="62"/>
      <c r="AV41" s="62"/>
      <c r="AW41" s="62"/>
      <c r="AX41" s="73">
        <v>244398</v>
      </c>
      <c r="AY41" s="73">
        <v>244429</v>
      </c>
      <c r="AZ41" s="99" t="str">
        <f t="shared" si="65"/>
        <v>Complete</v>
      </c>
      <c r="BA41" s="62"/>
      <c r="BB41" s="62"/>
      <c r="BC41" s="62"/>
      <c r="BD41" s="62"/>
      <c r="BE41" s="62"/>
      <c r="BF41" s="62" t="str">
        <f t="shared" si="66"/>
        <v/>
      </c>
      <c r="BG41" s="65"/>
      <c r="BH41" s="65"/>
      <c r="BI41" s="65" t="str">
        <f t="shared" si="67"/>
        <v/>
      </c>
      <c r="BJ41" s="66"/>
      <c r="BK41" s="66"/>
      <c r="BL41" s="69"/>
      <c r="BM41" s="69"/>
    </row>
    <row r="42" spans="1:65" s="18" customFormat="1" ht="32.450000000000003" hidden="1" customHeight="1" x14ac:dyDescent="0.45">
      <c r="A42" s="59">
        <v>48</v>
      </c>
      <c r="B42" s="81" t="s">
        <v>166</v>
      </c>
      <c r="C42" s="108" t="s">
        <v>23</v>
      </c>
      <c r="D42" s="60" t="s">
        <v>24</v>
      </c>
      <c r="E42" s="60" t="s">
        <v>25</v>
      </c>
      <c r="F42" s="60" t="s">
        <v>96</v>
      </c>
      <c r="G42" s="60" t="s">
        <v>104</v>
      </c>
      <c r="H42" s="108" t="s">
        <v>301</v>
      </c>
      <c r="I42" s="60" t="s">
        <v>303</v>
      </c>
      <c r="J42" s="60" t="s">
        <v>337</v>
      </c>
      <c r="K42" s="62" t="s">
        <v>113</v>
      </c>
      <c r="L42" s="59" t="s">
        <v>123</v>
      </c>
      <c r="M42" s="62">
        <v>9</v>
      </c>
      <c r="N42" s="63">
        <v>200</v>
      </c>
      <c r="O42" s="64">
        <v>16.90727</v>
      </c>
      <c r="P42" s="64">
        <v>102.75485500000001</v>
      </c>
      <c r="Q42" s="65" t="s">
        <v>110</v>
      </c>
      <c r="R42" s="65" t="s">
        <v>108</v>
      </c>
      <c r="S42" s="62" t="str">
        <f t="shared" ref="S42:S73" si="68">IF(R42&lt;&gt;"", "Complete", IF(Q42&lt;&gt;"", "In progress", ""))</f>
        <v>Complete</v>
      </c>
      <c r="T42" s="62" t="s">
        <v>124</v>
      </c>
      <c r="U42" s="65" t="s">
        <v>380</v>
      </c>
      <c r="V42" s="65" t="s">
        <v>380</v>
      </c>
      <c r="W42" s="65" t="str">
        <f t="shared" ref="W42:W73" si="69">IF(
  AND(
     OR(M42=9,M42=18,M42=30),
     OR(G42="ภาคเหนือ",G42="ภาคใต้",G42="ภาคตะวันออก",G42="ภาคตะวันตก",G42="ภาคตะวันออกเฉียงเหนือ")
  ),
  IF(V42&lt;&gt;"","Complete",IF(U42&lt;&gt;"","In progress","")),
  "-"
)</f>
        <v>Complete</v>
      </c>
      <c r="X42" s="51" t="s">
        <v>448</v>
      </c>
      <c r="Y42" s="65" t="s">
        <v>413</v>
      </c>
      <c r="Z42" s="65"/>
      <c r="AA42" s="62" t="str">
        <f t="shared" ref="AA42:AA73" si="70">IF(Z42&lt;&gt;"", "Complete", IF(Y42&lt;&gt;"", "In progress", ""))</f>
        <v>In progress</v>
      </c>
      <c r="AB42" s="62"/>
      <c r="AC42" s="62"/>
      <c r="AD42" s="65" t="s">
        <v>110</v>
      </c>
      <c r="AE42" s="73">
        <v>244145</v>
      </c>
      <c r="AF42" s="65" t="str">
        <f t="shared" ref="AF42:AF73" si="71">IF(AE42&lt;&gt;"", "Complete", IF(AD42&lt;&gt;"", "In progress", ""))</f>
        <v>Complete</v>
      </c>
      <c r="AG42" s="73">
        <v>244206</v>
      </c>
      <c r="AH42" s="73" t="s">
        <v>399</v>
      </c>
      <c r="AI42" s="62" t="str">
        <f t="shared" ref="AI42:AI73" si="72">IF(AH42&lt;&gt;"", "Complete", IF(AG42&lt;&gt;"", "In progress", ""))</f>
        <v>Complete</v>
      </c>
      <c r="AJ42" s="62" t="s">
        <v>469</v>
      </c>
      <c r="AK42" s="62"/>
      <c r="AL42" s="62" t="str">
        <f t="shared" ref="AL42:AL73" si="73">IF(AK42&lt;&gt;"", "Complete", IF(AJ42&lt;&gt;"", "In progress", ""))</f>
        <v>In progress</v>
      </c>
      <c r="AM42" s="62"/>
      <c r="AN42" s="62"/>
      <c r="AO42" s="62"/>
      <c r="AP42" s="62"/>
      <c r="AQ42" s="62"/>
      <c r="AR42" s="62"/>
      <c r="AS42" s="62"/>
      <c r="AT42" s="62" t="str">
        <f t="shared" ref="AT42:AT73" si="74">IF(AQ42&lt;&gt;"", "Complete", IF(AP42&lt;&gt;"", "In progress", ""))</f>
        <v/>
      </c>
      <c r="AU42" s="62"/>
      <c r="AV42" s="62"/>
      <c r="AW42" s="107"/>
      <c r="AX42" s="73">
        <v>244398</v>
      </c>
      <c r="AY42" s="73">
        <v>244429</v>
      </c>
      <c r="AZ42" s="99" t="str">
        <f t="shared" si="65"/>
        <v>Complete</v>
      </c>
      <c r="BA42" s="62"/>
      <c r="BB42" s="62"/>
      <c r="BC42" s="62"/>
      <c r="BD42" s="62"/>
      <c r="BE42" s="62"/>
      <c r="BF42" s="62" t="str">
        <f t="shared" ref="BF42:BF73" si="75">IF(BE42&lt;&gt;"", "Complete", IF(BD42&lt;&gt;"", "In progress", ""))</f>
        <v/>
      </c>
      <c r="BG42" s="65"/>
      <c r="BH42" s="65"/>
      <c r="BI42" s="65" t="str">
        <f t="shared" ref="BI42:BI73" si="76">IF(BH42&lt;&gt;"", "Complete", IF(BG42&lt;&gt;"", "In progress", ""))</f>
        <v/>
      </c>
      <c r="BJ42" s="66"/>
      <c r="BK42" s="66"/>
      <c r="BL42" s="69"/>
      <c r="BM42" s="69"/>
    </row>
    <row r="43" spans="1:65" s="18" customFormat="1" ht="32.450000000000003" hidden="1" customHeight="1" x14ac:dyDescent="0.45">
      <c r="A43" s="62">
        <v>49</v>
      </c>
      <c r="B43" s="81" t="s">
        <v>241</v>
      </c>
      <c r="C43" s="60" t="s">
        <v>23</v>
      </c>
      <c r="D43" s="60" t="s">
        <v>24</v>
      </c>
      <c r="E43" s="60" t="s">
        <v>25</v>
      </c>
      <c r="F43" s="60" t="s">
        <v>96</v>
      </c>
      <c r="G43" s="60" t="s">
        <v>104</v>
      </c>
      <c r="H43" s="60" t="s">
        <v>301</v>
      </c>
      <c r="I43" s="60"/>
      <c r="J43" s="60" t="s">
        <v>336</v>
      </c>
      <c r="K43" s="62" t="s">
        <v>113</v>
      </c>
      <c r="L43" s="59" t="s">
        <v>123</v>
      </c>
      <c r="M43" s="62">
        <v>9</v>
      </c>
      <c r="N43" s="63">
        <v>205</v>
      </c>
      <c r="O43" s="64">
        <v>16.867854000000001</v>
      </c>
      <c r="P43" s="64">
        <v>102.735958</v>
      </c>
      <c r="Q43" s="65" t="s">
        <v>110</v>
      </c>
      <c r="R43" s="65" t="s">
        <v>108</v>
      </c>
      <c r="S43" s="62" t="str">
        <f t="shared" si="68"/>
        <v>Complete</v>
      </c>
      <c r="T43" s="62" t="s">
        <v>124</v>
      </c>
      <c r="U43" s="65" t="s">
        <v>380</v>
      </c>
      <c r="V43" s="65" t="s">
        <v>380</v>
      </c>
      <c r="W43" s="65" t="str">
        <f t="shared" si="69"/>
        <v>Complete</v>
      </c>
      <c r="X43" s="51" t="s">
        <v>448</v>
      </c>
      <c r="Y43" s="65" t="s">
        <v>413</v>
      </c>
      <c r="Z43" s="65"/>
      <c r="AA43" s="62" t="str">
        <f t="shared" si="70"/>
        <v>In progress</v>
      </c>
      <c r="AB43" s="62"/>
      <c r="AC43" s="62"/>
      <c r="AD43" s="65" t="s">
        <v>110</v>
      </c>
      <c r="AE43" s="73">
        <v>244145</v>
      </c>
      <c r="AF43" s="65" t="str">
        <f t="shared" si="71"/>
        <v>Complete</v>
      </c>
      <c r="AG43" s="73">
        <v>244206</v>
      </c>
      <c r="AH43" s="73" t="s">
        <v>399</v>
      </c>
      <c r="AI43" s="62" t="str">
        <f t="shared" si="72"/>
        <v>Complete</v>
      </c>
      <c r="AJ43" s="62" t="s">
        <v>469</v>
      </c>
      <c r="AK43" s="62"/>
      <c r="AL43" s="62" t="str">
        <f t="shared" si="73"/>
        <v>In progress</v>
      </c>
      <c r="AM43" s="62"/>
      <c r="AN43" s="62"/>
      <c r="AO43" s="62"/>
      <c r="AP43" s="62"/>
      <c r="AQ43" s="62"/>
      <c r="AR43" s="62"/>
      <c r="AS43" s="62"/>
      <c r="AT43" s="62" t="str">
        <f t="shared" si="74"/>
        <v/>
      </c>
      <c r="AU43" s="62"/>
      <c r="AV43" s="62"/>
      <c r="AW43" s="62"/>
      <c r="AX43" s="73">
        <v>244402</v>
      </c>
      <c r="AY43" s="73">
        <v>244431</v>
      </c>
      <c r="AZ43" s="99" t="str">
        <f t="shared" si="65"/>
        <v>Complete</v>
      </c>
      <c r="BA43" s="62"/>
      <c r="BB43" s="62"/>
      <c r="BC43" s="62"/>
      <c r="BD43" s="62"/>
      <c r="BE43" s="62"/>
      <c r="BF43" s="62" t="str">
        <f t="shared" si="75"/>
        <v/>
      </c>
      <c r="BG43" s="65"/>
      <c r="BH43" s="65"/>
      <c r="BI43" s="65" t="str">
        <f t="shared" si="76"/>
        <v/>
      </c>
      <c r="BJ43" s="66"/>
      <c r="BK43" s="66"/>
      <c r="BL43" s="69"/>
      <c r="BM43" s="69"/>
    </row>
    <row r="44" spans="1:65" s="18" customFormat="1" ht="32.450000000000003" hidden="1" customHeight="1" x14ac:dyDescent="0.45">
      <c r="A44" s="62">
        <v>50</v>
      </c>
      <c r="B44" s="81" t="s">
        <v>255</v>
      </c>
      <c r="C44" s="108" t="s">
        <v>23</v>
      </c>
      <c r="D44" s="60" t="s">
        <v>24</v>
      </c>
      <c r="E44" s="60" t="s">
        <v>25</v>
      </c>
      <c r="F44" s="60" t="s">
        <v>96</v>
      </c>
      <c r="G44" s="60" t="s">
        <v>104</v>
      </c>
      <c r="H44" s="60" t="s">
        <v>301</v>
      </c>
      <c r="I44" s="60"/>
      <c r="J44" s="60" t="s">
        <v>336</v>
      </c>
      <c r="K44" s="62" t="s">
        <v>113</v>
      </c>
      <c r="L44" s="59" t="s">
        <v>123</v>
      </c>
      <c r="M44" s="62">
        <v>9</v>
      </c>
      <c r="N44" s="63">
        <v>181</v>
      </c>
      <c r="O44" s="64">
        <v>16.843475000000002</v>
      </c>
      <c r="P44" s="64">
        <v>102.743334</v>
      </c>
      <c r="Q44" s="65" t="s">
        <v>110</v>
      </c>
      <c r="R44" s="65" t="s">
        <v>108</v>
      </c>
      <c r="S44" s="62" t="str">
        <f t="shared" si="68"/>
        <v>Complete</v>
      </c>
      <c r="T44" s="62" t="s">
        <v>124</v>
      </c>
      <c r="U44" s="65" t="s">
        <v>380</v>
      </c>
      <c r="V44" s="65" t="s">
        <v>380</v>
      </c>
      <c r="W44" s="65" t="str">
        <f t="shared" si="69"/>
        <v>Complete</v>
      </c>
      <c r="X44" s="51" t="s">
        <v>448</v>
      </c>
      <c r="Y44" s="65" t="s">
        <v>413</v>
      </c>
      <c r="Z44" s="65"/>
      <c r="AA44" s="62" t="str">
        <f t="shared" si="70"/>
        <v>In progress</v>
      </c>
      <c r="AB44" s="62"/>
      <c r="AC44" s="62"/>
      <c r="AD44" s="65" t="s">
        <v>110</v>
      </c>
      <c r="AE44" s="73">
        <v>244145</v>
      </c>
      <c r="AF44" s="65" t="str">
        <f t="shared" si="71"/>
        <v>Complete</v>
      </c>
      <c r="AG44" s="73">
        <v>244206</v>
      </c>
      <c r="AH44" s="73" t="s">
        <v>399</v>
      </c>
      <c r="AI44" s="62" t="str">
        <f t="shared" si="72"/>
        <v>Complete</v>
      </c>
      <c r="AJ44" s="62" t="s">
        <v>469</v>
      </c>
      <c r="AK44" s="62"/>
      <c r="AL44" s="62" t="str">
        <f t="shared" si="73"/>
        <v>In progress</v>
      </c>
      <c r="AM44" s="62"/>
      <c r="AN44" s="62"/>
      <c r="AO44" s="62"/>
      <c r="AP44" s="62"/>
      <c r="AQ44" s="62"/>
      <c r="AR44" s="62"/>
      <c r="AS44" s="62"/>
      <c r="AT44" s="62" t="str">
        <f t="shared" si="74"/>
        <v/>
      </c>
      <c r="AU44" s="62"/>
      <c r="AV44" s="62"/>
      <c r="AW44" s="107"/>
      <c r="AX44" s="73">
        <v>244402</v>
      </c>
      <c r="AY44" s="73">
        <v>244430</v>
      </c>
      <c r="AZ44" s="99" t="str">
        <f t="shared" si="65"/>
        <v>Complete</v>
      </c>
      <c r="BA44" s="62"/>
      <c r="BB44" s="62"/>
      <c r="BC44" s="62"/>
      <c r="BD44" s="62"/>
      <c r="BE44" s="62"/>
      <c r="BF44" s="62" t="str">
        <f t="shared" si="75"/>
        <v/>
      </c>
      <c r="BG44" s="65"/>
      <c r="BH44" s="65"/>
      <c r="BI44" s="65" t="str">
        <f t="shared" si="76"/>
        <v/>
      </c>
      <c r="BJ44" s="66"/>
      <c r="BK44" s="66"/>
      <c r="BL44" s="69"/>
      <c r="BM44" s="69"/>
    </row>
    <row r="45" spans="1:65" s="18" customFormat="1" ht="32.450000000000003" hidden="1" customHeight="1" x14ac:dyDescent="0.45">
      <c r="A45" s="59">
        <v>51</v>
      </c>
      <c r="B45" s="81" t="s">
        <v>186</v>
      </c>
      <c r="C45" s="108" t="s">
        <v>26</v>
      </c>
      <c r="D45" s="60" t="s">
        <v>24</v>
      </c>
      <c r="E45" s="60" t="s">
        <v>25</v>
      </c>
      <c r="F45" s="60" t="s">
        <v>96</v>
      </c>
      <c r="G45" s="60" t="s">
        <v>104</v>
      </c>
      <c r="H45" s="60" t="s">
        <v>301</v>
      </c>
      <c r="I45" s="60"/>
      <c r="J45" s="60" t="s">
        <v>342</v>
      </c>
      <c r="K45" s="62" t="s">
        <v>113</v>
      </c>
      <c r="L45" s="59" t="s">
        <v>123</v>
      </c>
      <c r="M45" s="62">
        <v>9</v>
      </c>
      <c r="N45" s="63">
        <v>218</v>
      </c>
      <c r="O45" s="64">
        <v>16.955269999999999</v>
      </c>
      <c r="P45" s="64">
        <v>102.77285500000001</v>
      </c>
      <c r="Q45" s="65" t="s">
        <v>110</v>
      </c>
      <c r="R45" s="65" t="s">
        <v>108</v>
      </c>
      <c r="S45" s="62" t="str">
        <f t="shared" si="68"/>
        <v>Complete</v>
      </c>
      <c r="T45" s="62" t="s">
        <v>124</v>
      </c>
      <c r="U45" s="65" t="s">
        <v>380</v>
      </c>
      <c r="V45" s="65" t="s">
        <v>380</v>
      </c>
      <c r="W45" s="65" t="str">
        <f t="shared" si="69"/>
        <v>Complete</v>
      </c>
      <c r="X45" s="51" t="s">
        <v>448</v>
      </c>
      <c r="Y45" s="65" t="s">
        <v>413</v>
      </c>
      <c r="Z45" s="65"/>
      <c r="AA45" s="62" t="str">
        <f t="shared" si="70"/>
        <v>In progress</v>
      </c>
      <c r="AB45" s="62"/>
      <c r="AC45" s="62"/>
      <c r="AD45" s="65" t="s">
        <v>110</v>
      </c>
      <c r="AE45" s="73">
        <v>244145</v>
      </c>
      <c r="AF45" s="65" t="str">
        <f t="shared" si="71"/>
        <v>Complete</v>
      </c>
      <c r="AG45" s="73">
        <v>244206</v>
      </c>
      <c r="AH45" s="73" t="s">
        <v>399</v>
      </c>
      <c r="AI45" s="62" t="str">
        <f t="shared" si="72"/>
        <v>Complete</v>
      </c>
      <c r="AJ45" s="62" t="s">
        <v>469</v>
      </c>
      <c r="AK45" s="62"/>
      <c r="AL45" s="62" t="str">
        <f t="shared" si="73"/>
        <v>In progress</v>
      </c>
      <c r="AM45" s="62"/>
      <c r="AN45" s="62"/>
      <c r="AO45" s="62"/>
      <c r="AP45" s="62"/>
      <c r="AQ45" s="62"/>
      <c r="AR45" s="62"/>
      <c r="AS45" s="62"/>
      <c r="AT45" s="62" t="str">
        <f t="shared" si="74"/>
        <v/>
      </c>
      <c r="AU45" s="62"/>
      <c r="AV45" s="62"/>
      <c r="AW45" s="107"/>
      <c r="AX45" s="73">
        <v>244394</v>
      </c>
      <c r="AY45" s="73">
        <v>244431</v>
      </c>
      <c r="AZ45" s="99" t="str">
        <f t="shared" si="65"/>
        <v>Complete</v>
      </c>
      <c r="BA45" s="62"/>
      <c r="BB45" s="62"/>
      <c r="BC45" s="62"/>
      <c r="BD45" s="62"/>
      <c r="BE45" s="62"/>
      <c r="BF45" s="62" t="str">
        <f t="shared" si="75"/>
        <v/>
      </c>
      <c r="BG45" s="65"/>
      <c r="BH45" s="65"/>
      <c r="BI45" s="65" t="str">
        <f t="shared" si="76"/>
        <v/>
      </c>
      <c r="BJ45" s="66"/>
      <c r="BK45" s="66"/>
      <c r="BL45" s="69"/>
      <c r="BM45" s="69"/>
    </row>
    <row r="46" spans="1:65" s="18" customFormat="1" ht="32.450000000000003" hidden="1" customHeight="1" x14ac:dyDescent="0.45">
      <c r="A46" s="59">
        <v>52</v>
      </c>
      <c r="B46" s="81" t="s">
        <v>207</v>
      </c>
      <c r="C46" s="60" t="s">
        <v>26</v>
      </c>
      <c r="D46" s="60" t="s">
        <v>24</v>
      </c>
      <c r="E46" s="60" t="s">
        <v>25</v>
      </c>
      <c r="F46" s="60" t="s">
        <v>96</v>
      </c>
      <c r="G46" s="60" t="s">
        <v>104</v>
      </c>
      <c r="H46" s="60" t="s">
        <v>301</v>
      </c>
      <c r="I46" s="60"/>
      <c r="J46" s="60" t="s">
        <v>343</v>
      </c>
      <c r="K46" s="62" t="s">
        <v>113</v>
      </c>
      <c r="L46" s="59" t="s">
        <v>123</v>
      </c>
      <c r="M46" s="62">
        <v>9</v>
      </c>
      <c r="N46" s="63">
        <v>214</v>
      </c>
      <c r="O46" s="64">
        <v>16.961724</v>
      </c>
      <c r="P46" s="64">
        <v>102.75342999999999</v>
      </c>
      <c r="Q46" s="65" t="s">
        <v>110</v>
      </c>
      <c r="R46" s="65" t="s">
        <v>109</v>
      </c>
      <c r="S46" s="62" t="str">
        <f t="shared" si="68"/>
        <v>Complete</v>
      </c>
      <c r="T46" s="62" t="s">
        <v>124</v>
      </c>
      <c r="U46" s="65" t="s">
        <v>380</v>
      </c>
      <c r="V46" s="65" t="s">
        <v>380</v>
      </c>
      <c r="W46" s="65" t="str">
        <f t="shared" si="69"/>
        <v>Complete</v>
      </c>
      <c r="X46" s="51" t="s">
        <v>448</v>
      </c>
      <c r="Y46" s="65" t="s">
        <v>414</v>
      </c>
      <c r="Z46" s="65"/>
      <c r="AA46" s="62" t="str">
        <f t="shared" si="70"/>
        <v>In progress</v>
      </c>
      <c r="AB46" s="62"/>
      <c r="AC46" s="62"/>
      <c r="AD46" s="65" t="s">
        <v>110</v>
      </c>
      <c r="AE46" s="73">
        <v>244145</v>
      </c>
      <c r="AF46" s="65" t="str">
        <f t="shared" si="71"/>
        <v>Complete</v>
      </c>
      <c r="AG46" s="73">
        <v>244206</v>
      </c>
      <c r="AH46" s="73" t="s">
        <v>399</v>
      </c>
      <c r="AI46" s="62" t="str">
        <f t="shared" si="72"/>
        <v>Complete</v>
      </c>
      <c r="AJ46" s="62" t="s">
        <v>469</v>
      </c>
      <c r="AK46" s="62"/>
      <c r="AL46" s="62" t="str">
        <f t="shared" si="73"/>
        <v>In progress</v>
      </c>
      <c r="AM46" s="62"/>
      <c r="AN46" s="62"/>
      <c r="AO46" s="62"/>
      <c r="AP46" s="62"/>
      <c r="AQ46" s="62"/>
      <c r="AR46" s="62"/>
      <c r="AS46" s="62"/>
      <c r="AT46" s="62" t="str">
        <f t="shared" si="74"/>
        <v/>
      </c>
      <c r="AU46" s="62"/>
      <c r="AV46" s="62"/>
      <c r="AW46" s="62"/>
      <c r="AX46" s="73">
        <v>244394</v>
      </c>
      <c r="AY46" s="73">
        <v>244430</v>
      </c>
      <c r="AZ46" s="99" t="str">
        <f t="shared" si="65"/>
        <v>Complete</v>
      </c>
      <c r="BA46" s="62"/>
      <c r="BB46" s="62"/>
      <c r="BC46" s="62"/>
      <c r="BD46" s="62"/>
      <c r="BE46" s="62"/>
      <c r="BF46" s="62" t="str">
        <f t="shared" si="75"/>
        <v/>
      </c>
      <c r="BG46" s="65"/>
      <c r="BH46" s="65"/>
      <c r="BI46" s="65" t="str">
        <f t="shared" si="76"/>
        <v/>
      </c>
      <c r="BJ46" s="66"/>
      <c r="BK46" s="66"/>
      <c r="BL46" s="69"/>
      <c r="BM46" s="69"/>
    </row>
    <row r="47" spans="1:65" s="18" customFormat="1" ht="32.450000000000003" hidden="1" customHeight="1" x14ac:dyDescent="0.45">
      <c r="A47" s="59">
        <v>53</v>
      </c>
      <c r="B47" s="81" t="s">
        <v>242</v>
      </c>
      <c r="C47" s="60" t="s">
        <v>26</v>
      </c>
      <c r="D47" s="60" t="s">
        <v>24</v>
      </c>
      <c r="E47" s="60" t="s">
        <v>25</v>
      </c>
      <c r="F47" s="60" t="s">
        <v>96</v>
      </c>
      <c r="G47" s="60" t="s">
        <v>104</v>
      </c>
      <c r="H47" s="60" t="s">
        <v>301</v>
      </c>
      <c r="I47" s="60"/>
      <c r="J47" s="60" t="s">
        <v>339</v>
      </c>
      <c r="K47" s="62" t="s">
        <v>113</v>
      </c>
      <c r="L47" s="59" t="s">
        <v>123</v>
      </c>
      <c r="M47" s="62">
        <v>9</v>
      </c>
      <c r="N47" s="63">
        <v>216</v>
      </c>
      <c r="O47" s="64">
        <v>16.966857999999998</v>
      </c>
      <c r="P47" s="64">
        <v>102.74177299999999</v>
      </c>
      <c r="Q47" s="65" t="s">
        <v>110</v>
      </c>
      <c r="R47" s="65" t="s">
        <v>109</v>
      </c>
      <c r="S47" s="62" t="str">
        <f t="shared" si="68"/>
        <v>Complete</v>
      </c>
      <c r="T47" s="62" t="s">
        <v>124</v>
      </c>
      <c r="U47" s="65" t="s">
        <v>380</v>
      </c>
      <c r="V47" s="65" t="s">
        <v>380</v>
      </c>
      <c r="W47" s="65" t="str">
        <f t="shared" si="69"/>
        <v>Complete</v>
      </c>
      <c r="X47" s="51" t="s">
        <v>448</v>
      </c>
      <c r="Y47" s="65" t="s">
        <v>414</v>
      </c>
      <c r="Z47" s="65"/>
      <c r="AA47" s="62" t="str">
        <f t="shared" si="70"/>
        <v>In progress</v>
      </c>
      <c r="AB47" s="62"/>
      <c r="AC47" s="62"/>
      <c r="AD47" s="65" t="s">
        <v>110</v>
      </c>
      <c r="AE47" s="73">
        <v>244145</v>
      </c>
      <c r="AF47" s="65" t="str">
        <f t="shared" si="71"/>
        <v>Complete</v>
      </c>
      <c r="AG47" s="73">
        <v>244206</v>
      </c>
      <c r="AH47" s="73" t="s">
        <v>399</v>
      </c>
      <c r="AI47" s="62" t="str">
        <f t="shared" si="72"/>
        <v>Complete</v>
      </c>
      <c r="AJ47" s="62" t="s">
        <v>469</v>
      </c>
      <c r="AK47" s="62"/>
      <c r="AL47" s="62" t="str">
        <f t="shared" si="73"/>
        <v>In progress</v>
      </c>
      <c r="AM47" s="62"/>
      <c r="AN47" s="62"/>
      <c r="AO47" s="62"/>
      <c r="AP47" s="62"/>
      <c r="AQ47" s="62"/>
      <c r="AR47" s="62"/>
      <c r="AS47" s="62"/>
      <c r="AT47" s="62" t="str">
        <f t="shared" si="74"/>
        <v/>
      </c>
      <c r="AU47" s="62"/>
      <c r="AV47" s="62"/>
      <c r="AW47" s="62"/>
      <c r="AX47" s="73">
        <v>244390</v>
      </c>
      <c r="AY47" s="73">
        <v>244430</v>
      </c>
      <c r="AZ47" s="99" t="str">
        <f t="shared" si="65"/>
        <v>Complete</v>
      </c>
      <c r="BA47" s="62"/>
      <c r="BB47" s="62"/>
      <c r="BC47" s="62"/>
      <c r="BD47" s="62"/>
      <c r="BE47" s="62"/>
      <c r="BF47" s="62" t="str">
        <f t="shared" si="75"/>
        <v/>
      </c>
      <c r="BG47" s="65"/>
      <c r="BH47" s="65"/>
      <c r="BI47" s="65" t="str">
        <f t="shared" si="76"/>
        <v/>
      </c>
      <c r="BJ47" s="66"/>
      <c r="BK47" s="66"/>
      <c r="BL47" s="69"/>
      <c r="BM47" s="69"/>
    </row>
    <row r="48" spans="1:65" s="18" customFormat="1" ht="32.450000000000003" hidden="1" customHeight="1" x14ac:dyDescent="0.45">
      <c r="A48" s="62">
        <v>54</v>
      </c>
      <c r="B48" s="81" t="s">
        <v>292</v>
      </c>
      <c r="C48" s="108" t="s">
        <v>27</v>
      </c>
      <c r="D48" s="60" t="s">
        <v>24</v>
      </c>
      <c r="E48" s="60" t="s">
        <v>25</v>
      </c>
      <c r="F48" s="60" t="s">
        <v>96</v>
      </c>
      <c r="G48" s="60" t="s">
        <v>104</v>
      </c>
      <c r="H48" s="60" t="s">
        <v>301</v>
      </c>
      <c r="I48" s="60"/>
      <c r="J48" s="60" t="s">
        <v>336</v>
      </c>
      <c r="K48" s="62" t="s">
        <v>113</v>
      </c>
      <c r="L48" s="59" t="s">
        <v>123</v>
      </c>
      <c r="M48" s="62">
        <v>9</v>
      </c>
      <c r="N48" s="63">
        <v>225</v>
      </c>
      <c r="O48" s="64">
        <v>17.011050000000001</v>
      </c>
      <c r="P48" s="64">
        <v>102.748608</v>
      </c>
      <c r="Q48" s="65" t="s">
        <v>110</v>
      </c>
      <c r="R48" s="65" t="s">
        <v>109</v>
      </c>
      <c r="S48" s="62" t="str">
        <f t="shared" si="68"/>
        <v>Complete</v>
      </c>
      <c r="T48" s="62" t="s">
        <v>124</v>
      </c>
      <c r="U48" s="65" t="s">
        <v>380</v>
      </c>
      <c r="V48" s="65" t="s">
        <v>380</v>
      </c>
      <c r="W48" s="65" t="str">
        <f t="shared" si="69"/>
        <v>Complete</v>
      </c>
      <c r="X48" s="51" t="s">
        <v>448</v>
      </c>
      <c r="Y48" s="65" t="s">
        <v>414</v>
      </c>
      <c r="Z48" s="65"/>
      <c r="AA48" s="62" t="str">
        <f t="shared" si="70"/>
        <v>In progress</v>
      </c>
      <c r="AB48" s="62"/>
      <c r="AC48" s="62"/>
      <c r="AD48" s="65" t="s">
        <v>110</v>
      </c>
      <c r="AE48" s="73">
        <v>244145</v>
      </c>
      <c r="AF48" s="65" t="str">
        <f t="shared" si="71"/>
        <v>Complete</v>
      </c>
      <c r="AG48" s="73">
        <v>244206</v>
      </c>
      <c r="AH48" s="73" t="s">
        <v>399</v>
      </c>
      <c r="AI48" s="62" t="str">
        <f t="shared" si="72"/>
        <v>Complete</v>
      </c>
      <c r="AJ48" s="62" t="s">
        <v>469</v>
      </c>
      <c r="AK48" s="62"/>
      <c r="AL48" s="62" t="str">
        <f t="shared" si="73"/>
        <v>In progress</v>
      </c>
      <c r="AM48" s="62"/>
      <c r="AN48" s="62"/>
      <c r="AO48" s="62"/>
      <c r="AP48" s="62"/>
      <c r="AQ48" s="62"/>
      <c r="AR48" s="62"/>
      <c r="AS48" s="62"/>
      <c r="AT48" s="62" t="str">
        <f t="shared" si="74"/>
        <v/>
      </c>
      <c r="AU48" s="62"/>
      <c r="AV48" s="62"/>
      <c r="AW48" s="62"/>
      <c r="AX48" s="73">
        <v>244390</v>
      </c>
      <c r="AY48" s="73">
        <v>244430</v>
      </c>
      <c r="AZ48" s="99" t="str">
        <f t="shared" si="65"/>
        <v>Complete</v>
      </c>
      <c r="BA48" s="62"/>
      <c r="BB48" s="62"/>
      <c r="BC48" s="62"/>
      <c r="BD48" s="62"/>
      <c r="BE48" s="62"/>
      <c r="BF48" s="62" t="str">
        <f t="shared" si="75"/>
        <v/>
      </c>
      <c r="BG48" s="65"/>
      <c r="BH48" s="65"/>
      <c r="BI48" s="65" t="str">
        <f t="shared" si="76"/>
        <v/>
      </c>
      <c r="BJ48" s="66"/>
      <c r="BK48" s="66"/>
      <c r="BL48" s="69"/>
      <c r="BM48" s="69"/>
    </row>
    <row r="49" spans="1:65" s="18" customFormat="1" ht="32.450000000000003" hidden="1" customHeight="1" x14ac:dyDescent="0.45">
      <c r="A49" s="62">
        <v>55</v>
      </c>
      <c r="B49" s="81" t="s">
        <v>167</v>
      </c>
      <c r="C49" s="108" t="s">
        <v>27</v>
      </c>
      <c r="D49" s="60" t="s">
        <v>24</v>
      </c>
      <c r="E49" s="60" t="s">
        <v>25</v>
      </c>
      <c r="F49" s="60" t="s">
        <v>96</v>
      </c>
      <c r="G49" s="60" t="s">
        <v>104</v>
      </c>
      <c r="H49" s="60" t="s">
        <v>301</v>
      </c>
      <c r="I49" s="60"/>
      <c r="J49" s="60" t="s">
        <v>337</v>
      </c>
      <c r="K49" s="62" t="s">
        <v>113</v>
      </c>
      <c r="L49" s="59" t="s">
        <v>123</v>
      </c>
      <c r="M49" s="62">
        <v>9</v>
      </c>
      <c r="N49" s="63">
        <v>253</v>
      </c>
      <c r="O49" s="64">
        <v>17.000993000000001</v>
      </c>
      <c r="P49" s="64">
        <v>102.758323</v>
      </c>
      <c r="Q49" s="65" t="s">
        <v>110</v>
      </c>
      <c r="R49" s="65" t="s">
        <v>109</v>
      </c>
      <c r="S49" s="62" t="str">
        <f t="shared" si="68"/>
        <v>Complete</v>
      </c>
      <c r="T49" s="62" t="s">
        <v>124</v>
      </c>
      <c r="U49" s="65" t="s">
        <v>380</v>
      </c>
      <c r="V49" s="65" t="s">
        <v>380</v>
      </c>
      <c r="W49" s="65" t="str">
        <f t="shared" si="69"/>
        <v>Complete</v>
      </c>
      <c r="X49" s="51" t="s">
        <v>448</v>
      </c>
      <c r="Y49" s="65" t="s">
        <v>414</v>
      </c>
      <c r="Z49" s="65"/>
      <c r="AA49" s="62" t="str">
        <f t="shared" si="70"/>
        <v>In progress</v>
      </c>
      <c r="AB49" s="62"/>
      <c r="AC49" s="62"/>
      <c r="AD49" s="65" t="s">
        <v>110</v>
      </c>
      <c r="AE49" s="73">
        <v>244145</v>
      </c>
      <c r="AF49" s="65" t="str">
        <f t="shared" si="71"/>
        <v>Complete</v>
      </c>
      <c r="AG49" s="73">
        <v>244206</v>
      </c>
      <c r="AH49" s="73" t="s">
        <v>399</v>
      </c>
      <c r="AI49" s="62" t="str">
        <f t="shared" si="72"/>
        <v>Complete</v>
      </c>
      <c r="AJ49" s="62" t="s">
        <v>469</v>
      </c>
      <c r="AK49" s="62"/>
      <c r="AL49" s="62" t="str">
        <f t="shared" si="73"/>
        <v>In progress</v>
      </c>
      <c r="AM49" s="62"/>
      <c r="AN49" s="62"/>
      <c r="AO49" s="62"/>
      <c r="AP49" s="62"/>
      <c r="AQ49" s="62"/>
      <c r="AR49" s="62"/>
      <c r="AS49" s="62"/>
      <c r="AT49" s="62" t="str">
        <f t="shared" si="74"/>
        <v/>
      </c>
      <c r="AU49" s="62"/>
      <c r="AV49" s="62"/>
      <c r="AW49" s="62"/>
      <c r="AX49" s="73">
        <v>244390</v>
      </c>
      <c r="AY49" s="73">
        <v>244430</v>
      </c>
      <c r="AZ49" s="99" t="str">
        <f t="shared" si="65"/>
        <v>Complete</v>
      </c>
      <c r="BA49" s="62"/>
      <c r="BB49" s="62"/>
      <c r="BC49" s="62"/>
      <c r="BD49" s="62"/>
      <c r="BE49" s="62"/>
      <c r="BF49" s="62" t="str">
        <f t="shared" si="75"/>
        <v/>
      </c>
      <c r="BG49" s="65"/>
      <c r="BH49" s="65"/>
      <c r="BI49" s="65" t="str">
        <f t="shared" si="76"/>
        <v/>
      </c>
      <c r="BJ49" s="66"/>
      <c r="BK49" s="66"/>
      <c r="BL49" s="69"/>
      <c r="BM49" s="69"/>
    </row>
    <row r="50" spans="1:65" s="18" customFormat="1" ht="32.450000000000003" hidden="1" customHeight="1" x14ac:dyDescent="0.45">
      <c r="A50" s="59">
        <v>56</v>
      </c>
      <c r="B50" s="81" t="s">
        <v>187</v>
      </c>
      <c r="C50" s="108" t="s">
        <v>27</v>
      </c>
      <c r="D50" s="60" t="s">
        <v>24</v>
      </c>
      <c r="E50" s="60" t="s">
        <v>25</v>
      </c>
      <c r="F50" s="60" t="s">
        <v>96</v>
      </c>
      <c r="G50" s="60" t="s">
        <v>104</v>
      </c>
      <c r="H50" s="60" t="s">
        <v>301</v>
      </c>
      <c r="I50" s="60"/>
      <c r="J50" s="60" t="s">
        <v>339</v>
      </c>
      <c r="K50" s="62" t="s">
        <v>113</v>
      </c>
      <c r="L50" s="59" t="s">
        <v>123</v>
      </c>
      <c r="M50" s="62">
        <v>9</v>
      </c>
      <c r="N50" s="63">
        <v>228</v>
      </c>
      <c r="O50" s="64">
        <v>17.017863999999999</v>
      </c>
      <c r="P50" s="64">
        <v>102.774529</v>
      </c>
      <c r="Q50" s="65" t="s">
        <v>110</v>
      </c>
      <c r="R50" s="65" t="s">
        <v>109</v>
      </c>
      <c r="S50" s="62" t="str">
        <f t="shared" si="68"/>
        <v>Complete</v>
      </c>
      <c r="T50" s="62" t="s">
        <v>124</v>
      </c>
      <c r="U50" s="65" t="s">
        <v>380</v>
      </c>
      <c r="V50" s="65" t="s">
        <v>380</v>
      </c>
      <c r="W50" s="65" t="str">
        <f t="shared" si="69"/>
        <v>Complete</v>
      </c>
      <c r="X50" s="51" t="s">
        <v>448</v>
      </c>
      <c r="Y50" s="65" t="s">
        <v>414</v>
      </c>
      <c r="Z50" s="65"/>
      <c r="AA50" s="62" t="str">
        <f t="shared" si="70"/>
        <v>In progress</v>
      </c>
      <c r="AB50" s="62"/>
      <c r="AC50" s="62"/>
      <c r="AD50" s="65" t="s">
        <v>110</v>
      </c>
      <c r="AE50" s="73">
        <v>244145</v>
      </c>
      <c r="AF50" s="65" t="str">
        <f t="shared" si="71"/>
        <v>Complete</v>
      </c>
      <c r="AG50" s="73">
        <v>244206</v>
      </c>
      <c r="AH50" s="73" t="s">
        <v>399</v>
      </c>
      <c r="AI50" s="62" t="str">
        <f t="shared" si="72"/>
        <v>Complete</v>
      </c>
      <c r="AJ50" s="62" t="s">
        <v>469</v>
      </c>
      <c r="AK50" s="62"/>
      <c r="AL50" s="62" t="str">
        <f t="shared" si="73"/>
        <v>In progress</v>
      </c>
      <c r="AM50" s="62"/>
      <c r="AN50" s="62"/>
      <c r="AO50" s="62"/>
      <c r="AP50" s="62"/>
      <c r="AQ50" s="62"/>
      <c r="AR50" s="62"/>
      <c r="AS50" s="62"/>
      <c r="AT50" s="62" t="str">
        <f t="shared" si="74"/>
        <v/>
      </c>
      <c r="AU50" s="62"/>
      <c r="AV50" s="62"/>
      <c r="AW50" s="62"/>
      <c r="AX50" s="73">
        <v>244390</v>
      </c>
      <c r="AY50" s="73">
        <v>244430</v>
      </c>
      <c r="AZ50" s="99" t="str">
        <f t="shared" si="65"/>
        <v>Complete</v>
      </c>
      <c r="BA50" s="62"/>
      <c r="BB50" s="62"/>
      <c r="BC50" s="62"/>
      <c r="BD50" s="62"/>
      <c r="BE50" s="62"/>
      <c r="BF50" s="62" t="str">
        <f t="shared" si="75"/>
        <v/>
      </c>
      <c r="BG50" s="65"/>
      <c r="BH50" s="65"/>
      <c r="BI50" s="65" t="str">
        <f t="shared" si="76"/>
        <v/>
      </c>
      <c r="BJ50" s="66"/>
      <c r="BK50" s="66"/>
      <c r="BL50" s="69"/>
      <c r="BM50" s="69"/>
    </row>
    <row r="51" spans="1:65" s="18" customFormat="1" ht="32.450000000000003" hidden="1" customHeight="1" x14ac:dyDescent="0.45">
      <c r="A51" s="59">
        <v>57</v>
      </c>
      <c r="B51" s="81" t="s">
        <v>208</v>
      </c>
      <c r="C51" s="108" t="s">
        <v>27</v>
      </c>
      <c r="D51" s="60" t="s">
        <v>24</v>
      </c>
      <c r="E51" s="60" t="s">
        <v>25</v>
      </c>
      <c r="F51" s="60" t="s">
        <v>96</v>
      </c>
      <c r="G51" s="60" t="s">
        <v>104</v>
      </c>
      <c r="H51" s="60" t="s">
        <v>301</v>
      </c>
      <c r="I51" s="60"/>
      <c r="J51" s="60" t="s">
        <v>344</v>
      </c>
      <c r="K51" s="62" t="s">
        <v>113</v>
      </c>
      <c r="L51" s="59" t="s">
        <v>472</v>
      </c>
      <c r="M51" s="62">
        <v>18</v>
      </c>
      <c r="N51" s="63">
        <v>228</v>
      </c>
      <c r="O51" s="64">
        <v>17.010202</v>
      </c>
      <c r="P51" s="64">
        <v>102.761785</v>
      </c>
      <c r="Q51" s="65" t="s">
        <v>110</v>
      </c>
      <c r="R51" s="65" t="s">
        <v>109</v>
      </c>
      <c r="S51" s="62" t="str">
        <f t="shared" si="68"/>
        <v>Complete</v>
      </c>
      <c r="T51" s="62" t="s">
        <v>124</v>
      </c>
      <c r="U51" s="65" t="s">
        <v>385</v>
      </c>
      <c r="V51" s="65" t="s">
        <v>385</v>
      </c>
      <c r="W51" s="65" t="str">
        <f t="shared" si="69"/>
        <v>Complete</v>
      </c>
      <c r="X51" s="51" t="s">
        <v>448</v>
      </c>
      <c r="Y51" s="65" t="s">
        <v>414</v>
      </c>
      <c r="Z51" s="65"/>
      <c r="AA51" s="62" t="str">
        <f t="shared" si="70"/>
        <v>In progress</v>
      </c>
      <c r="AB51" s="62"/>
      <c r="AC51" s="62"/>
      <c r="AD51" s="65" t="s">
        <v>399</v>
      </c>
      <c r="AE51" s="75" t="s">
        <v>420</v>
      </c>
      <c r="AF51" s="65" t="str">
        <f t="shared" si="71"/>
        <v>Complete</v>
      </c>
      <c r="AG51" s="62" t="s">
        <v>418</v>
      </c>
      <c r="AH51" s="62" t="s">
        <v>447</v>
      </c>
      <c r="AI51" s="62" t="str">
        <f t="shared" si="72"/>
        <v>Complete</v>
      </c>
      <c r="AJ51" s="73">
        <v>244470</v>
      </c>
      <c r="AK51" s="73">
        <v>244470</v>
      </c>
      <c r="AL51" s="62" t="str">
        <f t="shared" si="73"/>
        <v>Complete</v>
      </c>
      <c r="AM51" s="62"/>
      <c r="AN51" s="62" t="s">
        <v>451</v>
      </c>
      <c r="AO51" s="73" t="s">
        <v>461</v>
      </c>
      <c r="AP51" s="62"/>
      <c r="AQ51" s="62"/>
      <c r="AR51" s="62"/>
      <c r="AS51" s="62"/>
      <c r="AT51" s="62" t="str">
        <f t="shared" si="74"/>
        <v/>
      </c>
      <c r="AU51" s="62"/>
      <c r="AV51" s="62"/>
      <c r="AW51" s="107"/>
      <c r="AX51" s="73">
        <v>244371</v>
      </c>
      <c r="AY51" s="73">
        <v>244385</v>
      </c>
      <c r="AZ51" s="103" t="str">
        <f t="shared" si="65"/>
        <v>Complete</v>
      </c>
      <c r="BA51" s="62"/>
      <c r="BB51" s="62"/>
      <c r="BC51" s="62"/>
      <c r="BD51" s="62"/>
      <c r="BE51" s="62"/>
      <c r="BF51" s="62" t="str">
        <f t="shared" si="75"/>
        <v/>
      </c>
      <c r="BG51" s="65"/>
      <c r="BH51" s="65"/>
      <c r="BI51" s="65" t="str">
        <f t="shared" si="76"/>
        <v/>
      </c>
      <c r="BJ51" s="66"/>
      <c r="BK51" s="66"/>
      <c r="BL51" s="69"/>
      <c r="BM51" s="69"/>
    </row>
    <row r="52" spans="1:65" s="18" customFormat="1" ht="32.450000000000003" hidden="1" customHeight="1" x14ac:dyDescent="0.45">
      <c r="A52" s="59">
        <v>58</v>
      </c>
      <c r="B52" s="81" t="s">
        <v>226</v>
      </c>
      <c r="C52" s="60" t="s">
        <v>27</v>
      </c>
      <c r="D52" s="60" t="s">
        <v>24</v>
      </c>
      <c r="E52" s="60" t="s">
        <v>25</v>
      </c>
      <c r="F52" s="60" t="s">
        <v>96</v>
      </c>
      <c r="G52" s="60" t="s">
        <v>104</v>
      </c>
      <c r="H52" s="60" t="s">
        <v>301</v>
      </c>
      <c r="I52" s="60"/>
      <c r="J52" s="60" t="s">
        <v>344</v>
      </c>
      <c r="K52" s="62" t="s">
        <v>113</v>
      </c>
      <c r="L52" s="59" t="s">
        <v>123</v>
      </c>
      <c r="M52" s="62">
        <v>9</v>
      </c>
      <c r="N52" s="63">
        <v>199</v>
      </c>
      <c r="O52" s="64">
        <v>16.990219</v>
      </c>
      <c r="P52" s="64">
        <v>102.738676</v>
      </c>
      <c r="Q52" s="65" t="s">
        <v>110</v>
      </c>
      <c r="R52" s="65" t="s">
        <v>109</v>
      </c>
      <c r="S52" s="62" t="str">
        <f t="shared" si="68"/>
        <v>Complete</v>
      </c>
      <c r="T52" s="62" t="s">
        <v>124</v>
      </c>
      <c r="U52" s="65" t="s">
        <v>380</v>
      </c>
      <c r="V52" s="65" t="s">
        <v>380</v>
      </c>
      <c r="W52" s="65" t="str">
        <f t="shared" si="69"/>
        <v>Complete</v>
      </c>
      <c r="X52" s="51" t="s">
        <v>448</v>
      </c>
      <c r="Y52" s="65" t="s">
        <v>414</v>
      </c>
      <c r="Z52" s="65"/>
      <c r="AA52" s="62" t="str">
        <f t="shared" si="70"/>
        <v>In progress</v>
      </c>
      <c r="AB52" s="62"/>
      <c r="AC52" s="62"/>
      <c r="AD52" s="65" t="s">
        <v>110</v>
      </c>
      <c r="AE52" s="73">
        <v>244145</v>
      </c>
      <c r="AF52" s="65" t="str">
        <f t="shared" si="71"/>
        <v>Complete</v>
      </c>
      <c r="AG52" s="73">
        <v>244206</v>
      </c>
      <c r="AH52" s="73" t="s">
        <v>399</v>
      </c>
      <c r="AI52" s="62" t="str">
        <f t="shared" si="72"/>
        <v>Complete</v>
      </c>
      <c r="AJ52" s="62" t="s">
        <v>469</v>
      </c>
      <c r="AK52" s="62"/>
      <c r="AL52" s="62" t="str">
        <f t="shared" si="73"/>
        <v>In progress</v>
      </c>
      <c r="AM52" s="62"/>
      <c r="AN52" s="62"/>
      <c r="AO52" s="62"/>
      <c r="AP52" s="62"/>
      <c r="AQ52" s="62"/>
      <c r="AR52" s="62"/>
      <c r="AS52" s="62"/>
      <c r="AT52" s="62" t="str">
        <f t="shared" si="74"/>
        <v/>
      </c>
      <c r="AU52" s="62"/>
      <c r="AV52" s="62"/>
      <c r="AW52" s="62"/>
      <c r="AX52" s="73">
        <v>244415</v>
      </c>
      <c r="AY52" s="73">
        <v>244430</v>
      </c>
      <c r="AZ52" s="99" t="s">
        <v>124</v>
      </c>
      <c r="BA52" s="62"/>
      <c r="BB52" s="62"/>
      <c r="BC52" s="62"/>
      <c r="BD52" s="62"/>
      <c r="BE52" s="62"/>
      <c r="BF52" s="62" t="str">
        <f t="shared" si="75"/>
        <v/>
      </c>
      <c r="BG52" s="65"/>
      <c r="BH52" s="65"/>
      <c r="BI52" s="65" t="str">
        <f t="shared" si="76"/>
        <v/>
      </c>
      <c r="BJ52" s="66"/>
      <c r="BK52" s="66"/>
      <c r="BL52" s="69"/>
      <c r="BM52" s="69"/>
    </row>
    <row r="53" spans="1:65" s="18" customFormat="1" ht="32.450000000000003" hidden="1" customHeight="1" x14ac:dyDescent="0.45">
      <c r="A53" s="62">
        <v>59</v>
      </c>
      <c r="B53" s="81" t="s">
        <v>293</v>
      </c>
      <c r="C53" s="108" t="s">
        <v>28</v>
      </c>
      <c r="D53" s="60" t="s">
        <v>29</v>
      </c>
      <c r="E53" s="60" t="s">
        <v>25</v>
      </c>
      <c r="F53" s="60" t="s">
        <v>96</v>
      </c>
      <c r="G53" s="60" t="s">
        <v>104</v>
      </c>
      <c r="H53" s="60" t="s">
        <v>302</v>
      </c>
      <c r="I53" s="60"/>
      <c r="J53" s="60" t="s">
        <v>339</v>
      </c>
      <c r="K53" s="62" t="s">
        <v>113</v>
      </c>
      <c r="L53" s="59" t="s">
        <v>123</v>
      </c>
      <c r="M53" s="62">
        <v>9</v>
      </c>
      <c r="N53" s="63">
        <v>187</v>
      </c>
      <c r="O53" s="64">
        <v>16.832519999999999</v>
      </c>
      <c r="P53" s="64">
        <v>102.713399</v>
      </c>
      <c r="Q53" s="65" t="s">
        <v>110</v>
      </c>
      <c r="R53" s="65" t="s">
        <v>377</v>
      </c>
      <c r="S53" s="62" t="str">
        <f t="shared" si="68"/>
        <v>Complete</v>
      </c>
      <c r="T53" s="62" t="s">
        <v>124</v>
      </c>
      <c r="U53" s="65" t="s">
        <v>380</v>
      </c>
      <c r="V53" s="65" t="s">
        <v>380</v>
      </c>
      <c r="W53" s="65" t="str">
        <f t="shared" si="69"/>
        <v>Complete</v>
      </c>
      <c r="X53" s="51" t="s">
        <v>448</v>
      </c>
      <c r="Y53" s="65" t="s">
        <v>415</v>
      </c>
      <c r="Z53" s="65"/>
      <c r="AA53" s="62" t="str">
        <f t="shared" si="70"/>
        <v>In progress</v>
      </c>
      <c r="AB53" s="62"/>
      <c r="AC53" s="62"/>
      <c r="AD53" s="65" t="s">
        <v>110</v>
      </c>
      <c r="AE53" s="73">
        <v>244145</v>
      </c>
      <c r="AF53" s="65" t="str">
        <f t="shared" si="71"/>
        <v>Complete</v>
      </c>
      <c r="AG53" s="73">
        <v>244206</v>
      </c>
      <c r="AH53" s="73" t="s">
        <v>399</v>
      </c>
      <c r="AI53" s="62" t="str">
        <f t="shared" si="72"/>
        <v>Complete</v>
      </c>
      <c r="AJ53" s="62" t="s">
        <v>469</v>
      </c>
      <c r="AK53" s="62"/>
      <c r="AL53" s="62" t="str">
        <f t="shared" si="73"/>
        <v>In progress</v>
      </c>
      <c r="AM53" s="62"/>
      <c r="AN53" s="62"/>
      <c r="AO53" s="62"/>
      <c r="AP53" s="62"/>
      <c r="AQ53" s="62"/>
      <c r="AR53" s="62"/>
      <c r="AS53" s="62"/>
      <c r="AT53" s="62" t="str">
        <f t="shared" si="74"/>
        <v/>
      </c>
      <c r="AU53" s="62"/>
      <c r="AV53" s="62"/>
      <c r="AW53" s="107"/>
      <c r="AX53" s="73">
        <v>244406</v>
      </c>
      <c r="AY53" s="73">
        <v>244431</v>
      </c>
      <c r="AZ53" s="99" t="str">
        <f t="shared" ref="AZ53:AZ84" si="77">IF(AY53&lt;&gt;"", "Complete", IF(AX53&lt;&gt;"", "In progress", ""))</f>
        <v>Complete</v>
      </c>
      <c r="BA53" s="62"/>
      <c r="BB53" s="62"/>
      <c r="BC53" s="62"/>
      <c r="BD53" s="62"/>
      <c r="BE53" s="62"/>
      <c r="BF53" s="62" t="str">
        <f t="shared" si="75"/>
        <v/>
      </c>
      <c r="BG53" s="65"/>
      <c r="BH53" s="65"/>
      <c r="BI53" s="65" t="str">
        <f t="shared" si="76"/>
        <v/>
      </c>
      <c r="BJ53" s="66"/>
      <c r="BK53" s="66"/>
      <c r="BL53" s="69"/>
      <c r="BM53" s="69"/>
    </row>
    <row r="54" spans="1:65" s="18" customFormat="1" ht="32.450000000000003" hidden="1" customHeight="1" x14ac:dyDescent="0.45">
      <c r="A54" s="62">
        <v>60</v>
      </c>
      <c r="B54" s="81" t="s">
        <v>168</v>
      </c>
      <c r="C54" s="115" t="s">
        <v>28</v>
      </c>
      <c r="D54" s="60" t="s">
        <v>29</v>
      </c>
      <c r="E54" s="60" t="s">
        <v>25</v>
      </c>
      <c r="F54" s="60" t="s">
        <v>96</v>
      </c>
      <c r="G54" s="60" t="s">
        <v>104</v>
      </c>
      <c r="H54" s="108" t="s">
        <v>301</v>
      </c>
      <c r="I54" s="60" t="s">
        <v>488</v>
      </c>
      <c r="J54" s="60" t="s">
        <v>345</v>
      </c>
      <c r="K54" s="62" t="s">
        <v>113</v>
      </c>
      <c r="L54" s="59" t="s">
        <v>123</v>
      </c>
      <c r="M54" s="62">
        <v>9</v>
      </c>
      <c r="N54" s="63">
        <v>182</v>
      </c>
      <c r="O54" s="64">
        <v>16.861319999999999</v>
      </c>
      <c r="P54" s="64">
        <v>102.682953</v>
      </c>
      <c r="Q54" s="65" t="s">
        <v>110</v>
      </c>
      <c r="R54" s="65" t="s">
        <v>377</v>
      </c>
      <c r="S54" s="62" t="str">
        <f t="shared" si="68"/>
        <v>Complete</v>
      </c>
      <c r="T54" s="62" t="s">
        <v>124</v>
      </c>
      <c r="U54" s="65" t="s">
        <v>380</v>
      </c>
      <c r="V54" s="65" t="s">
        <v>380</v>
      </c>
      <c r="W54" s="65" t="str">
        <f t="shared" si="69"/>
        <v>Complete</v>
      </c>
      <c r="X54" s="51" t="s">
        <v>448</v>
      </c>
      <c r="Y54" s="65" t="s">
        <v>415</v>
      </c>
      <c r="Z54" s="65"/>
      <c r="AA54" s="62" t="str">
        <f t="shared" si="70"/>
        <v>In progress</v>
      </c>
      <c r="AB54" s="62"/>
      <c r="AC54" s="62"/>
      <c r="AD54" s="65" t="s">
        <v>110</v>
      </c>
      <c r="AE54" s="73">
        <v>244145</v>
      </c>
      <c r="AF54" s="65" t="str">
        <f t="shared" si="71"/>
        <v>Complete</v>
      </c>
      <c r="AG54" s="73">
        <v>244206</v>
      </c>
      <c r="AH54" s="73" t="s">
        <v>399</v>
      </c>
      <c r="AI54" s="62" t="str">
        <f t="shared" si="72"/>
        <v>Complete</v>
      </c>
      <c r="AJ54" s="62" t="s">
        <v>469</v>
      </c>
      <c r="AK54" s="62"/>
      <c r="AL54" s="62" t="str">
        <f t="shared" si="73"/>
        <v>In progress</v>
      </c>
      <c r="AM54" s="62"/>
      <c r="AN54" s="62"/>
      <c r="AO54" s="62"/>
      <c r="AP54" s="62"/>
      <c r="AQ54" s="62"/>
      <c r="AR54" s="62"/>
      <c r="AS54" s="62"/>
      <c r="AT54" s="62" t="str">
        <f t="shared" si="74"/>
        <v/>
      </c>
      <c r="AU54" s="62"/>
      <c r="AV54" s="107"/>
      <c r="AW54" s="62"/>
      <c r="AX54" s="73">
        <v>244406</v>
      </c>
      <c r="AY54" s="73">
        <v>244431</v>
      </c>
      <c r="AZ54" s="99" t="str">
        <f t="shared" si="77"/>
        <v>Complete</v>
      </c>
      <c r="BA54" s="62"/>
      <c r="BB54" s="62"/>
      <c r="BC54" s="62"/>
      <c r="BD54" s="62"/>
      <c r="BE54" s="62"/>
      <c r="BF54" s="62" t="str">
        <f t="shared" si="75"/>
        <v/>
      </c>
      <c r="BG54" s="65"/>
      <c r="BH54" s="65"/>
      <c r="BI54" s="65" t="str">
        <f t="shared" si="76"/>
        <v/>
      </c>
      <c r="BJ54" s="66"/>
      <c r="BK54" s="66"/>
      <c r="BL54" s="69"/>
      <c r="BM54" s="69"/>
    </row>
    <row r="55" spans="1:65" s="18" customFormat="1" ht="32.450000000000003" hidden="1" customHeight="1" x14ac:dyDescent="0.45">
      <c r="A55" s="59">
        <v>61</v>
      </c>
      <c r="B55" s="81" t="s">
        <v>188</v>
      </c>
      <c r="C55" s="108" t="s">
        <v>28</v>
      </c>
      <c r="D55" s="60" t="s">
        <v>29</v>
      </c>
      <c r="E55" s="60" t="s">
        <v>25</v>
      </c>
      <c r="F55" s="60" t="s">
        <v>96</v>
      </c>
      <c r="G55" s="60" t="s">
        <v>104</v>
      </c>
      <c r="H55" s="60" t="s">
        <v>301</v>
      </c>
      <c r="I55" s="60"/>
      <c r="J55" s="60" t="s">
        <v>344</v>
      </c>
      <c r="K55" s="62" t="s">
        <v>113</v>
      </c>
      <c r="L55" s="59" t="s">
        <v>123</v>
      </c>
      <c r="M55" s="62">
        <v>9</v>
      </c>
      <c r="N55" s="63">
        <v>196</v>
      </c>
      <c r="O55" s="64">
        <v>16.829919</v>
      </c>
      <c r="P55" s="64">
        <v>102.715727</v>
      </c>
      <c r="Q55" s="65" t="s">
        <v>110</v>
      </c>
      <c r="R55" s="65" t="s">
        <v>377</v>
      </c>
      <c r="S55" s="62" t="str">
        <f t="shared" si="68"/>
        <v>Complete</v>
      </c>
      <c r="T55" s="62" t="s">
        <v>124</v>
      </c>
      <c r="U55" s="65" t="s">
        <v>380</v>
      </c>
      <c r="V55" s="65" t="s">
        <v>380</v>
      </c>
      <c r="W55" s="65" t="str">
        <f t="shared" si="69"/>
        <v>Complete</v>
      </c>
      <c r="X55" s="51" t="s">
        <v>448</v>
      </c>
      <c r="Y55" s="65" t="s">
        <v>415</v>
      </c>
      <c r="Z55" s="65"/>
      <c r="AA55" s="62" t="str">
        <f t="shared" si="70"/>
        <v>In progress</v>
      </c>
      <c r="AB55" s="62"/>
      <c r="AC55" s="62"/>
      <c r="AD55" s="65" t="s">
        <v>110</v>
      </c>
      <c r="AE55" s="73">
        <v>244145</v>
      </c>
      <c r="AF55" s="65" t="str">
        <f t="shared" si="71"/>
        <v>Complete</v>
      </c>
      <c r="AG55" s="73">
        <v>244206</v>
      </c>
      <c r="AH55" s="73" t="s">
        <v>399</v>
      </c>
      <c r="AI55" s="62" t="str">
        <f t="shared" si="72"/>
        <v>Complete</v>
      </c>
      <c r="AJ55" s="62" t="s">
        <v>469</v>
      </c>
      <c r="AK55" s="62"/>
      <c r="AL55" s="62" t="str">
        <f t="shared" si="73"/>
        <v>In progress</v>
      </c>
      <c r="AM55" s="62"/>
      <c r="AN55" s="62"/>
      <c r="AO55" s="62"/>
      <c r="AP55" s="62"/>
      <c r="AQ55" s="62"/>
      <c r="AR55" s="62"/>
      <c r="AS55" s="62"/>
      <c r="AT55" s="62" t="str">
        <f t="shared" si="74"/>
        <v/>
      </c>
      <c r="AU55" s="62"/>
      <c r="AV55" s="62"/>
      <c r="AW55" s="107"/>
      <c r="AX55" s="73">
        <v>244406</v>
      </c>
      <c r="AY55" s="73">
        <v>244431</v>
      </c>
      <c r="AZ55" s="99" t="str">
        <f t="shared" si="77"/>
        <v>Complete</v>
      </c>
      <c r="BA55" s="62"/>
      <c r="BB55" s="62"/>
      <c r="BC55" s="62"/>
      <c r="BD55" s="62"/>
      <c r="BE55" s="62"/>
      <c r="BF55" s="62" t="str">
        <f t="shared" si="75"/>
        <v/>
      </c>
      <c r="BG55" s="65"/>
      <c r="BH55" s="65"/>
      <c r="BI55" s="65" t="str">
        <f t="shared" si="76"/>
        <v/>
      </c>
      <c r="BJ55" s="66"/>
      <c r="BK55" s="66"/>
      <c r="BL55" s="69"/>
      <c r="BM55" s="69"/>
    </row>
    <row r="56" spans="1:65" s="18" customFormat="1" ht="32.450000000000003" hidden="1" customHeight="1" x14ac:dyDescent="0.45">
      <c r="A56" s="59">
        <v>62</v>
      </c>
      <c r="B56" s="81" t="s">
        <v>169</v>
      </c>
      <c r="C56" s="115" t="s">
        <v>28</v>
      </c>
      <c r="D56" s="60" t="s">
        <v>29</v>
      </c>
      <c r="E56" s="60" t="s">
        <v>25</v>
      </c>
      <c r="F56" s="60" t="s">
        <v>96</v>
      </c>
      <c r="G56" s="60" t="s">
        <v>104</v>
      </c>
      <c r="H56" s="108" t="s">
        <v>304</v>
      </c>
      <c r="I56" s="60" t="s">
        <v>488</v>
      </c>
      <c r="J56" s="60" t="s">
        <v>346</v>
      </c>
      <c r="K56" s="62" t="s">
        <v>113</v>
      </c>
      <c r="L56" s="59" t="s">
        <v>123</v>
      </c>
      <c r="M56" s="62">
        <v>9</v>
      </c>
      <c r="N56" s="63">
        <v>206</v>
      </c>
      <c r="O56" s="64">
        <v>16.866067000000001</v>
      </c>
      <c r="P56" s="64">
        <v>102.69626</v>
      </c>
      <c r="Q56" s="65" t="s">
        <v>110</v>
      </c>
      <c r="R56" s="65" t="s">
        <v>377</v>
      </c>
      <c r="S56" s="62" t="str">
        <f t="shared" si="68"/>
        <v>Complete</v>
      </c>
      <c r="T56" s="62" t="s">
        <v>124</v>
      </c>
      <c r="U56" s="65" t="s">
        <v>380</v>
      </c>
      <c r="V56" s="65" t="s">
        <v>380</v>
      </c>
      <c r="W56" s="65" t="str">
        <f t="shared" si="69"/>
        <v>Complete</v>
      </c>
      <c r="X56" s="51" t="s">
        <v>448</v>
      </c>
      <c r="Y56" s="65" t="s">
        <v>415</v>
      </c>
      <c r="Z56" s="65"/>
      <c r="AA56" s="62" t="str">
        <f t="shared" si="70"/>
        <v>In progress</v>
      </c>
      <c r="AB56" s="62"/>
      <c r="AC56" s="62"/>
      <c r="AD56" s="65" t="s">
        <v>110</v>
      </c>
      <c r="AE56" s="73">
        <v>244145</v>
      </c>
      <c r="AF56" s="65" t="str">
        <f t="shared" si="71"/>
        <v>Complete</v>
      </c>
      <c r="AG56" s="73">
        <v>244206</v>
      </c>
      <c r="AH56" s="73" t="s">
        <v>399</v>
      </c>
      <c r="AI56" s="62" t="str">
        <f t="shared" si="72"/>
        <v>Complete</v>
      </c>
      <c r="AJ56" s="62" t="s">
        <v>469</v>
      </c>
      <c r="AK56" s="62"/>
      <c r="AL56" s="62" t="str">
        <f t="shared" si="73"/>
        <v>In progress</v>
      </c>
      <c r="AM56" s="62"/>
      <c r="AN56" s="62"/>
      <c r="AO56" s="62"/>
      <c r="AP56" s="62"/>
      <c r="AQ56" s="62"/>
      <c r="AR56" s="62"/>
      <c r="AS56" s="62"/>
      <c r="AT56" s="62" t="str">
        <f t="shared" si="74"/>
        <v/>
      </c>
      <c r="AU56" s="107"/>
      <c r="AV56" s="107"/>
      <c r="AW56" s="62"/>
      <c r="AX56" s="73">
        <v>244410</v>
      </c>
      <c r="AY56" s="73">
        <v>244429</v>
      </c>
      <c r="AZ56" s="99" t="str">
        <f t="shared" si="77"/>
        <v>Complete</v>
      </c>
      <c r="BA56" s="62"/>
      <c r="BB56" s="62"/>
      <c r="BC56" s="62"/>
      <c r="BD56" s="62"/>
      <c r="BE56" s="62"/>
      <c r="BF56" s="62" t="str">
        <f t="shared" si="75"/>
        <v/>
      </c>
      <c r="BG56" s="65"/>
      <c r="BH56" s="65"/>
      <c r="BI56" s="65" t="str">
        <f t="shared" si="76"/>
        <v/>
      </c>
      <c r="BJ56" s="66"/>
      <c r="BK56" s="66"/>
      <c r="BL56" s="69"/>
      <c r="BM56" s="69"/>
    </row>
    <row r="57" spans="1:65" s="18" customFormat="1" ht="32.450000000000003" hidden="1" customHeight="1" x14ac:dyDescent="0.45">
      <c r="A57" s="59">
        <v>63</v>
      </c>
      <c r="B57" s="81" t="s">
        <v>209</v>
      </c>
      <c r="C57" s="108" t="s">
        <v>28</v>
      </c>
      <c r="D57" s="60" t="s">
        <v>29</v>
      </c>
      <c r="E57" s="60" t="s">
        <v>25</v>
      </c>
      <c r="F57" s="60" t="s">
        <v>96</v>
      </c>
      <c r="G57" s="60" t="s">
        <v>104</v>
      </c>
      <c r="H57" s="60" t="s">
        <v>301</v>
      </c>
      <c r="I57" s="60"/>
      <c r="J57" s="60" t="s">
        <v>347</v>
      </c>
      <c r="K57" s="62" t="s">
        <v>113</v>
      </c>
      <c r="L57" s="59" t="s">
        <v>123</v>
      </c>
      <c r="M57" s="62">
        <v>9</v>
      </c>
      <c r="N57" s="63">
        <v>200</v>
      </c>
      <c r="O57" s="64">
        <v>16.882373999999999</v>
      </c>
      <c r="P57" s="64">
        <v>102.678346</v>
      </c>
      <c r="Q57" s="65" t="s">
        <v>110</v>
      </c>
      <c r="R57" s="65" t="s">
        <v>377</v>
      </c>
      <c r="S57" s="62" t="str">
        <f t="shared" si="68"/>
        <v>Complete</v>
      </c>
      <c r="T57" s="62" t="s">
        <v>124</v>
      </c>
      <c r="U57" s="65" t="s">
        <v>380</v>
      </c>
      <c r="V57" s="65" t="s">
        <v>380</v>
      </c>
      <c r="W57" s="65" t="str">
        <f t="shared" si="69"/>
        <v>Complete</v>
      </c>
      <c r="X57" s="51" t="s">
        <v>448</v>
      </c>
      <c r="Y57" s="65" t="s">
        <v>415</v>
      </c>
      <c r="Z57" s="65"/>
      <c r="AA57" s="62" t="str">
        <f t="shared" si="70"/>
        <v>In progress</v>
      </c>
      <c r="AB57" s="62"/>
      <c r="AC57" s="62"/>
      <c r="AD57" s="65" t="s">
        <v>110</v>
      </c>
      <c r="AE57" s="73">
        <v>244145</v>
      </c>
      <c r="AF57" s="65" t="str">
        <f t="shared" si="71"/>
        <v>Complete</v>
      </c>
      <c r="AG57" s="73">
        <v>244206</v>
      </c>
      <c r="AH57" s="73" t="s">
        <v>399</v>
      </c>
      <c r="AI57" s="62" t="str">
        <f t="shared" si="72"/>
        <v>Complete</v>
      </c>
      <c r="AJ57" s="62" t="s">
        <v>469</v>
      </c>
      <c r="AK57" s="62"/>
      <c r="AL57" s="62" t="str">
        <f t="shared" si="73"/>
        <v>In progress</v>
      </c>
      <c r="AM57" s="62"/>
      <c r="AN57" s="62"/>
      <c r="AO57" s="62"/>
      <c r="AP57" s="62"/>
      <c r="AQ57" s="62"/>
      <c r="AR57" s="62"/>
      <c r="AS57" s="62"/>
      <c r="AT57" s="62" t="str">
        <f t="shared" si="74"/>
        <v/>
      </c>
      <c r="AU57" s="62"/>
      <c r="AV57" s="62"/>
      <c r="AW57" s="107"/>
      <c r="AX57" s="73">
        <v>244410</v>
      </c>
      <c r="AY57" s="73">
        <v>244428</v>
      </c>
      <c r="AZ57" s="99" t="str">
        <f t="shared" si="77"/>
        <v>Complete</v>
      </c>
      <c r="BA57" s="62"/>
      <c r="BB57" s="62"/>
      <c r="BC57" s="62"/>
      <c r="BD57" s="62"/>
      <c r="BE57" s="62"/>
      <c r="BF57" s="62" t="str">
        <f t="shared" si="75"/>
        <v/>
      </c>
      <c r="BG57" s="65"/>
      <c r="BH57" s="65"/>
      <c r="BI57" s="65" t="str">
        <f t="shared" si="76"/>
        <v/>
      </c>
      <c r="BJ57" s="66"/>
      <c r="BK57" s="66"/>
      <c r="BL57" s="69"/>
      <c r="BM57" s="69"/>
    </row>
    <row r="58" spans="1:65" s="18" customFormat="1" ht="32.450000000000003" hidden="1" customHeight="1" x14ac:dyDescent="0.45">
      <c r="A58" s="62">
        <v>64</v>
      </c>
      <c r="B58" s="81" t="s">
        <v>283</v>
      </c>
      <c r="C58" s="60" t="s">
        <v>28</v>
      </c>
      <c r="D58" s="60" t="s">
        <v>29</v>
      </c>
      <c r="E58" s="60" t="s">
        <v>25</v>
      </c>
      <c r="F58" s="60" t="s">
        <v>96</v>
      </c>
      <c r="G58" s="60" t="s">
        <v>104</v>
      </c>
      <c r="H58" s="60" t="s">
        <v>305</v>
      </c>
      <c r="I58" s="60"/>
      <c r="J58" s="60" t="s">
        <v>339</v>
      </c>
      <c r="K58" s="62" t="s">
        <v>113</v>
      </c>
      <c r="L58" s="59" t="s">
        <v>123</v>
      </c>
      <c r="M58" s="62">
        <v>9</v>
      </c>
      <c r="N58" s="63">
        <v>192</v>
      </c>
      <c r="O58" s="64">
        <v>16.833563999999999</v>
      </c>
      <c r="P58" s="64">
        <v>102.710701</v>
      </c>
      <c r="Q58" s="65" t="s">
        <v>110</v>
      </c>
      <c r="R58" s="65" t="s">
        <v>377</v>
      </c>
      <c r="S58" s="62" t="str">
        <f t="shared" si="68"/>
        <v>Complete</v>
      </c>
      <c r="T58" s="62" t="s">
        <v>124</v>
      </c>
      <c r="U58" s="65" t="s">
        <v>380</v>
      </c>
      <c r="V58" s="65" t="s">
        <v>380</v>
      </c>
      <c r="W58" s="65" t="str">
        <f t="shared" si="69"/>
        <v>Complete</v>
      </c>
      <c r="X58" s="51" t="s">
        <v>448</v>
      </c>
      <c r="Y58" s="65" t="s">
        <v>415</v>
      </c>
      <c r="Z58" s="65"/>
      <c r="AA58" s="62" t="str">
        <f t="shared" si="70"/>
        <v>In progress</v>
      </c>
      <c r="AB58" s="62"/>
      <c r="AC58" s="62"/>
      <c r="AD58" s="65" t="s">
        <v>110</v>
      </c>
      <c r="AE58" s="73">
        <v>244145</v>
      </c>
      <c r="AF58" s="65" t="str">
        <f t="shared" si="71"/>
        <v>Complete</v>
      </c>
      <c r="AG58" s="73">
        <v>244206</v>
      </c>
      <c r="AH58" s="73" t="s">
        <v>399</v>
      </c>
      <c r="AI58" s="62" t="str">
        <f t="shared" si="72"/>
        <v>Complete</v>
      </c>
      <c r="AJ58" s="62" t="s">
        <v>469</v>
      </c>
      <c r="AK58" s="62"/>
      <c r="AL58" s="62" t="str">
        <f t="shared" si="73"/>
        <v>In progress</v>
      </c>
      <c r="AM58" s="62"/>
      <c r="AN58" s="62"/>
      <c r="AO58" s="62"/>
      <c r="AP58" s="62"/>
      <c r="AQ58" s="62"/>
      <c r="AR58" s="62"/>
      <c r="AS58" s="62"/>
      <c r="AT58" s="62" t="str">
        <f t="shared" si="74"/>
        <v/>
      </c>
      <c r="AU58" s="62"/>
      <c r="AV58" s="62"/>
      <c r="AW58" s="62"/>
      <c r="AX58" s="73">
        <v>244406</v>
      </c>
      <c r="AY58" s="73">
        <v>244431</v>
      </c>
      <c r="AZ58" s="99" t="str">
        <f t="shared" si="77"/>
        <v>Complete</v>
      </c>
      <c r="BA58" s="62"/>
      <c r="BB58" s="62"/>
      <c r="BC58" s="62"/>
      <c r="BD58" s="62"/>
      <c r="BE58" s="62"/>
      <c r="BF58" s="62" t="str">
        <f t="shared" si="75"/>
        <v/>
      </c>
      <c r="BG58" s="65"/>
      <c r="BH58" s="65"/>
      <c r="BI58" s="65" t="str">
        <f t="shared" si="76"/>
        <v/>
      </c>
      <c r="BJ58" s="66"/>
      <c r="BK58" s="66"/>
      <c r="BL58" s="69"/>
      <c r="BM58" s="69"/>
    </row>
    <row r="59" spans="1:65" s="18" customFormat="1" ht="32.450000000000003" hidden="1" customHeight="1" x14ac:dyDescent="0.45">
      <c r="A59" s="62">
        <v>65</v>
      </c>
      <c r="B59" s="81" t="s">
        <v>150</v>
      </c>
      <c r="C59" s="108" t="s">
        <v>30</v>
      </c>
      <c r="D59" s="60" t="s">
        <v>29</v>
      </c>
      <c r="E59" s="60" t="s">
        <v>25</v>
      </c>
      <c r="F59" s="60" t="s">
        <v>96</v>
      </c>
      <c r="G59" s="60" t="s">
        <v>104</v>
      </c>
      <c r="H59" s="60" t="s">
        <v>301</v>
      </c>
      <c r="I59" s="60"/>
      <c r="J59" s="60" t="s">
        <v>342</v>
      </c>
      <c r="K59" s="62" t="s">
        <v>113</v>
      </c>
      <c r="L59" s="59" t="s">
        <v>123</v>
      </c>
      <c r="M59" s="62">
        <v>9</v>
      </c>
      <c r="N59" s="63">
        <v>174</v>
      </c>
      <c r="O59" s="64">
        <v>16.916338</v>
      </c>
      <c r="P59" s="64">
        <v>102.72644</v>
      </c>
      <c r="Q59" s="65" t="s">
        <v>110</v>
      </c>
      <c r="R59" s="65" t="s">
        <v>135</v>
      </c>
      <c r="S59" s="62" t="str">
        <f t="shared" si="68"/>
        <v>Complete</v>
      </c>
      <c r="T59" s="62" t="s">
        <v>124</v>
      </c>
      <c r="U59" s="65" t="s">
        <v>380</v>
      </c>
      <c r="V59" s="65" t="s">
        <v>380</v>
      </c>
      <c r="W59" s="65" t="str">
        <f t="shared" si="69"/>
        <v>Complete</v>
      </c>
      <c r="X59" s="51" t="s">
        <v>448</v>
      </c>
      <c r="Y59" s="65" t="s">
        <v>416</v>
      </c>
      <c r="Z59" s="65"/>
      <c r="AA59" s="62" t="str">
        <f t="shared" si="70"/>
        <v>In progress</v>
      </c>
      <c r="AB59" s="62"/>
      <c r="AC59" s="62"/>
      <c r="AD59" s="65" t="s">
        <v>110</v>
      </c>
      <c r="AE59" s="73">
        <v>244145</v>
      </c>
      <c r="AF59" s="65" t="str">
        <f t="shared" si="71"/>
        <v>Complete</v>
      </c>
      <c r="AG59" s="73">
        <v>244206</v>
      </c>
      <c r="AH59" s="73" t="s">
        <v>399</v>
      </c>
      <c r="AI59" s="62" t="str">
        <f t="shared" si="72"/>
        <v>Complete</v>
      </c>
      <c r="AJ59" s="62" t="s">
        <v>469</v>
      </c>
      <c r="AK59" s="62"/>
      <c r="AL59" s="62" t="str">
        <f t="shared" si="73"/>
        <v>In progress</v>
      </c>
      <c r="AM59" s="62"/>
      <c r="AN59" s="62"/>
      <c r="AO59" s="62"/>
      <c r="AP59" s="62"/>
      <c r="AQ59" s="62"/>
      <c r="AR59" s="62"/>
      <c r="AS59" s="62"/>
      <c r="AT59" s="62" t="str">
        <f t="shared" si="74"/>
        <v/>
      </c>
      <c r="AU59" s="62"/>
      <c r="AV59" s="62"/>
      <c r="AW59" s="107"/>
      <c r="AX59" s="73">
        <v>244398</v>
      </c>
      <c r="AY59" s="73">
        <v>244427</v>
      </c>
      <c r="AZ59" s="99" t="str">
        <f t="shared" si="77"/>
        <v>Complete</v>
      </c>
      <c r="BA59" s="62"/>
      <c r="BB59" s="62"/>
      <c r="BC59" s="62"/>
      <c r="BD59" s="62"/>
      <c r="BE59" s="62"/>
      <c r="BF59" s="62" t="str">
        <f t="shared" si="75"/>
        <v/>
      </c>
      <c r="BG59" s="65"/>
      <c r="BH59" s="65"/>
      <c r="BI59" s="65" t="str">
        <f t="shared" si="76"/>
        <v/>
      </c>
      <c r="BJ59" s="66"/>
      <c r="BK59" s="66"/>
      <c r="BL59" s="69"/>
      <c r="BM59" s="69"/>
    </row>
    <row r="60" spans="1:65" s="18" customFormat="1" ht="32.450000000000003" hidden="1" customHeight="1" x14ac:dyDescent="0.45">
      <c r="A60" s="59">
        <v>66</v>
      </c>
      <c r="B60" s="81" t="s">
        <v>445</v>
      </c>
      <c r="C60" s="108" t="s">
        <v>30</v>
      </c>
      <c r="D60" s="60" t="s">
        <v>29</v>
      </c>
      <c r="E60" s="60" t="s">
        <v>25</v>
      </c>
      <c r="F60" s="60" t="s">
        <v>96</v>
      </c>
      <c r="G60" s="60" t="s">
        <v>104</v>
      </c>
      <c r="H60" s="60" t="s">
        <v>301</v>
      </c>
      <c r="I60" s="60"/>
      <c r="J60" s="60" t="s">
        <v>308</v>
      </c>
      <c r="K60" s="62" t="s">
        <v>113</v>
      </c>
      <c r="L60" s="59" t="s">
        <v>123</v>
      </c>
      <c r="M60" s="62">
        <v>9</v>
      </c>
      <c r="N60" s="63">
        <v>205</v>
      </c>
      <c r="O60" s="64">
        <v>16.922744999999999</v>
      </c>
      <c r="P60" s="64">
        <v>102.731572</v>
      </c>
      <c r="Q60" s="65" t="s">
        <v>110</v>
      </c>
      <c r="R60" s="65" t="s">
        <v>111</v>
      </c>
      <c r="S60" s="62" t="str">
        <f t="shared" si="68"/>
        <v>Complete</v>
      </c>
      <c r="T60" s="62" t="s">
        <v>124</v>
      </c>
      <c r="U60" s="65" t="s">
        <v>380</v>
      </c>
      <c r="V60" s="65" t="s">
        <v>380</v>
      </c>
      <c r="W60" s="65" t="str">
        <f t="shared" si="69"/>
        <v>Complete</v>
      </c>
      <c r="X60" s="51" t="s">
        <v>448</v>
      </c>
      <c r="Y60" s="65" t="s">
        <v>417</v>
      </c>
      <c r="Z60" s="65"/>
      <c r="AA60" s="62" t="str">
        <f t="shared" si="70"/>
        <v>In progress</v>
      </c>
      <c r="AB60" s="62"/>
      <c r="AC60" s="62"/>
      <c r="AD60" s="65" t="s">
        <v>110</v>
      </c>
      <c r="AE60" s="73">
        <v>244145</v>
      </c>
      <c r="AF60" s="65" t="str">
        <f t="shared" si="71"/>
        <v>Complete</v>
      </c>
      <c r="AG60" s="73">
        <v>244206</v>
      </c>
      <c r="AH60" s="73" t="s">
        <v>399</v>
      </c>
      <c r="AI60" s="62" t="str">
        <f t="shared" si="72"/>
        <v>Complete</v>
      </c>
      <c r="AJ60" s="62" t="s">
        <v>469</v>
      </c>
      <c r="AK60" s="62"/>
      <c r="AL60" s="62" t="str">
        <f t="shared" si="73"/>
        <v>In progress</v>
      </c>
      <c r="AM60" s="62"/>
      <c r="AN60" s="62"/>
      <c r="AO60" s="62"/>
      <c r="AP60" s="62"/>
      <c r="AQ60" s="62"/>
      <c r="AR60" s="62"/>
      <c r="AS60" s="62"/>
      <c r="AT60" s="62" t="str">
        <f t="shared" si="74"/>
        <v/>
      </c>
      <c r="AU60" s="62"/>
      <c r="AV60" s="62"/>
      <c r="AW60" s="107"/>
      <c r="AX60" s="73">
        <v>244394</v>
      </c>
      <c r="AY60" s="73">
        <v>244431</v>
      </c>
      <c r="AZ60" s="99" t="str">
        <f t="shared" si="77"/>
        <v>Complete</v>
      </c>
      <c r="BA60" s="62"/>
      <c r="BB60" s="62"/>
      <c r="BC60" s="62"/>
      <c r="BD60" s="62"/>
      <c r="BE60" s="62"/>
      <c r="BF60" s="62" t="str">
        <f t="shared" si="75"/>
        <v/>
      </c>
      <c r="BG60" s="65"/>
      <c r="BH60" s="65"/>
      <c r="BI60" s="65" t="str">
        <f t="shared" si="76"/>
        <v/>
      </c>
      <c r="BJ60" s="66"/>
      <c r="BK60" s="66"/>
      <c r="BL60" s="69"/>
      <c r="BM60" s="69"/>
    </row>
    <row r="61" spans="1:65" s="18" customFormat="1" ht="32.450000000000003" hidden="1" customHeight="1" x14ac:dyDescent="0.45">
      <c r="A61" s="59">
        <v>67</v>
      </c>
      <c r="B61" s="81" t="s">
        <v>170</v>
      </c>
      <c r="C61" s="60" t="s">
        <v>30</v>
      </c>
      <c r="D61" s="60" t="s">
        <v>29</v>
      </c>
      <c r="E61" s="60" t="s">
        <v>25</v>
      </c>
      <c r="F61" s="60" t="s">
        <v>96</v>
      </c>
      <c r="G61" s="60" t="s">
        <v>104</v>
      </c>
      <c r="H61" s="60" t="s">
        <v>301</v>
      </c>
      <c r="I61" s="60"/>
      <c r="J61" s="60" t="s">
        <v>342</v>
      </c>
      <c r="K61" s="62" t="s">
        <v>113</v>
      </c>
      <c r="L61" s="59" t="s">
        <v>123</v>
      </c>
      <c r="M61" s="62">
        <v>9</v>
      </c>
      <c r="N61" s="63">
        <v>198</v>
      </c>
      <c r="O61" s="64">
        <v>16.918013999999999</v>
      </c>
      <c r="P61" s="64">
        <v>102.73258800000001</v>
      </c>
      <c r="Q61" s="65" t="s">
        <v>110</v>
      </c>
      <c r="R61" s="65" t="s">
        <v>135</v>
      </c>
      <c r="S61" s="62" t="str">
        <f t="shared" si="68"/>
        <v>Complete</v>
      </c>
      <c r="T61" s="62" t="s">
        <v>124</v>
      </c>
      <c r="U61" s="65" t="s">
        <v>380</v>
      </c>
      <c r="V61" s="65" t="s">
        <v>380</v>
      </c>
      <c r="W61" s="65" t="str">
        <f t="shared" si="69"/>
        <v>Complete</v>
      </c>
      <c r="X61" s="51" t="s">
        <v>448</v>
      </c>
      <c r="Y61" s="65" t="s">
        <v>416</v>
      </c>
      <c r="Z61" s="65"/>
      <c r="AA61" s="62" t="str">
        <f t="shared" si="70"/>
        <v>In progress</v>
      </c>
      <c r="AB61" s="62"/>
      <c r="AC61" s="62"/>
      <c r="AD61" s="65" t="s">
        <v>110</v>
      </c>
      <c r="AE61" s="73">
        <v>244145</v>
      </c>
      <c r="AF61" s="65" t="str">
        <f t="shared" si="71"/>
        <v>Complete</v>
      </c>
      <c r="AG61" s="73">
        <v>244206</v>
      </c>
      <c r="AH61" s="73" t="s">
        <v>399</v>
      </c>
      <c r="AI61" s="62" t="str">
        <f t="shared" si="72"/>
        <v>Complete</v>
      </c>
      <c r="AJ61" s="62" t="s">
        <v>469</v>
      </c>
      <c r="AK61" s="62"/>
      <c r="AL61" s="62" t="str">
        <f t="shared" si="73"/>
        <v>In progress</v>
      </c>
      <c r="AM61" s="62"/>
      <c r="AN61" s="62"/>
      <c r="AO61" s="62"/>
      <c r="AP61" s="62"/>
      <c r="AQ61" s="62"/>
      <c r="AR61" s="62"/>
      <c r="AS61" s="62"/>
      <c r="AT61" s="62" t="str">
        <f t="shared" si="74"/>
        <v/>
      </c>
      <c r="AU61" s="62"/>
      <c r="AV61" s="62"/>
      <c r="AW61" s="62"/>
      <c r="AX61" s="73">
        <v>244394</v>
      </c>
      <c r="AY61" s="73">
        <v>244431</v>
      </c>
      <c r="AZ61" s="99" t="str">
        <f t="shared" si="77"/>
        <v>Complete</v>
      </c>
      <c r="BA61" s="62"/>
      <c r="BB61" s="62"/>
      <c r="BC61" s="62"/>
      <c r="BD61" s="62"/>
      <c r="BE61" s="62"/>
      <c r="BF61" s="62" t="str">
        <f t="shared" si="75"/>
        <v/>
      </c>
      <c r="BG61" s="65"/>
      <c r="BH61" s="65"/>
      <c r="BI61" s="65" t="str">
        <f t="shared" si="76"/>
        <v/>
      </c>
      <c r="BJ61" s="66"/>
      <c r="BK61" s="66"/>
      <c r="BL61" s="69"/>
      <c r="BM61" s="69"/>
    </row>
    <row r="62" spans="1:65" s="18" customFormat="1" ht="32.450000000000003" hidden="1" customHeight="1" x14ac:dyDescent="0.45">
      <c r="A62" s="59">
        <v>68</v>
      </c>
      <c r="B62" s="81" t="s">
        <v>189</v>
      </c>
      <c r="C62" s="60" t="s">
        <v>30</v>
      </c>
      <c r="D62" s="60" t="s">
        <v>29</v>
      </c>
      <c r="E62" s="60" t="s">
        <v>25</v>
      </c>
      <c r="F62" s="60" t="s">
        <v>96</v>
      </c>
      <c r="G62" s="60" t="s">
        <v>104</v>
      </c>
      <c r="H62" s="60" t="s">
        <v>301</v>
      </c>
      <c r="I62" s="60"/>
      <c r="J62" s="60" t="s">
        <v>334</v>
      </c>
      <c r="K62" s="62" t="s">
        <v>113</v>
      </c>
      <c r="L62" s="59" t="s">
        <v>123</v>
      </c>
      <c r="M62" s="62">
        <v>9</v>
      </c>
      <c r="N62" s="63">
        <v>204</v>
      </c>
      <c r="O62" s="64">
        <v>16.88129</v>
      </c>
      <c r="P62" s="64">
        <v>102.692133</v>
      </c>
      <c r="Q62" s="65" t="s">
        <v>110</v>
      </c>
      <c r="R62" s="65" t="s">
        <v>111</v>
      </c>
      <c r="S62" s="62" t="str">
        <f t="shared" si="68"/>
        <v>Complete</v>
      </c>
      <c r="T62" s="62" t="s">
        <v>124</v>
      </c>
      <c r="U62" s="65" t="s">
        <v>380</v>
      </c>
      <c r="V62" s="65" t="s">
        <v>380</v>
      </c>
      <c r="W62" s="65" t="str">
        <f t="shared" si="69"/>
        <v>Complete</v>
      </c>
      <c r="X62" s="51" t="s">
        <v>448</v>
      </c>
      <c r="Y62" s="65" t="s">
        <v>417</v>
      </c>
      <c r="Z62" s="65"/>
      <c r="AA62" s="62" t="str">
        <f t="shared" si="70"/>
        <v>In progress</v>
      </c>
      <c r="AB62" s="62"/>
      <c r="AC62" s="62"/>
      <c r="AD62" s="65" t="s">
        <v>110</v>
      </c>
      <c r="AE62" s="73">
        <v>244145</v>
      </c>
      <c r="AF62" s="65" t="str">
        <f t="shared" si="71"/>
        <v>Complete</v>
      </c>
      <c r="AG62" s="73">
        <v>244206</v>
      </c>
      <c r="AH62" s="73" t="s">
        <v>399</v>
      </c>
      <c r="AI62" s="62" t="str">
        <f t="shared" si="72"/>
        <v>Complete</v>
      </c>
      <c r="AJ62" s="62" t="s">
        <v>469</v>
      </c>
      <c r="AK62" s="62"/>
      <c r="AL62" s="62" t="str">
        <f t="shared" si="73"/>
        <v>In progress</v>
      </c>
      <c r="AM62" s="62"/>
      <c r="AN62" s="62"/>
      <c r="AO62" s="62"/>
      <c r="AP62" s="62"/>
      <c r="AQ62" s="62"/>
      <c r="AR62" s="62"/>
      <c r="AS62" s="62"/>
      <c r="AT62" s="62" t="str">
        <f t="shared" si="74"/>
        <v/>
      </c>
      <c r="AU62" s="62"/>
      <c r="AV62" s="62"/>
      <c r="AW62" s="62"/>
      <c r="AX62" s="73">
        <v>244410</v>
      </c>
      <c r="AY62" s="73">
        <v>244428</v>
      </c>
      <c r="AZ62" s="99" t="str">
        <f t="shared" si="77"/>
        <v>Complete</v>
      </c>
      <c r="BA62" s="62"/>
      <c r="BB62" s="62"/>
      <c r="BC62" s="62"/>
      <c r="BD62" s="62"/>
      <c r="BE62" s="62"/>
      <c r="BF62" s="62" t="str">
        <f t="shared" si="75"/>
        <v/>
      </c>
      <c r="BG62" s="65"/>
      <c r="BH62" s="65"/>
      <c r="BI62" s="65" t="str">
        <f t="shared" si="76"/>
        <v/>
      </c>
      <c r="BJ62" s="66"/>
      <c r="BK62" s="66"/>
      <c r="BL62" s="69"/>
      <c r="BM62" s="69"/>
    </row>
    <row r="63" spans="1:65" s="18" customFormat="1" ht="32.450000000000003" hidden="1" customHeight="1" x14ac:dyDescent="0.45">
      <c r="A63" s="62">
        <v>69</v>
      </c>
      <c r="B63" s="81" t="s">
        <v>227</v>
      </c>
      <c r="C63" s="108" t="s">
        <v>30</v>
      </c>
      <c r="D63" s="60" t="s">
        <v>29</v>
      </c>
      <c r="E63" s="60" t="s">
        <v>25</v>
      </c>
      <c r="F63" s="60" t="s">
        <v>96</v>
      </c>
      <c r="G63" s="60" t="s">
        <v>104</v>
      </c>
      <c r="H63" s="60" t="s">
        <v>301</v>
      </c>
      <c r="I63" s="60"/>
      <c r="J63" s="60" t="s">
        <v>336</v>
      </c>
      <c r="K63" s="62" t="s">
        <v>113</v>
      </c>
      <c r="L63" s="59" t="s">
        <v>123</v>
      </c>
      <c r="M63" s="62">
        <v>9</v>
      </c>
      <c r="N63" s="63">
        <v>206</v>
      </c>
      <c r="O63" s="64">
        <v>16.888770000000001</v>
      </c>
      <c r="P63" s="64">
        <v>102.68749</v>
      </c>
      <c r="Q63" s="65" t="s">
        <v>110</v>
      </c>
      <c r="R63" s="65" t="s">
        <v>111</v>
      </c>
      <c r="S63" s="62" t="str">
        <f t="shared" si="68"/>
        <v>Complete</v>
      </c>
      <c r="T63" s="62" t="s">
        <v>124</v>
      </c>
      <c r="U63" s="65" t="s">
        <v>380</v>
      </c>
      <c r="V63" s="65" t="s">
        <v>380</v>
      </c>
      <c r="W63" s="65" t="str">
        <f t="shared" si="69"/>
        <v>Complete</v>
      </c>
      <c r="X63" s="51" t="s">
        <v>448</v>
      </c>
      <c r="Y63" s="65" t="s">
        <v>417</v>
      </c>
      <c r="Z63" s="65"/>
      <c r="AA63" s="62" t="str">
        <f t="shared" si="70"/>
        <v>In progress</v>
      </c>
      <c r="AB63" s="62"/>
      <c r="AC63" s="62"/>
      <c r="AD63" s="65" t="s">
        <v>110</v>
      </c>
      <c r="AE63" s="73">
        <v>244145</v>
      </c>
      <c r="AF63" s="65" t="str">
        <f t="shared" si="71"/>
        <v>Complete</v>
      </c>
      <c r="AG63" s="73">
        <v>244206</v>
      </c>
      <c r="AH63" s="73" t="s">
        <v>399</v>
      </c>
      <c r="AI63" s="62" t="str">
        <f t="shared" si="72"/>
        <v>Complete</v>
      </c>
      <c r="AJ63" s="62" t="s">
        <v>469</v>
      </c>
      <c r="AK63" s="62"/>
      <c r="AL63" s="62" t="str">
        <f t="shared" si="73"/>
        <v>In progress</v>
      </c>
      <c r="AM63" s="62"/>
      <c r="AN63" s="62"/>
      <c r="AO63" s="62"/>
      <c r="AP63" s="62"/>
      <c r="AQ63" s="62"/>
      <c r="AR63" s="62"/>
      <c r="AS63" s="62"/>
      <c r="AT63" s="62" t="str">
        <f t="shared" si="74"/>
        <v/>
      </c>
      <c r="AU63" s="62"/>
      <c r="AV63" s="62"/>
      <c r="AW63" s="107"/>
      <c r="AX63" s="73">
        <v>244410</v>
      </c>
      <c r="AY63" s="73">
        <v>244428</v>
      </c>
      <c r="AZ63" s="99" t="str">
        <f t="shared" si="77"/>
        <v>Complete</v>
      </c>
      <c r="BA63" s="62"/>
      <c r="BB63" s="62"/>
      <c r="BC63" s="62"/>
      <c r="BD63" s="62"/>
      <c r="BE63" s="62"/>
      <c r="BF63" s="62" t="str">
        <f t="shared" si="75"/>
        <v/>
      </c>
      <c r="BG63" s="65"/>
      <c r="BH63" s="65"/>
      <c r="BI63" s="65" t="str">
        <f t="shared" si="76"/>
        <v/>
      </c>
      <c r="BJ63" s="66"/>
      <c r="BK63" s="66"/>
      <c r="BL63" s="69"/>
      <c r="BM63" s="69"/>
    </row>
    <row r="64" spans="1:65" s="18" customFormat="1" ht="32.450000000000003" hidden="1" customHeight="1" x14ac:dyDescent="0.45">
      <c r="A64" s="107">
        <v>70</v>
      </c>
      <c r="B64" s="81" t="s">
        <v>243</v>
      </c>
      <c r="C64" s="60" t="s">
        <v>30</v>
      </c>
      <c r="D64" s="60" t="s">
        <v>29</v>
      </c>
      <c r="E64" s="60" t="s">
        <v>25</v>
      </c>
      <c r="F64" s="60" t="s">
        <v>96</v>
      </c>
      <c r="G64" s="60" t="s">
        <v>104</v>
      </c>
      <c r="H64" s="108" t="s">
        <v>301</v>
      </c>
      <c r="I64" s="101" t="s">
        <v>304</v>
      </c>
      <c r="J64" s="60" t="s">
        <v>343</v>
      </c>
      <c r="K64" s="62" t="s">
        <v>113</v>
      </c>
      <c r="L64" s="59" t="s">
        <v>123</v>
      </c>
      <c r="M64" s="62">
        <v>9</v>
      </c>
      <c r="N64" s="63">
        <v>204</v>
      </c>
      <c r="O64" s="64">
        <v>16.934239000000002</v>
      </c>
      <c r="P64" s="64">
        <v>102.73397199999999</v>
      </c>
      <c r="Q64" s="65" t="s">
        <v>110</v>
      </c>
      <c r="R64" s="65" t="s">
        <v>135</v>
      </c>
      <c r="S64" s="62" t="str">
        <f t="shared" si="68"/>
        <v>Complete</v>
      </c>
      <c r="T64" s="62" t="s">
        <v>124</v>
      </c>
      <c r="U64" s="65" t="s">
        <v>380</v>
      </c>
      <c r="V64" s="65" t="s">
        <v>380</v>
      </c>
      <c r="W64" s="65" t="str">
        <f t="shared" si="69"/>
        <v>Complete</v>
      </c>
      <c r="X64" s="51" t="s">
        <v>448</v>
      </c>
      <c r="Y64" s="65" t="s">
        <v>416</v>
      </c>
      <c r="Z64" s="65"/>
      <c r="AA64" s="62" t="str">
        <f t="shared" si="70"/>
        <v>In progress</v>
      </c>
      <c r="AB64" s="62"/>
      <c r="AC64" s="62"/>
      <c r="AD64" s="65" t="s">
        <v>110</v>
      </c>
      <c r="AE64" s="73">
        <v>244145</v>
      </c>
      <c r="AF64" s="65" t="str">
        <f t="shared" si="71"/>
        <v>Complete</v>
      </c>
      <c r="AG64" s="73">
        <v>244206</v>
      </c>
      <c r="AH64" s="73" t="s">
        <v>399</v>
      </c>
      <c r="AI64" s="62" t="str">
        <f t="shared" si="72"/>
        <v>Complete</v>
      </c>
      <c r="AJ64" s="62" t="s">
        <v>469</v>
      </c>
      <c r="AK64" s="62"/>
      <c r="AL64" s="62" t="str">
        <f t="shared" si="73"/>
        <v>In progress</v>
      </c>
      <c r="AM64" s="62"/>
      <c r="AN64" s="62"/>
      <c r="AO64" s="62"/>
      <c r="AP64" s="62"/>
      <c r="AQ64" s="62"/>
      <c r="AR64" s="62"/>
      <c r="AS64" s="62"/>
      <c r="AT64" s="62" t="str">
        <f t="shared" si="74"/>
        <v/>
      </c>
      <c r="AU64" s="62"/>
      <c r="AV64" s="106" t="s">
        <v>486</v>
      </c>
      <c r="AW64" s="62"/>
      <c r="AX64" s="73">
        <v>244415</v>
      </c>
      <c r="AY64" s="73">
        <v>244431</v>
      </c>
      <c r="AZ64" s="99" t="str">
        <f t="shared" si="77"/>
        <v>Complete</v>
      </c>
      <c r="BA64" s="62"/>
      <c r="BB64" s="62"/>
      <c r="BC64" s="62"/>
      <c r="BD64" s="62"/>
      <c r="BE64" s="62"/>
      <c r="BF64" s="62" t="str">
        <f t="shared" si="75"/>
        <v/>
      </c>
      <c r="BG64" s="65"/>
      <c r="BH64" s="65"/>
      <c r="BI64" s="65" t="str">
        <f t="shared" si="76"/>
        <v/>
      </c>
      <c r="BJ64" s="66"/>
      <c r="BK64" s="66"/>
      <c r="BL64" s="69"/>
      <c r="BM64" s="69"/>
    </row>
    <row r="65" spans="1:65" s="18" customFormat="1" ht="32.450000000000003" hidden="1" customHeight="1" x14ac:dyDescent="0.45">
      <c r="A65" s="59">
        <v>71</v>
      </c>
      <c r="B65" s="81" t="s">
        <v>256</v>
      </c>
      <c r="C65" s="108" t="s">
        <v>30</v>
      </c>
      <c r="D65" s="60" t="s">
        <v>29</v>
      </c>
      <c r="E65" s="60" t="s">
        <v>25</v>
      </c>
      <c r="F65" s="60" t="s">
        <v>96</v>
      </c>
      <c r="G65" s="60" t="s">
        <v>104</v>
      </c>
      <c r="H65" s="60" t="s">
        <v>301</v>
      </c>
      <c r="I65" s="60"/>
      <c r="J65" s="60" t="s">
        <v>339</v>
      </c>
      <c r="K65" s="62" t="s">
        <v>113</v>
      </c>
      <c r="L65" s="59" t="s">
        <v>123</v>
      </c>
      <c r="M65" s="62">
        <v>9</v>
      </c>
      <c r="N65" s="63">
        <v>222</v>
      </c>
      <c r="O65" s="64">
        <v>16.895181999999998</v>
      </c>
      <c r="P65" s="64">
        <v>102.723007</v>
      </c>
      <c r="Q65" s="65" t="s">
        <v>110</v>
      </c>
      <c r="R65" s="65" t="s">
        <v>111</v>
      </c>
      <c r="S65" s="62" t="str">
        <f t="shared" si="68"/>
        <v>Complete</v>
      </c>
      <c r="T65" s="62" t="s">
        <v>124</v>
      </c>
      <c r="U65" s="65" t="s">
        <v>380</v>
      </c>
      <c r="V65" s="65" t="s">
        <v>380</v>
      </c>
      <c r="W65" s="65" t="str">
        <f t="shared" si="69"/>
        <v>Complete</v>
      </c>
      <c r="X65" s="51" t="s">
        <v>448</v>
      </c>
      <c r="Y65" s="65" t="s">
        <v>417</v>
      </c>
      <c r="Z65" s="65"/>
      <c r="AA65" s="62" t="str">
        <f t="shared" si="70"/>
        <v>In progress</v>
      </c>
      <c r="AB65" s="62"/>
      <c r="AC65" s="62"/>
      <c r="AD65" s="65" t="s">
        <v>110</v>
      </c>
      <c r="AE65" s="73">
        <v>244145</v>
      </c>
      <c r="AF65" s="65" t="str">
        <f t="shared" si="71"/>
        <v>Complete</v>
      </c>
      <c r="AG65" s="73">
        <v>244206</v>
      </c>
      <c r="AH65" s="73" t="s">
        <v>399</v>
      </c>
      <c r="AI65" s="62" t="str">
        <f t="shared" si="72"/>
        <v>Complete</v>
      </c>
      <c r="AJ65" s="62" t="s">
        <v>469</v>
      </c>
      <c r="AK65" s="62"/>
      <c r="AL65" s="62" t="str">
        <f t="shared" si="73"/>
        <v>In progress</v>
      </c>
      <c r="AM65" s="62"/>
      <c r="AN65" s="62"/>
      <c r="AO65" s="62"/>
      <c r="AP65" s="62"/>
      <c r="AQ65" s="62"/>
      <c r="AR65" s="62"/>
      <c r="AS65" s="62"/>
      <c r="AT65" s="62" t="str">
        <f t="shared" si="74"/>
        <v/>
      </c>
      <c r="AU65" s="62"/>
      <c r="AV65" s="62"/>
      <c r="AW65" s="107"/>
      <c r="AX65" s="73">
        <v>244402</v>
      </c>
      <c r="AY65" s="73">
        <v>244429</v>
      </c>
      <c r="AZ65" s="99" t="str">
        <f t="shared" si="77"/>
        <v>Complete</v>
      </c>
      <c r="BA65" s="62"/>
      <c r="BB65" s="62"/>
      <c r="BC65" s="62"/>
      <c r="BD65" s="62"/>
      <c r="BE65" s="62"/>
      <c r="BF65" s="62" t="str">
        <f t="shared" si="75"/>
        <v/>
      </c>
      <c r="BG65" s="65"/>
      <c r="BH65" s="65"/>
      <c r="BI65" s="65" t="str">
        <f t="shared" si="76"/>
        <v/>
      </c>
      <c r="BJ65" s="66"/>
      <c r="BK65" s="66"/>
      <c r="BL65" s="69"/>
      <c r="BM65" s="69"/>
    </row>
    <row r="66" spans="1:65" s="18" customFormat="1" ht="32.450000000000003" hidden="1" customHeight="1" x14ac:dyDescent="0.45">
      <c r="A66" s="59">
        <v>72</v>
      </c>
      <c r="B66" s="81" t="s">
        <v>268</v>
      </c>
      <c r="C66" s="108" t="s">
        <v>30</v>
      </c>
      <c r="D66" s="60" t="s">
        <v>29</v>
      </c>
      <c r="E66" s="60" t="s">
        <v>25</v>
      </c>
      <c r="F66" s="60" t="s">
        <v>96</v>
      </c>
      <c r="G66" s="60" t="s">
        <v>104</v>
      </c>
      <c r="H66" s="60" t="s">
        <v>301</v>
      </c>
      <c r="I66" s="60"/>
      <c r="J66" s="60" t="s">
        <v>314</v>
      </c>
      <c r="K66" s="62" t="s">
        <v>113</v>
      </c>
      <c r="L66" s="59" t="s">
        <v>123</v>
      </c>
      <c r="M66" s="62">
        <v>9</v>
      </c>
      <c r="N66" s="63">
        <v>219</v>
      </c>
      <c r="O66" s="64">
        <v>16.904881</v>
      </c>
      <c r="P66" s="64">
        <v>102.73746800000001</v>
      </c>
      <c r="Q66" s="65" t="s">
        <v>110</v>
      </c>
      <c r="R66" s="65" t="s">
        <v>135</v>
      </c>
      <c r="S66" s="62" t="str">
        <f t="shared" si="68"/>
        <v>Complete</v>
      </c>
      <c r="T66" s="62" t="s">
        <v>124</v>
      </c>
      <c r="U66" s="65" t="s">
        <v>380</v>
      </c>
      <c r="V66" s="65" t="s">
        <v>380</v>
      </c>
      <c r="W66" s="65" t="str">
        <f t="shared" si="69"/>
        <v>Complete</v>
      </c>
      <c r="X66" s="51" t="s">
        <v>448</v>
      </c>
      <c r="Y66" s="65" t="s">
        <v>416</v>
      </c>
      <c r="Z66" s="65"/>
      <c r="AA66" s="62" t="str">
        <f t="shared" si="70"/>
        <v>In progress</v>
      </c>
      <c r="AB66" s="62"/>
      <c r="AC66" s="62"/>
      <c r="AD66" s="65" t="s">
        <v>110</v>
      </c>
      <c r="AE66" s="73">
        <v>244145</v>
      </c>
      <c r="AF66" s="65" t="str">
        <f t="shared" si="71"/>
        <v>Complete</v>
      </c>
      <c r="AG66" s="73">
        <v>244206</v>
      </c>
      <c r="AH66" s="73" t="s">
        <v>399</v>
      </c>
      <c r="AI66" s="62" t="str">
        <f t="shared" si="72"/>
        <v>Complete</v>
      </c>
      <c r="AJ66" s="62" t="s">
        <v>469</v>
      </c>
      <c r="AK66" s="62"/>
      <c r="AL66" s="62" t="str">
        <f t="shared" si="73"/>
        <v>In progress</v>
      </c>
      <c r="AM66" s="62"/>
      <c r="AN66" s="62"/>
      <c r="AO66" s="62"/>
      <c r="AP66" s="62"/>
      <c r="AQ66" s="62"/>
      <c r="AR66" s="62"/>
      <c r="AS66" s="62"/>
      <c r="AT66" s="62" t="str">
        <f t="shared" si="74"/>
        <v/>
      </c>
      <c r="AU66" s="62"/>
      <c r="AV66" s="62"/>
      <c r="AW66" s="107"/>
      <c r="AX66" s="73">
        <v>244398</v>
      </c>
      <c r="AY66" s="73">
        <v>244429</v>
      </c>
      <c r="AZ66" s="99" t="str">
        <f t="shared" si="77"/>
        <v>Complete</v>
      </c>
      <c r="BA66" s="62"/>
      <c r="BB66" s="62"/>
      <c r="BC66" s="62"/>
      <c r="BD66" s="62"/>
      <c r="BE66" s="62"/>
      <c r="BF66" s="62" t="str">
        <f t="shared" si="75"/>
        <v/>
      </c>
      <c r="BG66" s="65"/>
      <c r="BH66" s="65"/>
      <c r="BI66" s="65" t="str">
        <f t="shared" si="76"/>
        <v/>
      </c>
      <c r="BJ66" s="66"/>
      <c r="BK66" s="66"/>
      <c r="BL66" s="69"/>
      <c r="BM66" s="69"/>
    </row>
    <row r="67" spans="1:65" s="18" customFormat="1" ht="32.450000000000003" hidden="1" customHeight="1" x14ac:dyDescent="0.45">
      <c r="A67" s="59">
        <v>73</v>
      </c>
      <c r="B67" s="81" t="s">
        <v>443</v>
      </c>
      <c r="C67" s="60" t="s">
        <v>30</v>
      </c>
      <c r="D67" s="60" t="s">
        <v>29</v>
      </c>
      <c r="E67" s="60" t="s">
        <v>25</v>
      </c>
      <c r="F67" s="60" t="s">
        <v>96</v>
      </c>
      <c r="G67" s="60" t="s">
        <v>104</v>
      </c>
      <c r="H67" s="60" t="s">
        <v>301</v>
      </c>
      <c r="I67" s="60"/>
      <c r="J67" s="60" t="s">
        <v>339</v>
      </c>
      <c r="K67" s="62" t="s">
        <v>113</v>
      </c>
      <c r="L67" s="59" t="s">
        <v>123</v>
      </c>
      <c r="M67" s="62">
        <v>9</v>
      </c>
      <c r="N67" s="63">
        <v>208</v>
      </c>
      <c r="O67" s="64">
        <v>16.886175999999999</v>
      </c>
      <c r="P67" s="64">
        <v>102.726844</v>
      </c>
      <c r="Q67" s="65" t="s">
        <v>110</v>
      </c>
      <c r="R67" s="65" t="s">
        <v>111</v>
      </c>
      <c r="S67" s="62" t="str">
        <f t="shared" si="68"/>
        <v>Complete</v>
      </c>
      <c r="T67" s="62" t="s">
        <v>124</v>
      </c>
      <c r="U67" s="65" t="s">
        <v>380</v>
      </c>
      <c r="V67" s="65" t="s">
        <v>380</v>
      </c>
      <c r="W67" s="65" t="str">
        <f t="shared" si="69"/>
        <v>Complete</v>
      </c>
      <c r="X67" s="51" t="s">
        <v>448</v>
      </c>
      <c r="Y67" s="65" t="s">
        <v>417</v>
      </c>
      <c r="Z67" s="65"/>
      <c r="AA67" s="62" t="str">
        <f t="shared" si="70"/>
        <v>In progress</v>
      </c>
      <c r="AB67" s="62"/>
      <c r="AC67" s="62"/>
      <c r="AD67" s="65" t="s">
        <v>110</v>
      </c>
      <c r="AE67" s="73">
        <v>244145</v>
      </c>
      <c r="AF67" s="65" t="str">
        <f t="shared" si="71"/>
        <v>Complete</v>
      </c>
      <c r="AG67" s="73">
        <v>244206</v>
      </c>
      <c r="AH67" s="73" t="s">
        <v>399</v>
      </c>
      <c r="AI67" s="62" t="str">
        <f t="shared" si="72"/>
        <v>Complete</v>
      </c>
      <c r="AJ67" s="62" t="s">
        <v>469</v>
      </c>
      <c r="AK67" s="62"/>
      <c r="AL67" s="62" t="str">
        <f t="shared" si="73"/>
        <v>In progress</v>
      </c>
      <c r="AM67" s="62"/>
      <c r="AN67" s="62"/>
      <c r="AO67" s="62"/>
      <c r="AP67" s="62"/>
      <c r="AQ67" s="62"/>
      <c r="AR67" s="62"/>
      <c r="AS67" s="62"/>
      <c r="AT67" s="62" t="str">
        <f t="shared" si="74"/>
        <v/>
      </c>
      <c r="AU67" s="62"/>
      <c r="AV67" s="62"/>
      <c r="AW67" s="62"/>
      <c r="AX67" s="73">
        <v>244402</v>
      </c>
      <c r="AY67" s="73">
        <v>244430</v>
      </c>
      <c r="AZ67" s="99" t="str">
        <f t="shared" si="77"/>
        <v>Complete</v>
      </c>
      <c r="BA67" s="62"/>
      <c r="BB67" s="62"/>
      <c r="BC67" s="62"/>
      <c r="BD67" s="62"/>
      <c r="BE67" s="62"/>
      <c r="BF67" s="62" t="str">
        <f t="shared" si="75"/>
        <v/>
      </c>
      <c r="BG67" s="65"/>
      <c r="BH67" s="65"/>
      <c r="BI67" s="65" t="str">
        <f t="shared" si="76"/>
        <v/>
      </c>
      <c r="BJ67" s="66"/>
      <c r="BK67" s="66"/>
      <c r="BL67" s="69"/>
      <c r="BM67" s="69"/>
    </row>
    <row r="68" spans="1:65" s="18" customFormat="1" ht="32.450000000000003" hidden="1" customHeight="1" x14ac:dyDescent="0.8">
      <c r="A68" s="62">
        <v>74</v>
      </c>
      <c r="B68" s="81" t="s">
        <v>294</v>
      </c>
      <c r="C68" s="60" t="s">
        <v>31</v>
      </c>
      <c r="D68" s="60" t="s">
        <v>32</v>
      </c>
      <c r="E68" s="60" t="s">
        <v>33</v>
      </c>
      <c r="F68" s="60" t="s">
        <v>97</v>
      </c>
      <c r="G68" s="60" t="s">
        <v>105</v>
      </c>
      <c r="H68" s="60" t="s">
        <v>301</v>
      </c>
      <c r="I68" s="60"/>
      <c r="J68" s="60" t="s">
        <v>340</v>
      </c>
      <c r="K68" s="62" t="s">
        <v>113</v>
      </c>
      <c r="L68" s="59" t="s">
        <v>472</v>
      </c>
      <c r="M68" s="62">
        <v>18</v>
      </c>
      <c r="N68" s="70">
        <v>70</v>
      </c>
      <c r="O68" s="64">
        <v>13.097761</v>
      </c>
      <c r="P68" s="64">
        <v>102.02467900000001</v>
      </c>
      <c r="Q68" s="65" t="s">
        <v>110</v>
      </c>
      <c r="R68" s="65" t="s">
        <v>377</v>
      </c>
      <c r="S68" s="62" t="str">
        <f t="shared" si="68"/>
        <v>Complete</v>
      </c>
      <c r="T68" s="62" t="s">
        <v>124</v>
      </c>
      <c r="U68" s="65" t="s">
        <v>382</v>
      </c>
      <c r="V68" s="65" t="s">
        <v>382</v>
      </c>
      <c r="W68" s="65" t="str">
        <f t="shared" si="69"/>
        <v>Complete</v>
      </c>
      <c r="X68" s="51" t="s">
        <v>448</v>
      </c>
      <c r="Y68" s="65" t="s">
        <v>415</v>
      </c>
      <c r="Z68" s="65"/>
      <c r="AA68" s="62" t="str">
        <f t="shared" si="70"/>
        <v>In progress</v>
      </c>
      <c r="AB68" s="62"/>
      <c r="AC68" s="62"/>
      <c r="AD68" s="65" t="s">
        <v>399</v>
      </c>
      <c r="AE68" s="75" t="s">
        <v>420</v>
      </c>
      <c r="AF68" s="65" t="str">
        <f t="shared" si="71"/>
        <v>Complete</v>
      </c>
      <c r="AG68" s="62" t="s">
        <v>418</v>
      </c>
      <c r="AH68" s="62" t="s">
        <v>447</v>
      </c>
      <c r="AI68" s="62" t="str">
        <f t="shared" si="72"/>
        <v>Complete</v>
      </c>
      <c r="AJ68" s="73">
        <v>244470</v>
      </c>
      <c r="AK68" s="73">
        <v>244470</v>
      </c>
      <c r="AL68" s="62" t="str">
        <f t="shared" si="73"/>
        <v>Complete</v>
      </c>
      <c r="AM68" s="62"/>
      <c r="AN68" s="62" t="s">
        <v>459</v>
      </c>
      <c r="AO68" s="73" t="s">
        <v>464</v>
      </c>
      <c r="AP68" s="62"/>
      <c r="AQ68" s="62"/>
      <c r="AR68" s="62"/>
      <c r="AS68" s="62"/>
      <c r="AT68" s="62" t="str">
        <f t="shared" si="74"/>
        <v/>
      </c>
      <c r="AU68" s="62"/>
      <c r="AV68" s="62"/>
      <c r="AW68" s="62"/>
      <c r="AX68" s="73">
        <v>244370</v>
      </c>
      <c r="AY68" s="73">
        <v>244375</v>
      </c>
      <c r="AZ68" s="103" t="str">
        <f t="shared" si="77"/>
        <v>Complete</v>
      </c>
      <c r="BA68" s="62"/>
      <c r="BB68" s="62"/>
      <c r="BC68" s="62"/>
      <c r="BD68" s="62"/>
      <c r="BE68" s="62"/>
      <c r="BF68" s="62" t="str">
        <f t="shared" si="75"/>
        <v/>
      </c>
      <c r="BG68" s="65"/>
      <c r="BH68" s="65"/>
      <c r="BI68" s="65" t="str">
        <f t="shared" si="76"/>
        <v/>
      </c>
      <c r="BJ68" s="66"/>
      <c r="BK68" s="66"/>
      <c r="BL68" s="69"/>
      <c r="BM68" s="69"/>
    </row>
    <row r="69" spans="1:65" s="18" customFormat="1" ht="32.450000000000003" hidden="1" customHeight="1" x14ac:dyDescent="0.8">
      <c r="A69" s="62">
        <v>75</v>
      </c>
      <c r="B69" s="81" t="s">
        <v>295</v>
      </c>
      <c r="C69" s="60" t="s">
        <v>34</v>
      </c>
      <c r="D69" s="60" t="s">
        <v>35</v>
      </c>
      <c r="E69" s="60" t="s">
        <v>33</v>
      </c>
      <c r="F69" s="60" t="s">
        <v>97</v>
      </c>
      <c r="G69" s="60" t="s">
        <v>105</v>
      </c>
      <c r="H69" s="60" t="s">
        <v>301</v>
      </c>
      <c r="I69" s="60"/>
      <c r="J69" s="60" t="s">
        <v>344</v>
      </c>
      <c r="K69" s="62" t="s">
        <v>113</v>
      </c>
      <c r="L69" s="59" t="s">
        <v>123</v>
      </c>
      <c r="M69" s="62">
        <v>9</v>
      </c>
      <c r="N69" s="70">
        <v>59</v>
      </c>
      <c r="O69" s="64">
        <v>12.946885999999999</v>
      </c>
      <c r="P69" s="64">
        <v>102.03206</v>
      </c>
      <c r="Q69" s="65" t="s">
        <v>110</v>
      </c>
      <c r="R69" s="65" t="s">
        <v>108</v>
      </c>
      <c r="S69" s="62" t="str">
        <f t="shared" si="68"/>
        <v>Complete</v>
      </c>
      <c r="T69" s="62" t="s">
        <v>124</v>
      </c>
      <c r="U69" s="65" t="s">
        <v>380</v>
      </c>
      <c r="V69" s="65" t="s">
        <v>380</v>
      </c>
      <c r="W69" s="65" t="str">
        <f t="shared" si="69"/>
        <v>Complete</v>
      </c>
      <c r="X69" s="51" t="s">
        <v>448</v>
      </c>
      <c r="Y69" s="65" t="s">
        <v>413</v>
      </c>
      <c r="Z69" s="65"/>
      <c r="AA69" s="62" t="str">
        <f t="shared" si="70"/>
        <v>In progress</v>
      </c>
      <c r="AB69" s="62"/>
      <c r="AC69" s="62"/>
      <c r="AD69" s="65" t="s">
        <v>110</v>
      </c>
      <c r="AE69" s="73">
        <v>244145</v>
      </c>
      <c r="AF69" s="65" t="str">
        <f t="shared" si="71"/>
        <v>Complete</v>
      </c>
      <c r="AG69" s="73">
        <v>244206</v>
      </c>
      <c r="AH69" s="73" t="s">
        <v>399</v>
      </c>
      <c r="AI69" s="62" t="str">
        <f t="shared" si="72"/>
        <v>Complete</v>
      </c>
      <c r="AJ69" s="62" t="s">
        <v>469</v>
      </c>
      <c r="AK69" s="62"/>
      <c r="AL69" s="62" t="str">
        <f t="shared" si="73"/>
        <v>In progress</v>
      </c>
      <c r="AM69" s="62"/>
      <c r="AN69" s="62"/>
      <c r="AO69" s="62"/>
      <c r="AP69" s="62"/>
      <c r="AQ69" s="62"/>
      <c r="AR69" s="62"/>
      <c r="AS69" s="62"/>
      <c r="AT69" s="62" t="str">
        <f t="shared" si="74"/>
        <v/>
      </c>
      <c r="AU69" s="62"/>
      <c r="AV69" s="62"/>
      <c r="AW69" s="62"/>
      <c r="AX69" s="73">
        <v>244380</v>
      </c>
      <c r="AY69" s="73">
        <v>244396</v>
      </c>
      <c r="AZ69" s="99" t="str">
        <f t="shared" si="77"/>
        <v>Complete</v>
      </c>
      <c r="BA69" s="62"/>
      <c r="BB69" s="62"/>
      <c r="BC69" s="62"/>
      <c r="BD69" s="62"/>
      <c r="BE69" s="62"/>
      <c r="BF69" s="62" t="str">
        <f t="shared" si="75"/>
        <v/>
      </c>
      <c r="BG69" s="65"/>
      <c r="BH69" s="65"/>
      <c r="BI69" s="65" t="str">
        <f t="shared" si="76"/>
        <v/>
      </c>
      <c r="BJ69" s="66"/>
      <c r="BK69" s="66"/>
      <c r="BL69" s="69"/>
      <c r="BM69" s="69"/>
    </row>
    <row r="70" spans="1:65" s="18" customFormat="1" ht="32.450000000000003" hidden="1" customHeight="1" x14ac:dyDescent="0.8">
      <c r="A70" s="59">
        <v>76</v>
      </c>
      <c r="B70" s="81" t="s">
        <v>190</v>
      </c>
      <c r="C70" s="60" t="s">
        <v>34</v>
      </c>
      <c r="D70" s="60" t="s">
        <v>35</v>
      </c>
      <c r="E70" s="60" t="s">
        <v>33</v>
      </c>
      <c r="F70" s="60" t="s">
        <v>97</v>
      </c>
      <c r="G70" s="60" t="s">
        <v>105</v>
      </c>
      <c r="H70" s="60" t="s">
        <v>301</v>
      </c>
      <c r="I70" s="60"/>
      <c r="J70" s="60" t="s">
        <v>308</v>
      </c>
      <c r="K70" s="62" t="s">
        <v>113</v>
      </c>
      <c r="L70" s="59" t="s">
        <v>123</v>
      </c>
      <c r="M70" s="62">
        <v>9</v>
      </c>
      <c r="N70" s="70">
        <v>38</v>
      </c>
      <c r="O70" s="64">
        <v>12.924694000000001</v>
      </c>
      <c r="P70" s="64">
        <v>102.036646</v>
      </c>
      <c r="Q70" s="65" t="s">
        <v>110</v>
      </c>
      <c r="R70" s="65" t="s">
        <v>109</v>
      </c>
      <c r="S70" s="62" t="str">
        <f t="shared" si="68"/>
        <v>Complete</v>
      </c>
      <c r="T70" s="62" t="s">
        <v>124</v>
      </c>
      <c r="U70" s="65" t="s">
        <v>380</v>
      </c>
      <c r="V70" s="65" t="s">
        <v>380</v>
      </c>
      <c r="W70" s="65" t="str">
        <f t="shared" si="69"/>
        <v>Complete</v>
      </c>
      <c r="X70" s="51" t="s">
        <v>448</v>
      </c>
      <c r="Y70" s="65" t="s">
        <v>414</v>
      </c>
      <c r="Z70" s="65"/>
      <c r="AA70" s="62" t="str">
        <f t="shared" si="70"/>
        <v>In progress</v>
      </c>
      <c r="AB70" s="62"/>
      <c r="AC70" s="62"/>
      <c r="AD70" s="65" t="s">
        <v>110</v>
      </c>
      <c r="AE70" s="73">
        <v>244145</v>
      </c>
      <c r="AF70" s="65" t="str">
        <f t="shared" si="71"/>
        <v>Complete</v>
      </c>
      <c r="AG70" s="73">
        <v>244206</v>
      </c>
      <c r="AH70" s="73" t="s">
        <v>399</v>
      </c>
      <c r="AI70" s="62" t="str">
        <f t="shared" si="72"/>
        <v>Complete</v>
      </c>
      <c r="AJ70" s="62" t="s">
        <v>469</v>
      </c>
      <c r="AK70" s="62"/>
      <c r="AL70" s="62" t="str">
        <f t="shared" si="73"/>
        <v>In progress</v>
      </c>
      <c r="AM70" s="62"/>
      <c r="AN70" s="62"/>
      <c r="AO70" s="62"/>
      <c r="AP70" s="62"/>
      <c r="AQ70" s="62"/>
      <c r="AR70" s="62"/>
      <c r="AS70" s="62"/>
      <c r="AT70" s="62" t="str">
        <f t="shared" si="74"/>
        <v/>
      </c>
      <c r="AU70" s="62"/>
      <c r="AV70" s="62"/>
      <c r="AW70" s="62"/>
      <c r="AX70" s="73">
        <v>244380</v>
      </c>
      <c r="AY70" s="73">
        <v>244396</v>
      </c>
      <c r="AZ70" s="99" t="str">
        <f t="shared" si="77"/>
        <v>Complete</v>
      </c>
      <c r="BA70" s="62"/>
      <c r="BB70" s="62"/>
      <c r="BC70" s="62"/>
      <c r="BD70" s="62"/>
      <c r="BE70" s="62"/>
      <c r="BF70" s="62" t="str">
        <f t="shared" si="75"/>
        <v/>
      </c>
      <c r="BG70" s="65"/>
      <c r="BH70" s="65"/>
      <c r="BI70" s="65" t="str">
        <f t="shared" si="76"/>
        <v/>
      </c>
      <c r="BJ70" s="66"/>
      <c r="BK70" s="66"/>
      <c r="BL70" s="69"/>
      <c r="BM70" s="69"/>
    </row>
    <row r="71" spans="1:65" s="18" customFormat="1" ht="32.450000000000003" hidden="1" customHeight="1" x14ac:dyDescent="0.8">
      <c r="A71" s="59">
        <v>77</v>
      </c>
      <c r="B71" s="81" t="s">
        <v>210</v>
      </c>
      <c r="C71" s="60" t="s">
        <v>34</v>
      </c>
      <c r="D71" s="60" t="s">
        <v>35</v>
      </c>
      <c r="E71" s="60" t="s">
        <v>33</v>
      </c>
      <c r="F71" s="60" t="s">
        <v>97</v>
      </c>
      <c r="G71" s="60" t="s">
        <v>105</v>
      </c>
      <c r="H71" s="60" t="s">
        <v>301</v>
      </c>
      <c r="I71" s="60"/>
      <c r="J71" s="60" t="s">
        <v>342</v>
      </c>
      <c r="K71" s="62" t="s">
        <v>113</v>
      </c>
      <c r="L71" s="59" t="s">
        <v>123</v>
      </c>
      <c r="M71" s="62">
        <v>9</v>
      </c>
      <c r="N71" s="70">
        <v>33</v>
      </c>
      <c r="O71" s="64">
        <v>12.913201000000001</v>
      </c>
      <c r="P71" s="64">
        <v>102.050163</v>
      </c>
      <c r="Q71" s="65" t="s">
        <v>110</v>
      </c>
      <c r="R71" s="65" t="s">
        <v>108</v>
      </c>
      <c r="S71" s="62" t="str">
        <f t="shared" si="68"/>
        <v>Complete</v>
      </c>
      <c r="T71" s="62" t="s">
        <v>124</v>
      </c>
      <c r="U71" s="65" t="s">
        <v>380</v>
      </c>
      <c r="V71" s="65" t="s">
        <v>380</v>
      </c>
      <c r="W71" s="65" t="str">
        <f t="shared" si="69"/>
        <v>Complete</v>
      </c>
      <c r="X71" s="51" t="s">
        <v>448</v>
      </c>
      <c r="Y71" s="65" t="s">
        <v>413</v>
      </c>
      <c r="Z71" s="65"/>
      <c r="AA71" s="62" t="str">
        <f t="shared" si="70"/>
        <v>In progress</v>
      </c>
      <c r="AB71" s="62"/>
      <c r="AC71" s="62"/>
      <c r="AD71" s="65" t="s">
        <v>110</v>
      </c>
      <c r="AE71" s="73">
        <v>244145</v>
      </c>
      <c r="AF71" s="65" t="str">
        <f t="shared" si="71"/>
        <v>Complete</v>
      </c>
      <c r="AG71" s="73">
        <v>244206</v>
      </c>
      <c r="AH71" s="73" t="s">
        <v>399</v>
      </c>
      <c r="AI71" s="62" t="str">
        <f t="shared" si="72"/>
        <v>Complete</v>
      </c>
      <c r="AJ71" s="62" t="s">
        <v>469</v>
      </c>
      <c r="AK71" s="62"/>
      <c r="AL71" s="62" t="str">
        <f t="shared" si="73"/>
        <v>In progress</v>
      </c>
      <c r="AM71" s="62"/>
      <c r="AN71" s="62"/>
      <c r="AO71" s="62"/>
      <c r="AP71" s="62"/>
      <c r="AQ71" s="62"/>
      <c r="AR71" s="62"/>
      <c r="AS71" s="62"/>
      <c r="AT71" s="62" t="str">
        <f t="shared" si="74"/>
        <v/>
      </c>
      <c r="AU71" s="62"/>
      <c r="AV71" s="62"/>
      <c r="AW71" s="62"/>
      <c r="AX71" s="73">
        <v>244380</v>
      </c>
      <c r="AY71" s="73">
        <v>244396</v>
      </c>
      <c r="AZ71" s="99" t="str">
        <f t="shared" si="77"/>
        <v>Complete</v>
      </c>
      <c r="BA71" s="62"/>
      <c r="BB71" s="62"/>
      <c r="BC71" s="62"/>
      <c r="BD71" s="62"/>
      <c r="BE71" s="62"/>
      <c r="BF71" s="62" t="str">
        <f t="shared" si="75"/>
        <v/>
      </c>
      <c r="BG71" s="65"/>
      <c r="BH71" s="65"/>
      <c r="BI71" s="65" t="str">
        <f t="shared" si="76"/>
        <v/>
      </c>
      <c r="BJ71" s="66"/>
      <c r="BK71" s="66"/>
      <c r="BL71" s="69"/>
      <c r="BM71" s="69"/>
    </row>
    <row r="72" spans="1:65" s="18" customFormat="1" ht="32.450000000000003" hidden="1" customHeight="1" x14ac:dyDescent="0.8">
      <c r="A72" s="59">
        <v>78</v>
      </c>
      <c r="B72" s="81" t="s">
        <v>228</v>
      </c>
      <c r="C72" s="60" t="s">
        <v>34</v>
      </c>
      <c r="D72" s="60" t="s">
        <v>35</v>
      </c>
      <c r="E72" s="60" t="s">
        <v>33</v>
      </c>
      <c r="F72" s="60" t="s">
        <v>97</v>
      </c>
      <c r="G72" s="60" t="s">
        <v>105</v>
      </c>
      <c r="H72" s="60" t="s">
        <v>301</v>
      </c>
      <c r="I72" s="60"/>
      <c r="J72" s="60" t="s">
        <v>317</v>
      </c>
      <c r="K72" s="62" t="s">
        <v>113</v>
      </c>
      <c r="L72" s="59" t="s">
        <v>123</v>
      </c>
      <c r="M72" s="62">
        <v>9</v>
      </c>
      <c r="N72" s="70">
        <v>70</v>
      </c>
      <c r="O72" s="64">
        <v>12.965629</v>
      </c>
      <c r="P72" s="64">
        <v>102.081891</v>
      </c>
      <c r="Q72" s="65" t="s">
        <v>110</v>
      </c>
      <c r="R72" s="65" t="s">
        <v>109</v>
      </c>
      <c r="S72" s="62" t="str">
        <f t="shared" si="68"/>
        <v>Complete</v>
      </c>
      <c r="T72" s="62" t="s">
        <v>124</v>
      </c>
      <c r="U72" s="65" t="s">
        <v>380</v>
      </c>
      <c r="V72" s="65" t="s">
        <v>380</v>
      </c>
      <c r="W72" s="65" t="str">
        <f t="shared" si="69"/>
        <v>Complete</v>
      </c>
      <c r="X72" s="51" t="s">
        <v>448</v>
      </c>
      <c r="Y72" s="65" t="s">
        <v>414</v>
      </c>
      <c r="Z72" s="65"/>
      <c r="AA72" s="62" t="str">
        <f t="shared" si="70"/>
        <v>In progress</v>
      </c>
      <c r="AB72" s="62"/>
      <c r="AC72" s="62"/>
      <c r="AD72" s="65" t="s">
        <v>110</v>
      </c>
      <c r="AE72" s="73">
        <v>244145</v>
      </c>
      <c r="AF72" s="65" t="str">
        <f t="shared" si="71"/>
        <v>Complete</v>
      </c>
      <c r="AG72" s="73">
        <v>244206</v>
      </c>
      <c r="AH72" s="73" t="s">
        <v>399</v>
      </c>
      <c r="AI72" s="62" t="str">
        <f t="shared" si="72"/>
        <v>Complete</v>
      </c>
      <c r="AJ72" s="62" t="s">
        <v>469</v>
      </c>
      <c r="AK72" s="62"/>
      <c r="AL72" s="62" t="str">
        <f t="shared" si="73"/>
        <v>In progress</v>
      </c>
      <c r="AM72" s="62"/>
      <c r="AN72" s="62"/>
      <c r="AO72" s="62"/>
      <c r="AP72" s="62"/>
      <c r="AQ72" s="62"/>
      <c r="AR72" s="62"/>
      <c r="AS72" s="62"/>
      <c r="AT72" s="62" t="str">
        <f t="shared" si="74"/>
        <v/>
      </c>
      <c r="AU72" s="62"/>
      <c r="AV72" s="62"/>
      <c r="AW72" s="62"/>
      <c r="AX72" s="73">
        <v>244378</v>
      </c>
      <c r="AY72" s="73">
        <v>244397</v>
      </c>
      <c r="AZ72" s="99" t="str">
        <f t="shared" si="77"/>
        <v>Complete</v>
      </c>
      <c r="BA72" s="62"/>
      <c r="BB72" s="62"/>
      <c r="BC72" s="62"/>
      <c r="BD72" s="62"/>
      <c r="BE72" s="62"/>
      <c r="BF72" s="62" t="str">
        <f t="shared" si="75"/>
        <v/>
      </c>
      <c r="BG72" s="65"/>
      <c r="BH72" s="65"/>
      <c r="BI72" s="65" t="str">
        <f t="shared" si="76"/>
        <v/>
      </c>
      <c r="BJ72" s="66"/>
      <c r="BK72" s="66"/>
      <c r="BL72" s="69"/>
      <c r="BM72" s="69"/>
    </row>
    <row r="73" spans="1:65" s="18" customFormat="1" ht="32.450000000000003" hidden="1" customHeight="1" x14ac:dyDescent="0.8">
      <c r="A73" s="62">
        <v>79</v>
      </c>
      <c r="B73" s="81" t="s">
        <v>244</v>
      </c>
      <c r="C73" s="60" t="s">
        <v>34</v>
      </c>
      <c r="D73" s="60" t="s">
        <v>35</v>
      </c>
      <c r="E73" s="60" t="s">
        <v>33</v>
      </c>
      <c r="F73" s="60" t="s">
        <v>97</v>
      </c>
      <c r="G73" s="60" t="s">
        <v>105</v>
      </c>
      <c r="H73" s="60" t="s">
        <v>301</v>
      </c>
      <c r="I73" s="60"/>
      <c r="J73" s="60" t="s">
        <v>345</v>
      </c>
      <c r="K73" s="62" t="s">
        <v>113</v>
      </c>
      <c r="L73" s="59" t="s">
        <v>123</v>
      </c>
      <c r="M73" s="62">
        <v>9</v>
      </c>
      <c r="N73" s="70">
        <v>74</v>
      </c>
      <c r="O73" s="64">
        <v>12.975223</v>
      </c>
      <c r="P73" s="64">
        <v>102.08197199999999</v>
      </c>
      <c r="Q73" s="65" t="s">
        <v>110</v>
      </c>
      <c r="R73" s="65" t="s">
        <v>109</v>
      </c>
      <c r="S73" s="62" t="str">
        <f t="shared" si="68"/>
        <v>Complete</v>
      </c>
      <c r="T73" s="62" t="s">
        <v>124</v>
      </c>
      <c r="U73" s="65" t="s">
        <v>380</v>
      </c>
      <c r="V73" s="65" t="s">
        <v>380</v>
      </c>
      <c r="W73" s="65" t="str">
        <f t="shared" si="69"/>
        <v>Complete</v>
      </c>
      <c r="X73" s="51" t="s">
        <v>448</v>
      </c>
      <c r="Y73" s="65" t="s">
        <v>414</v>
      </c>
      <c r="Z73" s="65"/>
      <c r="AA73" s="62" t="str">
        <f t="shared" si="70"/>
        <v>In progress</v>
      </c>
      <c r="AB73" s="62"/>
      <c r="AC73" s="62"/>
      <c r="AD73" s="65" t="s">
        <v>110</v>
      </c>
      <c r="AE73" s="73">
        <v>244145</v>
      </c>
      <c r="AF73" s="65" t="str">
        <f t="shared" si="71"/>
        <v>Complete</v>
      </c>
      <c r="AG73" s="73">
        <v>244206</v>
      </c>
      <c r="AH73" s="73" t="s">
        <v>399</v>
      </c>
      <c r="AI73" s="62" t="str">
        <f t="shared" si="72"/>
        <v>Complete</v>
      </c>
      <c r="AJ73" s="62" t="s">
        <v>469</v>
      </c>
      <c r="AK73" s="62"/>
      <c r="AL73" s="62" t="str">
        <f t="shared" si="73"/>
        <v>In progress</v>
      </c>
      <c r="AM73" s="62"/>
      <c r="AN73" s="62"/>
      <c r="AO73" s="62"/>
      <c r="AP73" s="62"/>
      <c r="AQ73" s="62"/>
      <c r="AR73" s="62"/>
      <c r="AS73" s="62"/>
      <c r="AT73" s="62" t="str">
        <f t="shared" si="74"/>
        <v/>
      </c>
      <c r="AU73" s="62"/>
      <c r="AV73" s="62"/>
      <c r="AW73" s="62"/>
      <c r="AX73" s="73">
        <v>244380</v>
      </c>
      <c r="AY73" s="73">
        <v>244399</v>
      </c>
      <c r="AZ73" s="99" t="str">
        <f t="shared" si="77"/>
        <v>Complete</v>
      </c>
      <c r="BA73" s="62"/>
      <c r="BB73" s="62"/>
      <c r="BC73" s="62"/>
      <c r="BD73" s="62"/>
      <c r="BE73" s="62"/>
      <c r="BF73" s="62" t="str">
        <f t="shared" si="75"/>
        <v/>
      </c>
      <c r="BG73" s="65"/>
      <c r="BH73" s="65"/>
      <c r="BI73" s="65" t="str">
        <f t="shared" si="76"/>
        <v/>
      </c>
      <c r="BJ73" s="66"/>
      <c r="BK73" s="66"/>
      <c r="BL73" s="69"/>
      <c r="BM73" s="69"/>
    </row>
    <row r="74" spans="1:65" s="18" customFormat="1" ht="32.450000000000003" hidden="1" customHeight="1" x14ac:dyDescent="0.8">
      <c r="A74" s="62">
        <v>80</v>
      </c>
      <c r="B74" s="81" t="s">
        <v>269</v>
      </c>
      <c r="C74" s="60" t="s">
        <v>34</v>
      </c>
      <c r="D74" s="60" t="s">
        <v>35</v>
      </c>
      <c r="E74" s="60" t="s">
        <v>33</v>
      </c>
      <c r="F74" s="60" t="s">
        <v>97</v>
      </c>
      <c r="G74" s="60" t="s">
        <v>105</v>
      </c>
      <c r="H74" s="60" t="s">
        <v>301</v>
      </c>
      <c r="I74" s="60"/>
      <c r="J74" s="60" t="s">
        <v>336</v>
      </c>
      <c r="K74" s="62" t="s">
        <v>113</v>
      </c>
      <c r="L74" s="59" t="s">
        <v>123</v>
      </c>
      <c r="M74" s="62">
        <v>9</v>
      </c>
      <c r="N74" s="70">
        <v>45</v>
      </c>
      <c r="O74" s="64">
        <v>12.951472000000001</v>
      </c>
      <c r="P74" s="64">
        <v>102.0543</v>
      </c>
      <c r="Q74" s="65" t="s">
        <v>110</v>
      </c>
      <c r="R74" s="65" t="s">
        <v>108</v>
      </c>
      <c r="S74" s="62" t="str">
        <f t="shared" ref="S74:S105" si="78">IF(R74&lt;&gt;"", "Complete", IF(Q74&lt;&gt;"", "In progress", ""))</f>
        <v>Complete</v>
      </c>
      <c r="T74" s="62" t="s">
        <v>124</v>
      </c>
      <c r="U74" s="65" t="s">
        <v>380</v>
      </c>
      <c r="V74" s="65" t="s">
        <v>380</v>
      </c>
      <c r="W74" s="65" t="str">
        <f t="shared" ref="W74:W105" si="79">IF(
  AND(
     OR(M74=9,M74=18,M74=30),
     OR(G74="ภาคเหนือ",G74="ภาคใต้",G74="ภาคตะวันออก",G74="ภาคตะวันตก",G74="ภาคตะวันออกเฉียงเหนือ")
  ),
  IF(V74&lt;&gt;"","Complete",IF(U74&lt;&gt;"","In progress","")),
  "-"
)</f>
        <v>Complete</v>
      </c>
      <c r="X74" s="51" t="s">
        <v>448</v>
      </c>
      <c r="Y74" s="65" t="s">
        <v>413</v>
      </c>
      <c r="Z74" s="65"/>
      <c r="AA74" s="62" t="str">
        <f t="shared" ref="AA74:AA105" si="80">IF(Z74&lt;&gt;"", "Complete", IF(Y74&lt;&gt;"", "In progress", ""))</f>
        <v>In progress</v>
      </c>
      <c r="AB74" s="62"/>
      <c r="AC74" s="62"/>
      <c r="AD74" s="65" t="s">
        <v>110</v>
      </c>
      <c r="AE74" s="73">
        <v>244145</v>
      </c>
      <c r="AF74" s="65" t="str">
        <f t="shared" ref="AF74:AF105" si="81">IF(AE74&lt;&gt;"", "Complete", IF(AD74&lt;&gt;"", "In progress", ""))</f>
        <v>Complete</v>
      </c>
      <c r="AG74" s="73">
        <v>244206</v>
      </c>
      <c r="AH74" s="73" t="s">
        <v>399</v>
      </c>
      <c r="AI74" s="62" t="str">
        <f t="shared" ref="AI74:AI105" si="82">IF(AH74&lt;&gt;"", "Complete", IF(AG74&lt;&gt;"", "In progress", ""))</f>
        <v>Complete</v>
      </c>
      <c r="AJ74" s="62" t="s">
        <v>469</v>
      </c>
      <c r="AK74" s="62"/>
      <c r="AL74" s="62" t="str">
        <f t="shared" ref="AL74:AL105" si="83">IF(AK74&lt;&gt;"", "Complete", IF(AJ74&lt;&gt;"", "In progress", ""))</f>
        <v>In progress</v>
      </c>
      <c r="AM74" s="62"/>
      <c r="AN74" s="62"/>
      <c r="AO74" s="62"/>
      <c r="AP74" s="62"/>
      <c r="AQ74" s="62"/>
      <c r="AR74" s="62"/>
      <c r="AS74" s="62"/>
      <c r="AT74" s="62" t="str">
        <f t="shared" ref="AT74:AT105" si="84">IF(AQ74&lt;&gt;"", "Complete", IF(AP74&lt;&gt;"", "In progress", ""))</f>
        <v/>
      </c>
      <c r="AU74" s="62"/>
      <c r="AV74" s="62"/>
      <c r="AW74" s="62"/>
      <c r="AX74" s="73">
        <v>244380</v>
      </c>
      <c r="AY74" s="73">
        <v>244396</v>
      </c>
      <c r="AZ74" s="99" t="str">
        <f t="shared" si="77"/>
        <v>Complete</v>
      </c>
      <c r="BA74" s="62"/>
      <c r="BB74" s="62"/>
      <c r="BC74" s="62"/>
      <c r="BD74" s="62"/>
      <c r="BE74" s="62"/>
      <c r="BF74" s="62" t="str">
        <f t="shared" ref="BF74:BF105" si="85">IF(BE74&lt;&gt;"", "Complete", IF(BD74&lt;&gt;"", "In progress", ""))</f>
        <v/>
      </c>
      <c r="BG74" s="65"/>
      <c r="BH74" s="65"/>
      <c r="BI74" s="65" t="str">
        <f t="shared" ref="BI74:BI105" si="86">IF(BH74&lt;&gt;"", "Complete", IF(BG74&lt;&gt;"", "In progress", ""))</f>
        <v/>
      </c>
      <c r="BJ74" s="66"/>
      <c r="BK74" s="66"/>
      <c r="BL74" s="69"/>
      <c r="BM74" s="69"/>
    </row>
    <row r="75" spans="1:65" s="18" customFormat="1" ht="32.450000000000003" hidden="1" customHeight="1" x14ac:dyDescent="0.8">
      <c r="A75" s="59">
        <v>81</v>
      </c>
      <c r="B75" s="81" t="s">
        <v>151</v>
      </c>
      <c r="C75" s="60" t="s">
        <v>36</v>
      </c>
      <c r="D75" s="60" t="s">
        <v>35</v>
      </c>
      <c r="E75" s="60" t="s">
        <v>33</v>
      </c>
      <c r="F75" s="60" t="s">
        <v>97</v>
      </c>
      <c r="G75" s="60" t="s">
        <v>105</v>
      </c>
      <c r="H75" s="60" t="s">
        <v>301</v>
      </c>
      <c r="I75" s="60"/>
      <c r="J75" s="60" t="s">
        <v>337</v>
      </c>
      <c r="K75" s="62" t="s">
        <v>113</v>
      </c>
      <c r="L75" s="59" t="s">
        <v>123</v>
      </c>
      <c r="M75" s="62">
        <v>9</v>
      </c>
      <c r="N75" s="70">
        <v>56</v>
      </c>
      <c r="O75" s="64">
        <v>12.984774</v>
      </c>
      <c r="P75" s="64">
        <v>102.055637</v>
      </c>
      <c r="Q75" s="65" t="s">
        <v>110</v>
      </c>
      <c r="R75" s="65" t="s">
        <v>108</v>
      </c>
      <c r="S75" s="62" t="str">
        <f t="shared" si="78"/>
        <v>Complete</v>
      </c>
      <c r="T75" s="62" t="s">
        <v>124</v>
      </c>
      <c r="U75" s="65" t="s">
        <v>380</v>
      </c>
      <c r="V75" s="65" t="s">
        <v>380</v>
      </c>
      <c r="W75" s="65" t="str">
        <f t="shared" si="79"/>
        <v>Complete</v>
      </c>
      <c r="X75" s="51" t="s">
        <v>448</v>
      </c>
      <c r="Y75" s="65" t="s">
        <v>413</v>
      </c>
      <c r="Z75" s="65"/>
      <c r="AA75" s="62" t="str">
        <f t="shared" si="80"/>
        <v>In progress</v>
      </c>
      <c r="AB75" s="62"/>
      <c r="AC75" s="62"/>
      <c r="AD75" s="65" t="s">
        <v>110</v>
      </c>
      <c r="AE75" s="73">
        <v>244145</v>
      </c>
      <c r="AF75" s="65" t="str">
        <f t="shared" si="81"/>
        <v>Complete</v>
      </c>
      <c r="AG75" s="73">
        <v>244206</v>
      </c>
      <c r="AH75" s="73" t="s">
        <v>399</v>
      </c>
      <c r="AI75" s="62" t="str">
        <f t="shared" si="82"/>
        <v>Complete</v>
      </c>
      <c r="AJ75" s="62" t="s">
        <v>469</v>
      </c>
      <c r="AK75" s="62"/>
      <c r="AL75" s="62" t="str">
        <f t="shared" si="83"/>
        <v>In progress</v>
      </c>
      <c r="AM75" s="62"/>
      <c r="AN75" s="62"/>
      <c r="AO75" s="62"/>
      <c r="AP75" s="62"/>
      <c r="AQ75" s="62"/>
      <c r="AR75" s="62"/>
      <c r="AS75" s="62"/>
      <c r="AT75" s="62" t="str">
        <f t="shared" si="84"/>
        <v/>
      </c>
      <c r="AU75" s="62"/>
      <c r="AV75" s="62"/>
      <c r="AW75" s="62"/>
      <c r="AX75" s="73">
        <v>244378</v>
      </c>
      <c r="AY75" s="73">
        <v>244398</v>
      </c>
      <c r="AZ75" s="99" t="str">
        <f t="shared" si="77"/>
        <v>Complete</v>
      </c>
      <c r="BA75" s="62"/>
      <c r="BB75" s="62"/>
      <c r="BC75" s="62"/>
      <c r="BD75" s="62"/>
      <c r="BE75" s="62"/>
      <c r="BF75" s="62" t="str">
        <f t="shared" si="85"/>
        <v/>
      </c>
      <c r="BG75" s="65"/>
      <c r="BH75" s="65"/>
      <c r="BI75" s="65" t="str">
        <f t="shared" si="86"/>
        <v/>
      </c>
      <c r="BJ75" s="66"/>
      <c r="BK75" s="66"/>
      <c r="BL75" s="69"/>
      <c r="BM75" s="69"/>
    </row>
    <row r="76" spans="1:65" s="18" customFormat="1" ht="32.450000000000003" hidden="1" customHeight="1" x14ac:dyDescent="0.8">
      <c r="A76" s="59">
        <v>82</v>
      </c>
      <c r="B76" s="81" t="s">
        <v>171</v>
      </c>
      <c r="C76" s="60" t="s">
        <v>36</v>
      </c>
      <c r="D76" s="60" t="s">
        <v>35</v>
      </c>
      <c r="E76" s="60" t="s">
        <v>33</v>
      </c>
      <c r="F76" s="60" t="s">
        <v>97</v>
      </c>
      <c r="G76" s="60" t="s">
        <v>105</v>
      </c>
      <c r="H76" s="60" t="s">
        <v>301</v>
      </c>
      <c r="I76" s="60"/>
      <c r="J76" s="60" t="s">
        <v>343</v>
      </c>
      <c r="K76" s="62" t="s">
        <v>113</v>
      </c>
      <c r="L76" s="59" t="s">
        <v>472</v>
      </c>
      <c r="M76" s="62">
        <v>18</v>
      </c>
      <c r="N76" s="70">
        <v>75</v>
      </c>
      <c r="O76" s="64">
        <v>13.004386999999999</v>
      </c>
      <c r="P76" s="64">
        <v>102.073627</v>
      </c>
      <c r="Q76" s="65" t="s">
        <v>110</v>
      </c>
      <c r="R76" s="65" t="s">
        <v>108</v>
      </c>
      <c r="S76" s="62" t="str">
        <f t="shared" si="78"/>
        <v>Complete</v>
      </c>
      <c r="T76" s="62" t="s">
        <v>124</v>
      </c>
      <c r="U76" s="65" t="s">
        <v>380</v>
      </c>
      <c r="V76" s="65" t="s">
        <v>382</v>
      </c>
      <c r="W76" s="65" t="str">
        <f t="shared" si="79"/>
        <v>Complete</v>
      </c>
      <c r="X76" s="51" t="s">
        <v>448</v>
      </c>
      <c r="Y76" s="65" t="s">
        <v>413</v>
      </c>
      <c r="Z76" s="65"/>
      <c r="AA76" s="62" t="str">
        <f t="shared" si="80"/>
        <v>In progress</v>
      </c>
      <c r="AB76" s="62"/>
      <c r="AC76" s="62"/>
      <c r="AD76" s="65" t="s">
        <v>399</v>
      </c>
      <c r="AE76" s="75" t="s">
        <v>420</v>
      </c>
      <c r="AF76" s="65" t="str">
        <f t="shared" si="81"/>
        <v>Complete</v>
      </c>
      <c r="AG76" s="62" t="s">
        <v>418</v>
      </c>
      <c r="AH76" s="62" t="s">
        <v>447</v>
      </c>
      <c r="AI76" s="62" t="str">
        <f t="shared" si="82"/>
        <v>Complete</v>
      </c>
      <c r="AJ76" s="73">
        <v>244470</v>
      </c>
      <c r="AK76" s="73">
        <v>244470</v>
      </c>
      <c r="AL76" s="62" t="str">
        <f t="shared" si="83"/>
        <v>Complete</v>
      </c>
      <c r="AM76" s="62"/>
      <c r="AN76" s="62" t="s">
        <v>451</v>
      </c>
      <c r="AO76" s="73" t="s">
        <v>461</v>
      </c>
      <c r="AP76" s="62"/>
      <c r="AQ76" s="62"/>
      <c r="AR76" s="62"/>
      <c r="AS76" s="62"/>
      <c r="AT76" s="62" t="str">
        <f t="shared" si="84"/>
        <v/>
      </c>
      <c r="AU76" s="62"/>
      <c r="AV76" s="62"/>
      <c r="AW76" s="62"/>
      <c r="AX76" s="97">
        <v>244370</v>
      </c>
      <c r="AY76" s="97">
        <v>244375</v>
      </c>
      <c r="AZ76" s="103" t="str">
        <f t="shared" si="77"/>
        <v>Complete</v>
      </c>
      <c r="BA76" s="62"/>
      <c r="BB76" s="62"/>
      <c r="BC76" s="62"/>
      <c r="BD76" s="62"/>
      <c r="BE76" s="62"/>
      <c r="BF76" s="62" t="str">
        <f t="shared" si="85"/>
        <v/>
      </c>
      <c r="BG76" s="65"/>
      <c r="BH76" s="65"/>
      <c r="BI76" s="65" t="str">
        <f t="shared" si="86"/>
        <v/>
      </c>
      <c r="BJ76" s="66"/>
      <c r="BK76" s="66"/>
      <c r="BL76" s="69"/>
      <c r="BM76" s="69"/>
    </row>
    <row r="77" spans="1:65" s="18" customFormat="1" ht="32.450000000000003" hidden="1" customHeight="1" x14ac:dyDescent="0.8">
      <c r="A77" s="59">
        <v>83</v>
      </c>
      <c r="B77" s="81" t="s">
        <v>191</v>
      </c>
      <c r="C77" s="60" t="s">
        <v>36</v>
      </c>
      <c r="D77" s="60" t="s">
        <v>35</v>
      </c>
      <c r="E77" s="60" t="s">
        <v>33</v>
      </c>
      <c r="F77" s="60" t="s">
        <v>97</v>
      </c>
      <c r="G77" s="60" t="s">
        <v>105</v>
      </c>
      <c r="H77" s="108" t="s">
        <v>302</v>
      </c>
      <c r="I77" s="101" t="s">
        <v>304</v>
      </c>
      <c r="J77" s="60" t="s">
        <v>348</v>
      </c>
      <c r="K77" s="62" t="s">
        <v>113</v>
      </c>
      <c r="L77" s="59" t="s">
        <v>123</v>
      </c>
      <c r="M77" s="62">
        <v>9</v>
      </c>
      <c r="N77" s="70">
        <v>92</v>
      </c>
      <c r="O77" s="64">
        <v>13.021100000000001</v>
      </c>
      <c r="P77" s="64">
        <v>102.029425</v>
      </c>
      <c r="Q77" s="65" t="s">
        <v>110</v>
      </c>
      <c r="R77" s="65" t="s">
        <v>109</v>
      </c>
      <c r="S77" s="62" t="str">
        <f t="shared" si="78"/>
        <v>Complete</v>
      </c>
      <c r="T77" s="62" t="s">
        <v>124</v>
      </c>
      <c r="U77" s="65" t="s">
        <v>380</v>
      </c>
      <c r="V77" s="65" t="s">
        <v>380</v>
      </c>
      <c r="W77" s="65" t="str">
        <f t="shared" si="79"/>
        <v>Complete</v>
      </c>
      <c r="X77" s="51" t="s">
        <v>448</v>
      </c>
      <c r="Y77" s="65" t="s">
        <v>414</v>
      </c>
      <c r="Z77" s="65"/>
      <c r="AA77" s="62" t="str">
        <f t="shared" si="80"/>
        <v>In progress</v>
      </c>
      <c r="AB77" s="62"/>
      <c r="AC77" s="62"/>
      <c r="AD77" s="65" t="s">
        <v>110</v>
      </c>
      <c r="AE77" s="73">
        <v>244145</v>
      </c>
      <c r="AF77" s="65" t="str">
        <f t="shared" si="81"/>
        <v>Complete</v>
      </c>
      <c r="AG77" s="73">
        <v>244206</v>
      </c>
      <c r="AH77" s="73" t="s">
        <v>399</v>
      </c>
      <c r="AI77" s="62" t="str">
        <f t="shared" si="82"/>
        <v>Complete</v>
      </c>
      <c r="AJ77" s="62" t="s">
        <v>469</v>
      </c>
      <c r="AK77" s="62"/>
      <c r="AL77" s="62" t="str">
        <f t="shared" si="83"/>
        <v>In progress</v>
      </c>
      <c r="AM77" s="62"/>
      <c r="AN77" s="62"/>
      <c r="AO77" s="62"/>
      <c r="AP77" s="62"/>
      <c r="AQ77" s="62"/>
      <c r="AR77" s="62"/>
      <c r="AS77" s="62"/>
      <c r="AT77" s="62" t="str">
        <f t="shared" si="84"/>
        <v/>
      </c>
      <c r="AU77" s="104" t="s">
        <v>352</v>
      </c>
      <c r="AV77" s="107"/>
      <c r="AW77" s="62"/>
      <c r="AX77" s="73">
        <v>244419</v>
      </c>
      <c r="AY77" s="73">
        <v>244422</v>
      </c>
      <c r="AZ77" s="99" t="str">
        <f t="shared" si="77"/>
        <v>Complete</v>
      </c>
      <c r="BA77" s="62"/>
      <c r="BB77" s="62"/>
      <c r="BC77" s="62"/>
      <c r="BD77" s="62"/>
      <c r="BE77" s="62"/>
      <c r="BF77" s="62" t="str">
        <f t="shared" si="85"/>
        <v/>
      </c>
      <c r="BG77" s="65"/>
      <c r="BH77" s="65"/>
      <c r="BI77" s="65" t="str">
        <f t="shared" si="86"/>
        <v/>
      </c>
      <c r="BJ77" s="66"/>
      <c r="BK77" s="66"/>
      <c r="BL77" s="69"/>
      <c r="BM77" s="69"/>
    </row>
    <row r="78" spans="1:65" s="18" customFormat="1" ht="32.450000000000003" hidden="1" customHeight="1" x14ac:dyDescent="0.8">
      <c r="A78" s="62">
        <v>84</v>
      </c>
      <c r="B78" s="81" t="s">
        <v>211</v>
      </c>
      <c r="C78" s="60" t="s">
        <v>36</v>
      </c>
      <c r="D78" s="60" t="s">
        <v>35</v>
      </c>
      <c r="E78" s="60" t="s">
        <v>33</v>
      </c>
      <c r="F78" s="60" t="s">
        <v>97</v>
      </c>
      <c r="G78" s="60" t="s">
        <v>105</v>
      </c>
      <c r="H78" s="60" t="s">
        <v>301</v>
      </c>
      <c r="I78" s="60"/>
      <c r="J78" s="60" t="s">
        <v>339</v>
      </c>
      <c r="K78" s="62" t="s">
        <v>113</v>
      </c>
      <c r="L78" s="59" t="s">
        <v>123</v>
      </c>
      <c r="M78" s="62">
        <v>9</v>
      </c>
      <c r="N78" s="70">
        <v>58</v>
      </c>
      <c r="O78" s="64">
        <v>12.988822000000001</v>
      </c>
      <c r="P78" s="64">
        <v>102.03791099999999</v>
      </c>
      <c r="Q78" s="65" t="s">
        <v>110</v>
      </c>
      <c r="R78" s="65" t="s">
        <v>109</v>
      </c>
      <c r="S78" s="62" t="str">
        <f t="shared" si="78"/>
        <v>Complete</v>
      </c>
      <c r="T78" s="62" t="s">
        <v>124</v>
      </c>
      <c r="U78" s="65" t="s">
        <v>380</v>
      </c>
      <c r="V78" s="65" t="s">
        <v>380</v>
      </c>
      <c r="W78" s="65" t="str">
        <f t="shared" si="79"/>
        <v>Complete</v>
      </c>
      <c r="X78" s="51" t="s">
        <v>448</v>
      </c>
      <c r="Y78" s="65" t="s">
        <v>414</v>
      </c>
      <c r="Z78" s="65"/>
      <c r="AA78" s="62" t="str">
        <f t="shared" si="80"/>
        <v>In progress</v>
      </c>
      <c r="AB78" s="62"/>
      <c r="AC78" s="62"/>
      <c r="AD78" s="65" t="s">
        <v>110</v>
      </c>
      <c r="AE78" s="73">
        <v>244145</v>
      </c>
      <c r="AF78" s="65" t="str">
        <f t="shared" si="81"/>
        <v>Complete</v>
      </c>
      <c r="AG78" s="73">
        <v>244206</v>
      </c>
      <c r="AH78" s="73" t="s">
        <v>399</v>
      </c>
      <c r="AI78" s="62" t="str">
        <f t="shared" si="82"/>
        <v>Complete</v>
      </c>
      <c r="AJ78" s="62" t="s">
        <v>469</v>
      </c>
      <c r="AK78" s="62"/>
      <c r="AL78" s="62" t="str">
        <f t="shared" si="83"/>
        <v>In progress</v>
      </c>
      <c r="AM78" s="62"/>
      <c r="AN78" s="62"/>
      <c r="AO78" s="62"/>
      <c r="AP78" s="62"/>
      <c r="AQ78" s="62"/>
      <c r="AR78" s="62"/>
      <c r="AS78" s="62"/>
      <c r="AT78" s="62" t="str">
        <f t="shared" si="84"/>
        <v/>
      </c>
      <c r="AU78" s="62"/>
      <c r="AV78" s="62"/>
      <c r="AW78" s="62"/>
      <c r="AX78" s="73">
        <v>244378</v>
      </c>
      <c r="AY78" s="73">
        <v>244398</v>
      </c>
      <c r="AZ78" s="99" t="str">
        <f t="shared" si="77"/>
        <v>Complete</v>
      </c>
      <c r="BA78" s="62"/>
      <c r="BB78" s="62"/>
      <c r="BC78" s="62"/>
      <c r="BD78" s="62"/>
      <c r="BE78" s="62"/>
      <c r="BF78" s="62" t="str">
        <f t="shared" si="85"/>
        <v/>
      </c>
      <c r="BG78" s="65"/>
      <c r="BH78" s="65"/>
      <c r="BI78" s="65" t="str">
        <f t="shared" si="86"/>
        <v/>
      </c>
      <c r="BJ78" s="66"/>
      <c r="BK78" s="66"/>
      <c r="BL78" s="69"/>
      <c r="BM78" s="69"/>
    </row>
    <row r="79" spans="1:65" s="18" customFormat="1" ht="32.950000000000003" hidden="1" customHeight="1" x14ac:dyDescent="0.8">
      <c r="A79" s="62">
        <v>85</v>
      </c>
      <c r="B79" s="81" t="s">
        <v>229</v>
      </c>
      <c r="C79" s="60" t="s">
        <v>36</v>
      </c>
      <c r="D79" s="60" t="s">
        <v>35</v>
      </c>
      <c r="E79" s="60" t="s">
        <v>33</v>
      </c>
      <c r="F79" s="60" t="s">
        <v>97</v>
      </c>
      <c r="G79" s="60" t="s">
        <v>105</v>
      </c>
      <c r="H79" s="60" t="s">
        <v>301</v>
      </c>
      <c r="I79" s="60"/>
      <c r="J79" s="60" t="s">
        <v>349</v>
      </c>
      <c r="K79" s="62" t="s">
        <v>113</v>
      </c>
      <c r="L79" s="59" t="s">
        <v>123</v>
      </c>
      <c r="M79" s="62">
        <v>9</v>
      </c>
      <c r="N79" s="70">
        <v>90</v>
      </c>
      <c r="O79" s="64">
        <v>13.033385000000001</v>
      </c>
      <c r="P79" s="64">
        <v>102.075078</v>
      </c>
      <c r="Q79" s="65" t="s">
        <v>110</v>
      </c>
      <c r="R79" s="65" t="s">
        <v>109</v>
      </c>
      <c r="S79" s="62" t="str">
        <f t="shared" si="78"/>
        <v>Complete</v>
      </c>
      <c r="T79" s="62" t="s">
        <v>124</v>
      </c>
      <c r="U79" s="65" t="s">
        <v>380</v>
      </c>
      <c r="V79" s="65" t="s">
        <v>380</v>
      </c>
      <c r="W79" s="65" t="str">
        <f t="shared" si="79"/>
        <v>Complete</v>
      </c>
      <c r="X79" s="51" t="s">
        <v>448</v>
      </c>
      <c r="Y79" s="65" t="s">
        <v>414</v>
      </c>
      <c r="Z79" s="65"/>
      <c r="AA79" s="62" t="str">
        <f t="shared" si="80"/>
        <v>In progress</v>
      </c>
      <c r="AB79" s="62"/>
      <c r="AC79" s="62"/>
      <c r="AD79" s="65" t="s">
        <v>110</v>
      </c>
      <c r="AE79" s="73">
        <v>244145</v>
      </c>
      <c r="AF79" s="65" t="str">
        <f t="shared" si="81"/>
        <v>Complete</v>
      </c>
      <c r="AG79" s="73">
        <v>244206</v>
      </c>
      <c r="AH79" s="73" t="s">
        <v>399</v>
      </c>
      <c r="AI79" s="62" t="str">
        <f t="shared" si="82"/>
        <v>Complete</v>
      </c>
      <c r="AJ79" s="62" t="s">
        <v>469</v>
      </c>
      <c r="AK79" s="62"/>
      <c r="AL79" s="62" t="str">
        <f t="shared" si="83"/>
        <v>In progress</v>
      </c>
      <c r="AM79" s="62"/>
      <c r="AN79" s="62"/>
      <c r="AO79" s="62"/>
      <c r="AP79" s="62"/>
      <c r="AQ79" s="62"/>
      <c r="AR79" s="62"/>
      <c r="AS79" s="62"/>
      <c r="AT79" s="62" t="str">
        <f t="shared" si="84"/>
        <v/>
      </c>
      <c r="AU79" s="62"/>
      <c r="AV79" s="62"/>
      <c r="AW79" s="62"/>
      <c r="AX79" s="73">
        <v>244378</v>
      </c>
      <c r="AY79" s="73">
        <v>244397</v>
      </c>
      <c r="AZ79" s="99" t="str">
        <f t="shared" si="77"/>
        <v>Complete</v>
      </c>
      <c r="BA79" s="62"/>
      <c r="BB79" s="62"/>
      <c r="BC79" s="62"/>
      <c r="BD79" s="62"/>
      <c r="BE79" s="62"/>
      <c r="BF79" s="62" t="str">
        <f t="shared" si="85"/>
        <v/>
      </c>
      <c r="BG79" s="65"/>
      <c r="BH79" s="65"/>
      <c r="BI79" s="65" t="str">
        <f t="shared" si="86"/>
        <v/>
      </c>
      <c r="BJ79" s="66"/>
      <c r="BK79" s="66"/>
      <c r="BL79" s="69"/>
      <c r="BM79" s="69"/>
    </row>
    <row r="80" spans="1:65" s="18" customFormat="1" ht="32.450000000000003" hidden="1" customHeight="1" x14ac:dyDescent="0.8">
      <c r="A80" s="59">
        <v>86</v>
      </c>
      <c r="B80" s="81" t="s">
        <v>245</v>
      </c>
      <c r="C80" s="60" t="s">
        <v>36</v>
      </c>
      <c r="D80" s="60" t="s">
        <v>35</v>
      </c>
      <c r="E80" s="60" t="s">
        <v>33</v>
      </c>
      <c r="F80" s="60" t="s">
        <v>97</v>
      </c>
      <c r="G80" s="60" t="s">
        <v>105</v>
      </c>
      <c r="H80" s="60" t="s">
        <v>301</v>
      </c>
      <c r="I80" s="60"/>
      <c r="J80" s="60" t="s">
        <v>308</v>
      </c>
      <c r="K80" s="62" t="s">
        <v>113</v>
      </c>
      <c r="L80" s="59" t="s">
        <v>123</v>
      </c>
      <c r="M80" s="62">
        <v>9</v>
      </c>
      <c r="N80" s="70">
        <v>85</v>
      </c>
      <c r="O80" s="64">
        <v>13.049575000000001</v>
      </c>
      <c r="P80" s="64">
        <v>102.03997099999999</v>
      </c>
      <c r="Q80" s="65" t="s">
        <v>110</v>
      </c>
      <c r="R80" s="65" t="s">
        <v>109</v>
      </c>
      <c r="S80" s="62" t="str">
        <f t="shared" si="78"/>
        <v>Complete</v>
      </c>
      <c r="T80" s="62" t="s">
        <v>124</v>
      </c>
      <c r="U80" s="65" t="s">
        <v>380</v>
      </c>
      <c r="V80" s="65" t="s">
        <v>380</v>
      </c>
      <c r="W80" s="65" t="str">
        <f t="shared" si="79"/>
        <v>Complete</v>
      </c>
      <c r="X80" s="51" t="s">
        <v>448</v>
      </c>
      <c r="Y80" s="65" t="s">
        <v>414</v>
      </c>
      <c r="Z80" s="65"/>
      <c r="AA80" s="62" t="str">
        <f t="shared" si="80"/>
        <v>In progress</v>
      </c>
      <c r="AB80" s="62"/>
      <c r="AC80" s="62"/>
      <c r="AD80" s="65" t="s">
        <v>110</v>
      </c>
      <c r="AE80" s="73">
        <v>244145</v>
      </c>
      <c r="AF80" s="65" t="str">
        <f t="shared" si="81"/>
        <v>Complete</v>
      </c>
      <c r="AG80" s="73">
        <v>244206</v>
      </c>
      <c r="AH80" s="73" t="s">
        <v>399</v>
      </c>
      <c r="AI80" s="62" t="str">
        <f t="shared" si="82"/>
        <v>Complete</v>
      </c>
      <c r="AJ80" s="62" t="s">
        <v>469</v>
      </c>
      <c r="AK80" s="62"/>
      <c r="AL80" s="62" t="str">
        <f t="shared" si="83"/>
        <v>In progress</v>
      </c>
      <c r="AM80" s="62"/>
      <c r="AN80" s="62"/>
      <c r="AO80" s="62"/>
      <c r="AP80" s="62"/>
      <c r="AQ80" s="62"/>
      <c r="AR80" s="62"/>
      <c r="AS80" s="62"/>
      <c r="AT80" s="62" t="str">
        <f t="shared" si="84"/>
        <v/>
      </c>
      <c r="AU80" s="62"/>
      <c r="AV80" s="62"/>
      <c r="AW80" s="62"/>
      <c r="AX80" s="73">
        <v>244383</v>
      </c>
      <c r="AY80" s="73">
        <v>244397</v>
      </c>
      <c r="AZ80" s="99" t="str">
        <f t="shared" si="77"/>
        <v>Complete</v>
      </c>
      <c r="BA80" s="62"/>
      <c r="BB80" s="62"/>
      <c r="BC80" s="62"/>
      <c r="BD80" s="62"/>
      <c r="BE80" s="62"/>
      <c r="BF80" s="62" t="str">
        <f t="shared" si="85"/>
        <v/>
      </c>
      <c r="BG80" s="65"/>
      <c r="BH80" s="65"/>
      <c r="BI80" s="65" t="str">
        <f t="shared" si="86"/>
        <v/>
      </c>
      <c r="BJ80" s="66"/>
      <c r="BK80" s="66"/>
      <c r="BL80" s="69"/>
      <c r="BM80" s="69"/>
    </row>
    <row r="81" spans="1:65" s="18" customFormat="1" ht="32.450000000000003" hidden="1" customHeight="1" x14ac:dyDescent="0.8">
      <c r="A81" s="59">
        <v>87</v>
      </c>
      <c r="B81" s="81" t="s">
        <v>257</v>
      </c>
      <c r="C81" s="60" t="s">
        <v>36</v>
      </c>
      <c r="D81" s="60" t="s">
        <v>35</v>
      </c>
      <c r="E81" s="60" t="s">
        <v>33</v>
      </c>
      <c r="F81" s="60" t="s">
        <v>97</v>
      </c>
      <c r="G81" s="60" t="s">
        <v>105</v>
      </c>
      <c r="H81" s="60" t="s">
        <v>301</v>
      </c>
      <c r="I81" s="60"/>
      <c r="J81" s="60" t="s">
        <v>337</v>
      </c>
      <c r="K81" s="62" t="s">
        <v>113</v>
      </c>
      <c r="L81" s="59" t="s">
        <v>123</v>
      </c>
      <c r="M81" s="62">
        <v>9</v>
      </c>
      <c r="N81" s="70">
        <v>103</v>
      </c>
      <c r="O81" s="64">
        <v>13.040521999999999</v>
      </c>
      <c r="P81" s="64">
        <v>102.051637</v>
      </c>
      <c r="Q81" s="65" t="s">
        <v>110</v>
      </c>
      <c r="R81" s="65" t="s">
        <v>109</v>
      </c>
      <c r="S81" s="62" t="str">
        <f t="shared" si="78"/>
        <v>Complete</v>
      </c>
      <c r="T81" s="62" t="s">
        <v>124</v>
      </c>
      <c r="U81" s="65" t="s">
        <v>380</v>
      </c>
      <c r="V81" s="65" t="s">
        <v>380</v>
      </c>
      <c r="W81" s="65" t="str">
        <f t="shared" si="79"/>
        <v>Complete</v>
      </c>
      <c r="X81" s="51" t="s">
        <v>448</v>
      </c>
      <c r="Y81" s="65" t="s">
        <v>414</v>
      </c>
      <c r="Z81" s="65"/>
      <c r="AA81" s="62" t="str">
        <f t="shared" si="80"/>
        <v>In progress</v>
      </c>
      <c r="AB81" s="62"/>
      <c r="AC81" s="62"/>
      <c r="AD81" s="65" t="s">
        <v>110</v>
      </c>
      <c r="AE81" s="73">
        <v>244145</v>
      </c>
      <c r="AF81" s="65" t="str">
        <f t="shared" si="81"/>
        <v>Complete</v>
      </c>
      <c r="AG81" s="73">
        <v>244206</v>
      </c>
      <c r="AH81" s="73" t="s">
        <v>399</v>
      </c>
      <c r="AI81" s="62" t="str">
        <f t="shared" si="82"/>
        <v>Complete</v>
      </c>
      <c r="AJ81" s="62" t="s">
        <v>469</v>
      </c>
      <c r="AK81" s="62"/>
      <c r="AL81" s="62" t="str">
        <f t="shared" si="83"/>
        <v>In progress</v>
      </c>
      <c r="AM81" s="62"/>
      <c r="AN81" s="62"/>
      <c r="AO81" s="62"/>
      <c r="AP81" s="62"/>
      <c r="AQ81" s="62"/>
      <c r="AR81" s="62"/>
      <c r="AS81" s="62"/>
      <c r="AT81" s="62" t="str">
        <f t="shared" si="84"/>
        <v/>
      </c>
      <c r="AU81" s="62"/>
      <c r="AV81" s="62"/>
      <c r="AW81" s="62"/>
      <c r="AX81" s="73">
        <v>244378</v>
      </c>
      <c r="AY81" s="73">
        <v>244398</v>
      </c>
      <c r="AZ81" s="99" t="str">
        <f t="shared" si="77"/>
        <v>Complete</v>
      </c>
      <c r="BA81" s="62"/>
      <c r="BB81" s="62"/>
      <c r="BC81" s="62"/>
      <c r="BD81" s="62"/>
      <c r="BE81" s="62"/>
      <c r="BF81" s="62" t="str">
        <f t="shared" si="85"/>
        <v/>
      </c>
      <c r="BG81" s="65"/>
      <c r="BH81" s="65"/>
      <c r="BI81" s="65" t="str">
        <f t="shared" si="86"/>
        <v/>
      </c>
      <c r="BJ81" s="66"/>
      <c r="BK81" s="66"/>
      <c r="BL81" s="69"/>
      <c r="BM81" s="69"/>
    </row>
    <row r="82" spans="1:65" s="18" customFormat="1" ht="32.450000000000003" hidden="1" customHeight="1" x14ac:dyDescent="0.8">
      <c r="A82" s="59">
        <v>88</v>
      </c>
      <c r="B82" s="81" t="s">
        <v>270</v>
      </c>
      <c r="C82" s="60" t="s">
        <v>36</v>
      </c>
      <c r="D82" s="60" t="s">
        <v>35</v>
      </c>
      <c r="E82" s="60" t="s">
        <v>33</v>
      </c>
      <c r="F82" s="60" t="s">
        <v>97</v>
      </c>
      <c r="G82" s="60" t="s">
        <v>105</v>
      </c>
      <c r="H82" s="60" t="s">
        <v>301</v>
      </c>
      <c r="I82" s="60"/>
      <c r="J82" s="60" t="s">
        <v>334</v>
      </c>
      <c r="K82" s="62" t="s">
        <v>113</v>
      </c>
      <c r="L82" s="59" t="s">
        <v>123</v>
      </c>
      <c r="M82" s="62">
        <v>9</v>
      </c>
      <c r="N82" s="70">
        <v>90</v>
      </c>
      <c r="O82" s="64">
        <v>13.019843</v>
      </c>
      <c r="P82" s="64">
        <v>102.078428</v>
      </c>
      <c r="Q82" s="65" t="s">
        <v>110</v>
      </c>
      <c r="R82" s="65" t="s">
        <v>108</v>
      </c>
      <c r="S82" s="62" t="str">
        <f t="shared" si="78"/>
        <v>Complete</v>
      </c>
      <c r="T82" s="62" t="s">
        <v>124</v>
      </c>
      <c r="U82" s="65" t="s">
        <v>380</v>
      </c>
      <c r="V82" s="65" t="s">
        <v>380</v>
      </c>
      <c r="W82" s="65" t="str">
        <f t="shared" si="79"/>
        <v>Complete</v>
      </c>
      <c r="X82" s="51" t="s">
        <v>448</v>
      </c>
      <c r="Y82" s="65" t="s">
        <v>413</v>
      </c>
      <c r="Z82" s="65"/>
      <c r="AA82" s="62" t="str">
        <f t="shared" si="80"/>
        <v>In progress</v>
      </c>
      <c r="AB82" s="62"/>
      <c r="AC82" s="62"/>
      <c r="AD82" s="65" t="s">
        <v>110</v>
      </c>
      <c r="AE82" s="73">
        <v>244145</v>
      </c>
      <c r="AF82" s="65" t="str">
        <f t="shared" si="81"/>
        <v>Complete</v>
      </c>
      <c r="AG82" s="73">
        <v>244206</v>
      </c>
      <c r="AH82" s="73" t="s">
        <v>399</v>
      </c>
      <c r="AI82" s="62" t="str">
        <f t="shared" si="82"/>
        <v>Complete</v>
      </c>
      <c r="AJ82" s="62" t="s">
        <v>469</v>
      </c>
      <c r="AK82" s="62"/>
      <c r="AL82" s="62" t="str">
        <f t="shared" si="83"/>
        <v>In progress</v>
      </c>
      <c r="AM82" s="62"/>
      <c r="AN82" s="62"/>
      <c r="AO82" s="62"/>
      <c r="AP82" s="62"/>
      <c r="AQ82" s="62"/>
      <c r="AR82" s="62"/>
      <c r="AS82" s="62"/>
      <c r="AT82" s="62" t="str">
        <f t="shared" si="84"/>
        <v/>
      </c>
      <c r="AU82" s="62"/>
      <c r="AV82" s="62"/>
      <c r="AW82" s="62"/>
      <c r="AX82" s="73">
        <v>244378</v>
      </c>
      <c r="AY82" s="73">
        <v>244398</v>
      </c>
      <c r="AZ82" s="99" t="str">
        <f t="shared" si="77"/>
        <v>Complete</v>
      </c>
      <c r="BA82" s="62"/>
      <c r="BB82" s="62"/>
      <c r="BC82" s="62"/>
      <c r="BD82" s="62"/>
      <c r="BE82" s="62"/>
      <c r="BF82" s="62" t="str">
        <f t="shared" si="85"/>
        <v/>
      </c>
      <c r="BG82" s="65"/>
      <c r="BH82" s="65"/>
      <c r="BI82" s="65" t="str">
        <f t="shared" si="86"/>
        <v/>
      </c>
      <c r="BJ82" s="66"/>
      <c r="BK82" s="66"/>
      <c r="BL82" s="69"/>
      <c r="BM82" s="69"/>
    </row>
    <row r="83" spans="1:65" s="18" customFormat="1" ht="32.450000000000003" hidden="1" customHeight="1" x14ac:dyDescent="0.8">
      <c r="A83" s="62">
        <v>89</v>
      </c>
      <c r="B83" s="81" t="s">
        <v>246</v>
      </c>
      <c r="C83" s="60" t="s">
        <v>37</v>
      </c>
      <c r="D83" s="60" t="s">
        <v>35</v>
      </c>
      <c r="E83" s="60" t="s">
        <v>33</v>
      </c>
      <c r="F83" s="60" t="s">
        <v>97</v>
      </c>
      <c r="G83" s="60" t="s">
        <v>105</v>
      </c>
      <c r="H83" s="60" t="s">
        <v>301</v>
      </c>
      <c r="I83" s="60"/>
      <c r="J83" s="60" t="s">
        <v>334</v>
      </c>
      <c r="K83" s="62" t="s">
        <v>113</v>
      </c>
      <c r="L83" s="59" t="s">
        <v>123</v>
      </c>
      <c r="M83" s="62">
        <v>9</v>
      </c>
      <c r="N83" s="70">
        <v>44</v>
      </c>
      <c r="O83" s="64">
        <v>12.936203000000001</v>
      </c>
      <c r="P83" s="64">
        <v>102.072575</v>
      </c>
      <c r="Q83" s="65" t="s">
        <v>110</v>
      </c>
      <c r="R83" s="65" t="s">
        <v>109</v>
      </c>
      <c r="S83" s="62" t="str">
        <f t="shared" si="78"/>
        <v>Complete</v>
      </c>
      <c r="T83" s="62" t="s">
        <v>124</v>
      </c>
      <c r="U83" s="65" t="s">
        <v>380</v>
      </c>
      <c r="V83" s="65" t="s">
        <v>380</v>
      </c>
      <c r="W83" s="65" t="str">
        <f t="shared" si="79"/>
        <v>Complete</v>
      </c>
      <c r="X83" s="51" t="s">
        <v>448</v>
      </c>
      <c r="Y83" s="65" t="s">
        <v>414</v>
      </c>
      <c r="Z83" s="65"/>
      <c r="AA83" s="62" t="str">
        <f t="shared" si="80"/>
        <v>In progress</v>
      </c>
      <c r="AB83" s="62"/>
      <c r="AC83" s="62"/>
      <c r="AD83" s="65" t="s">
        <v>110</v>
      </c>
      <c r="AE83" s="73">
        <v>244145</v>
      </c>
      <c r="AF83" s="65" t="str">
        <f t="shared" si="81"/>
        <v>Complete</v>
      </c>
      <c r="AG83" s="73">
        <v>244206</v>
      </c>
      <c r="AH83" s="73" t="s">
        <v>399</v>
      </c>
      <c r="AI83" s="62" t="str">
        <f t="shared" si="82"/>
        <v>Complete</v>
      </c>
      <c r="AJ83" s="62" t="s">
        <v>469</v>
      </c>
      <c r="AK83" s="62"/>
      <c r="AL83" s="62" t="str">
        <f t="shared" si="83"/>
        <v>In progress</v>
      </c>
      <c r="AM83" s="62"/>
      <c r="AN83" s="62"/>
      <c r="AO83" s="62"/>
      <c r="AP83" s="62"/>
      <c r="AQ83" s="62"/>
      <c r="AR83" s="62"/>
      <c r="AS83" s="62"/>
      <c r="AT83" s="62" t="str">
        <f t="shared" si="84"/>
        <v/>
      </c>
      <c r="AU83" s="62"/>
      <c r="AV83" s="62"/>
      <c r="AW83" s="62"/>
      <c r="AX83" s="73">
        <v>244380</v>
      </c>
      <c r="AY83" s="73">
        <v>244399</v>
      </c>
      <c r="AZ83" s="99" t="str">
        <f t="shared" si="77"/>
        <v>Complete</v>
      </c>
      <c r="BA83" s="62"/>
      <c r="BB83" s="62"/>
      <c r="BC83" s="62"/>
      <c r="BD83" s="62"/>
      <c r="BE83" s="62"/>
      <c r="BF83" s="62" t="str">
        <f t="shared" si="85"/>
        <v/>
      </c>
      <c r="BG83" s="65"/>
      <c r="BH83" s="65"/>
      <c r="BI83" s="65" t="str">
        <f t="shared" si="86"/>
        <v/>
      </c>
      <c r="BJ83" s="66"/>
      <c r="BK83" s="66"/>
      <c r="BL83" s="69"/>
      <c r="BM83" s="69"/>
    </row>
    <row r="84" spans="1:65" s="18" customFormat="1" ht="32.450000000000003" hidden="1" customHeight="1" x14ac:dyDescent="0.45">
      <c r="A84" s="62">
        <v>90</v>
      </c>
      <c r="B84" s="81" t="s">
        <v>192</v>
      </c>
      <c r="C84" s="60" t="s">
        <v>38</v>
      </c>
      <c r="D84" s="60" t="s">
        <v>39</v>
      </c>
      <c r="E84" s="60" t="s">
        <v>40</v>
      </c>
      <c r="F84" s="60" t="s">
        <v>98</v>
      </c>
      <c r="G84" s="60" t="s">
        <v>107</v>
      </c>
      <c r="H84" s="60" t="s">
        <v>301</v>
      </c>
      <c r="I84" s="60"/>
      <c r="J84" s="60" t="s">
        <v>341</v>
      </c>
      <c r="K84" s="59" t="s">
        <v>112</v>
      </c>
      <c r="L84" s="59" t="s">
        <v>123</v>
      </c>
      <c r="M84" s="59">
        <v>9</v>
      </c>
      <c r="N84" s="63">
        <v>40</v>
      </c>
      <c r="O84" s="64">
        <v>7.4990199999999998</v>
      </c>
      <c r="P84" s="64">
        <v>99.739440000000002</v>
      </c>
      <c r="Q84" s="65" t="s">
        <v>109</v>
      </c>
      <c r="R84" s="65" t="s">
        <v>109</v>
      </c>
      <c r="S84" s="62" t="str">
        <f t="shared" si="78"/>
        <v>Complete</v>
      </c>
      <c r="T84" s="62" t="s">
        <v>124</v>
      </c>
      <c r="U84" s="65" t="s">
        <v>380</v>
      </c>
      <c r="V84" s="65" t="s">
        <v>380</v>
      </c>
      <c r="W84" s="65" t="str">
        <f t="shared" si="79"/>
        <v>Complete</v>
      </c>
      <c r="X84" s="51" t="s">
        <v>448</v>
      </c>
      <c r="Y84" s="65" t="s">
        <v>414</v>
      </c>
      <c r="Z84" s="65"/>
      <c r="AA84" s="62" t="str">
        <f t="shared" si="80"/>
        <v>In progress</v>
      </c>
      <c r="AB84" s="62"/>
      <c r="AC84" s="62"/>
      <c r="AD84" s="65" t="s">
        <v>110</v>
      </c>
      <c r="AE84" s="73">
        <v>244145</v>
      </c>
      <c r="AF84" s="65" t="str">
        <f t="shared" si="81"/>
        <v>Complete</v>
      </c>
      <c r="AG84" s="73">
        <v>244206</v>
      </c>
      <c r="AH84" s="73" t="s">
        <v>399</v>
      </c>
      <c r="AI84" s="62" t="str">
        <f t="shared" si="82"/>
        <v>Complete</v>
      </c>
      <c r="AJ84" s="62" t="s">
        <v>469</v>
      </c>
      <c r="AK84" s="62"/>
      <c r="AL84" s="62" t="str">
        <f t="shared" si="83"/>
        <v>In progress</v>
      </c>
      <c r="AM84" s="62"/>
      <c r="AN84" s="62"/>
      <c r="AO84" s="62"/>
      <c r="AP84" s="62"/>
      <c r="AQ84" s="62"/>
      <c r="AR84" s="62"/>
      <c r="AS84" s="62"/>
      <c r="AT84" s="62" t="str">
        <f t="shared" si="84"/>
        <v/>
      </c>
      <c r="AU84" s="62"/>
      <c r="AV84" s="62"/>
      <c r="AW84" s="62"/>
      <c r="AX84" s="73">
        <v>244383</v>
      </c>
      <c r="AY84" s="73">
        <v>244410</v>
      </c>
      <c r="AZ84" s="99" t="str">
        <f t="shared" si="77"/>
        <v>Complete</v>
      </c>
      <c r="BA84" s="62"/>
      <c r="BB84" s="62"/>
      <c r="BC84" s="62"/>
      <c r="BD84" s="62"/>
      <c r="BE84" s="62"/>
      <c r="BF84" s="62" t="str">
        <f t="shared" si="85"/>
        <v/>
      </c>
      <c r="BG84" s="65"/>
      <c r="BH84" s="65"/>
      <c r="BI84" s="65" t="str">
        <f t="shared" si="86"/>
        <v/>
      </c>
      <c r="BJ84" s="66"/>
      <c r="BK84" s="66"/>
      <c r="BL84" s="69"/>
      <c r="BM84" s="69"/>
    </row>
    <row r="85" spans="1:65" s="18" customFormat="1" ht="32.450000000000003" hidden="1" customHeight="1" x14ac:dyDescent="0.45">
      <c r="A85" s="59">
        <v>91</v>
      </c>
      <c r="B85" s="81" t="s">
        <v>152</v>
      </c>
      <c r="C85" s="60" t="s">
        <v>41</v>
      </c>
      <c r="D85" s="60" t="s">
        <v>39</v>
      </c>
      <c r="E85" s="60" t="s">
        <v>40</v>
      </c>
      <c r="F85" s="60" t="s">
        <v>98</v>
      </c>
      <c r="G85" s="60" t="s">
        <v>107</v>
      </c>
      <c r="H85" s="60" t="s">
        <v>301</v>
      </c>
      <c r="I85" s="60"/>
      <c r="J85" s="60" t="s">
        <v>350</v>
      </c>
      <c r="K85" s="59" t="s">
        <v>112</v>
      </c>
      <c r="L85" s="59" t="s">
        <v>123</v>
      </c>
      <c r="M85" s="59">
        <v>9</v>
      </c>
      <c r="N85" s="63">
        <v>83</v>
      </c>
      <c r="O85" s="64">
        <v>7.56447</v>
      </c>
      <c r="P85" s="64">
        <v>99.772120000000001</v>
      </c>
      <c r="Q85" s="65" t="s">
        <v>109</v>
      </c>
      <c r="R85" s="65" t="s">
        <v>109</v>
      </c>
      <c r="S85" s="62" t="str">
        <f t="shared" si="78"/>
        <v>Complete</v>
      </c>
      <c r="T85" s="62" t="s">
        <v>124</v>
      </c>
      <c r="U85" s="65" t="s">
        <v>380</v>
      </c>
      <c r="V85" s="65" t="s">
        <v>380</v>
      </c>
      <c r="W85" s="65" t="str">
        <f t="shared" si="79"/>
        <v>Complete</v>
      </c>
      <c r="X85" s="51" t="s">
        <v>448</v>
      </c>
      <c r="Y85" s="65" t="s">
        <v>414</v>
      </c>
      <c r="Z85" s="65"/>
      <c r="AA85" s="62" t="str">
        <f t="shared" si="80"/>
        <v>In progress</v>
      </c>
      <c r="AB85" s="62"/>
      <c r="AC85" s="62"/>
      <c r="AD85" s="65" t="s">
        <v>110</v>
      </c>
      <c r="AE85" s="73">
        <v>244145</v>
      </c>
      <c r="AF85" s="65" t="str">
        <f t="shared" si="81"/>
        <v>Complete</v>
      </c>
      <c r="AG85" s="73">
        <v>244206</v>
      </c>
      <c r="AH85" s="73" t="s">
        <v>399</v>
      </c>
      <c r="AI85" s="62" t="str">
        <f t="shared" si="82"/>
        <v>Complete</v>
      </c>
      <c r="AJ85" s="62" t="s">
        <v>469</v>
      </c>
      <c r="AK85" s="62"/>
      <c r="AL85" s="62" t="str">
        <f t="shared" si="83"/>
        <v>In progress</v>
      </c>
      <c r="AM85" s="62"/>
      <c r="AN85" s="62"/>
      <c r="AO85" s="62"/>
      <c r="AP85" s="62"/>
      <c r="AQ85" s="62"/>
      <c r="AR85" s="62"/>
      <c r="AS85" s="62"/>
      <c r="AT85" s="62" t="str">
        <f t="shared" si="84"/>
        <v/>
      </c>
      <c r="AU85" s="62"/>
      <c r="AV85" s="62"/>
      <c r="AW85" s="62"/>
      <c r="AX85" s="73">
        <v>244392</v>
      </c>
      <c r="AY85" s="73">
        <v>244406</v>
      </c>
      <c r="AZ85" s="99" t="str">
        <f t="shared" ref="AZ85:AZ116" si="87">IF(AY85&lt;&gt;"", "Complete", IF(AX85&lt;&gt;"", "In progress", ""))</f>
        <v>Complete</v>
      </c>
      <c r="BA85" s="62"/>
      <c r="BB85" s="62"/>
      <c r="BC85" s="62"/>
      <c r="BD85" s="62"/>
      <c r="BE85" s="62"/>
      <c r="BF85" s="62" t="str">
        <f t="shared" si="85"/>
        <v/>
      </c>
      <c r="BG85" s="65"/>
      <c r="BH85" s="65"/>
      <c r="BI85" s="65" t="str">
        <f t="shared" si="86"/>
        <v/>
      </c>
      <c r="BJ85" s="66"/>
      <c r="BK85" s="66"/>
      <c r="BL85" s="69"/>
      <c r="BM85" s="69"/>
    </row>
    <row r="86" spans="1:65" s="18" customFormat="1" ht="32.450000000000003" hidden="1" customHeight="1" x14ac:dyDescent="0.45">
      <c r="A86" s="59">
        <v>92</v>
      </c>
      <c r="B86" s="81" t="s">
        <v>172</v>
      </c>
      <c r="C86" s="60" t="s">
        <v>41</v>
      </c>
      <c r="D86" s="60" t="s">
        <v>39</v>
      </c>
      <c r="E86" s="60" t="s">
        <v>40</v>
      </c>
      <c r="F86" s="60" t="s">
        <v>98</v>
      </c>
      <c r="G86" s="60" t="s">
        <v>107</v>
      </c>
      <c r="H86" s="60" t="s">
        <v>303</v>
      </c>
      <c r="I86" s="60"/>
      <c r="J86" s="60" t="s">
        <v>351</v>
      </c>
      <c r="K86" s="59" t="s">
        <v>112</v>
      </c>
      <c r="L86" s="59" t="s">
        <v>123</v>
      </c>
      <c r="M86" s="59">
        <v>9</v>
      </c>
      <c r="N86" s="63">
        <v>55</v>
      </c>
      <c r="O86" s="64">
        <v>7.5020499999999997</v>
      </c>
      <c r="P86" s="64">
        <v>99.751189999999994</v>
      </c>
      <c r="Q86" s="65" t="s">
        <v>109</v>
      </c>
      <c r="R86" s="65" t="s">
        <v>109</v>
      </c>
      <c r="S86" s="62" t="str">
        <f t="shared" si="78"/>
        <v>Complete</v>
      </c>
      <c r="T86" s="62" t="s">
        <v>124</v>
      </c>
      <c r="U86" s="65" t="s">
        <v>380</v>
      </c>
      <c r="V86" s="65" t="s">
        <v>380</v>
      </c>
      <c r="W86" s="65" t="str">
        <f t="shared" si="79"/>
        <v>Complete</v>
      </c>
      <c r="X86" s="51" t="s">
        <v>448</v>
      </c>
      <c r="Y86" s="65" t="s">
        <v>414</v>
      </c>
      <c r="Z86" s="65"/>
      <c r="AA86" s="62" t="str">
        <f t="shared" si="80"/>
        <v>In progress</v>
      </c>
      <c r="AB86" s="62"/>
      <c r="AC86" s="62"/>
      <c r="AD86" s="65" t="s">
        <v>110</v>
      </c>
      <c r="AE86" s="73">
        <v>244145</v>
      </c>
      <c r="AF86" s="65" t="str">
        <f t="shared" si="81"/>
        <v>Complete</v>
      </c>
      <c r="AG86" s="73">
        <v>244206</v>
      </c>
      <c r="AH86" s="73" t="s">
        <v>399</v>
      </c>
      <c r="AI86" s="62" t="str">
        <f t="shared" si="82"/>
        <v>Complete</v>
      </c>
      <c r="AJ86" s="62" t="s">
        <v>469</v>
      </c>
      <c r="AK86" s="62"/>
      <c r="AL86" s="62" t="str">
        <f t="shared" si="83"/>
        <v>In progress</v>
      </c>
      <c r="AM86" s="62"/>
      <c r="AN86" s="62"/>
      <c r="AO86" s="62"/>
      <c r="AP86" s="62"/>
      <c r="AQ86" s="62"/>
      <c r="AR86" s="62"/>
      <c r="AS86" s="62"/>
      <c r="AT86" s="62" t="str">
        <f t="shared" si="84"/>
        <v/>
      </c>
      <c r="AU86" s="62"/>
      <c r="AV86" s="62"/>
      <c r="AW86" s="62"/>
      <c r="AX86" s="73">
        <v>244383</v>
      </c>
      <c r="AY86" s="73">
        <v>244410</v>
      </c>
      <c r="AZ86" s="99" t="str">
        <f t="shared" si="87"/>
        <v>Complete</v>
      </c>
      <c r="BA86" s="62"/>
      <c r="BB86" s="62"/>
      <c r="BC86" s="62"/>
      <c r="BD86" s="62"/>
      <c r="BE86" s="62"/>
      <c r="BF86" s="62" t="str">
        <f t="shared" si="85"/>
        <v/>
      </c>
      <c r="BG86" s="65"/>
      <c r="BH86" s="65"/>
      <c r="BI86" s="65" t="str">
        <f t="shared" si="86"/>
        <v/>
      </c>
      <c r="BJ86" s="66"/>
      <c r="BK86" s="66"/>
      <c r="BL86" s="69"/>
      <c r="BM86" s="69"/>
    </row>
    <row r="87" spans="1:65" s="18" customFormat="1" ht="32.450000000000003" hidden="1" customHeight="1" x14ac:dyDescent="0.45">
      <c r="A87" s="62">
        <v>94</v>
      </c>
      <c r="B87" s="81" t="s">
        <v>212</v>
      </c>
      <c r="C87" s="60" t="s">
        <v>41</v>
      </c>
      <c r="D87" s="60" t="s">
        <v>39</v>
      </c>
      <c r="E87" s="60" t="s">
        <v>40</v>
      </c>
      <c r="F87" s="60" t="s">
        <v>98</v>
      </c>
      <c r="G87" s="60" t="s">
        <v>107</v>
      </c>
      <c r="H87" s="60" t="s">
        <v>301</v>
      </c>
      <c r="I87" s="60"/>
      <c r="J87" s="60" t="s">
        <v>308</v>
      </c>
      <c r="K87" s="59" t="s">
        <v>112</v>
      </c>
      <c r="L87" s="59" t="s">
        <v>123</v>
      </c>
      <c r="M87" s="59">
        <v>9</v>
      </c>
      <c r="N87" s="63">
        <v>60</v>
      </c>
      <c r="O87" s="64">
        <v>7.53742</v>
      </c>
      <c r="P87" s="64">
        <v>99.763360000000006</v>
      </c>
      <c r="Q87" s="65" t="s">
        <v>109</v>
      </c>
      <c r="R87" s="65" t="s">
        <v>109</v>
      </c>
      <c r="S87" s="62" t="str">
        <f t="shared" si="78"/>
        <v>Complete</v>
      </c>
      <c r="T87" s="62" t="s">
        <v>124</v>
      </c>
      <c r="U87" s="65" t="s">
        <v>380</v>
      </c>
      <c r="V87" s="65" t="s">
        <v>380</v>
      </c>
      <c r="W87" s="65" t="str">
        <f t="shared" si="79"/>
        <v>Complete</v>
      </c>
      <c r="X87" s="51" t="s">
        <v>448</v>
      </c>
      <c r="Y87" s="65" t="s">
        <v>414</v>
      </c>
      <c r="Z87" s="65"/>
      <c r="AA87" s="62" t="str">
        <f t="shared" si="80"/>
        <v>In progress</v>
      </c>
      <c r="AB87" s="62"/>
      <c r="AC87" s="62"/>
      <c r="AD87" s="65" t="s">
        <v>110</v>
      </c>
      <c r="AE87" s="73">
        <v>244145</v>
      </c>
      <c r="AF87" s="65" t="str">
        <f t="shared" si="81"/>
        <v>Complete</v>
      </c>
      <c r="AG87" s="73">
        <v>244206</v>
      </c>
      <c r="AH87" s="73" t="s">
        <v>399</v>
      </c>
      <c r="AI87" s="62" t="str">
        <f t="shared" si="82"/>
        <v>Complete</v>
      </c>
      <c r="AJ87" s="62" t="s">
        <v>469</v>
      </c>
      <c r="AK87" s="62"/>
      <c r="AL87" s="62" t="str">
        <f t="shared" si="83"/>
        <v>In progress</v>
      </c>
      <c r="AM87" s="62"/>
      <c r="AN87" s="62"/>
      <c r="AO87" s="62"/>
      <c r="AP87" s="62"/>
      <c r="AQ87" s="62"/>
      <c r="AR87" s="62"/>
      <c r="AS87" s="62"/>
      <c r="AT87" s="62" t="str">
        <f t="shared" si="84"/>
        <v/>
      </c>
      <c r="AU87" s="62"/>
      <c r="AV87" s="62"/>
      <c r="AW87" s="62"/>
      <c r="AX87" s="73">
        <v>244392</v>
      </c>
      <c r="AY87" s="73">
        <v>244405</v>
      </c>
      <c r="AZ87" s="99" t="str">
        <f t="shared" si="87"/>
        <v>Complete</v>
      </c>
      <c r="BA87" s="62"/>
      <c r="BB87" s="62"/>
      <c r="BC87" s="62"/>
      <c r="BD87" s="62"/>
      <c r="BE87" s="62"/>
      <c r="BF87" s="62" t="str">
        <f t="shared" si="85"/>
        <v/>
      </c>
      <c r="BG87" s="65"/>
      <c r="BH87" s="65"/>
      <c r="BI87" s="65" t="str">
        <f t="shared" si="86"/>
        <v/>
      </c>
      <c r="BJ87" s="66"/>
      <c r="BK87" s="66"/>
      <c r="BL87" s="69"/>
      <c r="BM87" s="69"/>
    </row>
    <row r="88" spans="1:65" s="18" customFormat="1" ht="32.450000000000003" hidden="1" customHeight="1" x14ac:dyDescent="0.45">
      <c r="A88" s="62">
        <v>95</v>
      </c>
      <c r="B88" s="81" t="s">
        <v>230</v>
      </c>
      <c r="C88" s="60" t="s">
        <v>41</v>
      </c>
      <c r="D88" s="60" t="s">
        <v>39</v>
      </c>
      <c r="E88" s="60" t="s">
        <v>40</v>
      </c>
      <c r="F88" s="60" t="s">
        <v>98</v>
      </c>
      <c r="G88" s="60" t="s">
        <v>107</v>
      </c>
      <c r="H88" s="60" t="s">
        <v>306</v>
      </c>
      <c r="I88" s="60"/>
      <c r="J88" s="60" t="s">
        <v>336</v>
      </c>
      <c r="K88" s="59" t="s">
        <v>112</v>
      </c>
      <c r="L88" s="59" t="s">
        <v>123</v>
      </c>
      <c r="M88" s="59">
        <v>9</v>
      </c>
      <c r="N88" s="63">
        <v>61</v>
      </c>
      <c r="O88" s="64">
        <v>7.4976200000000004</v>
      </c>
      <c r="P88" s="64">
        <v>99.771690000000007</v>
      </c>
      <c r="Q88" s="65" t="s">
        <v>109</v>
      </c>
      <c r="R88" s="65" t="s">
        <v>109</v>
      </c>
      <c r="S88" s="62" t="str">
        <f t="shared" si="78"/>
        <v>Complete</v>
      </c>
      <c r="T88" s="62" t="s">
        <v>124</v>
      </c>
      <c r="U88" s="65" t="s">
        <v>380</v>
      </c>
      <c r="V88" s="65" t="s">
        <v>380</v>
      </c>
      <c r="W88" s="65" t="str">
        <f t="shared" si="79"/>
        <v>Complete</v>
      </c>
      <c r="X88" s="51" t="s">
        <v>448</v>
      </c>
      <c r="Y88" s="65" t="s">
        <v>414</v>
      </c>
      <c r="Z88" s="65"/>
      <c r="AA88" s="62" t="str">
        <f t="shared" si="80"/>
        <v>In progress</v>
      </c>
      <c r="AB88" s="62"/>
      <c r="AC88" s="62"/>
      <c r="AD88" s="65" t="s">
        <v>110</v>
      </c>
      <c r="AE88" s="73">
        <v>244145</v>
      </c>
      <c r="AF88" s="65" t="str">
        <f t="shared" si="81"/>
        <v>Complete</v>
      </c>
      <c r="AG88" s="73">
        <v>244206</v>
      </c>
      <c r="AH88" s="73" t="s">
        <v>399</v>
      </c>
      <c r="AI88" s="62" t="str">
        <f t="shared" si="82"/>
        <v>Complete</v>
      </c>
      <c r="AJ88" s="62" t="s">
        <v>469</v>
      </c>
      <c r="AK88" s="62"/>
      <c r="AL88" s="62" t="str">
        <f t="shared" si="83"/>
        <v>In progress</v>
      </c>
      <c r="AM88" s="62"/>
      <c r="AN88" s="62"/>
      <c r="AO88" s="62"/>
      <c r="AP88" s="62"/>
      <c r="AQ88" s="62"/>
      <c r="AR88" s="62"/>
      <c r="AS88" s="62"/>
      <c r="AT88" s="62" t="str">
        <f t="shared" si="84"/>
        <v/>
      </c>
      <c r="AU88" s="62"/>
      <c r="AV88" s="62"/>
      <c r="AW88" s="62"/>
      <c r="AX88" s="73">
        <v>244385</v>
      </c>
      <c r="AY88" s="73">
        <v>244410</v>
      </c>
      <c r="AZ88" s="99" t="str">
        <f t="shared" si="87"/>
        <v>Complete</v>
      </c>
      <c r="BA88" s="62"/>
      <c r="BB88" s="62"/>
      <c r="BC88" s="62"/>
      <c r="BD88" s="62"/>
      <c r="BE88" s="62"/>
      <c r="BF88" s="62" t="str">
        <f t="shared" si="85"/>
        <v/>
      </c>
      <c r="BG88" s="65"/>
      <c r="BH88" s="65"/>
      <c r="BI88" s="65" t="str">
        <f t="shared" si="86"/>
        <v/>
      </c>
      <c r="BJ88" s="66"/>
      <c r="BK88" s="66"/>
      <c r="BL88" s="69"/>
      <c r="BM88" s="69"/>
    </row>
    <row r="89" spans="1:65" s="18" customFormat="1" ht="32.450000000000003" hidden="1" customHeight="1" x14ac:dyDescent="0.45">
      <c r="A89" s="59">
        <v>96</v>
      </c>
      <c r="B89" s="81" t="s">
        <v>247</v>
      </c>
      <c r="C89" s="60" t="s">
        <v>41</v>
      </c>
      <c r="D89" s="60" t="s">
        <v>39</v>
      </c>
      <c r="E89" s="60" t="s">
        <v>40</v>
      </c>
      <c r="F89" s="60" t="s">
        <v>98</v>
      </c>
      <c r="G89" s="60" t="s">
        <v>107</v>
      </c>
      <c r="H89" s="60" t="s">
        <v>301</v>
      </c>
      <c r="I89" s="60"/>
      <c r="J89" s="60" t="s">
        <v>334</v>
      </c>
      <c r="K89" s="59" t="s">
        <v>112</v>
      </c>
      <c r="L89" s="59" t="s">
        <v>123</v>
      </c>
      <c r="M89" s="59">
        <v>9</v>
      </c>
      <c r="N89" s="63">
        <v>55</v>
      </c>
      <c r="O89" s="64">
        <v>7.5323000000000002</v>
      </c>
      <c r="P89" s="64">
        <v>99.754869999999997</v>
      </c>
      <c r="Q89" s="65" t="s">
        <v>109</v>
      </c>
      <c r="R89" s="65" t="s">
        <v>109</v>
      </c>
      <c r="S89" s="62" t="str">
        <f t="shared" si="78"/>
        <v>Complete</v>
      </c>
      <c r="T89" s="62" t="s">
        <v>124</v>
      </c>
      <c r="U89" s="65" t="s">
        <v>380</v>
      </c>
      <c r="V89" s="65" t="s">
        <v>380</v>
      </c>
      <c r="W89" s="65" t="str">
        <f t="shared" si="79"/>
        <v>Complete</v>
      </c>
      <c r="X89" s="51" t="s">
        <v>448</v>
      </c>
      <c r="Y89" s="65" t="s">
        <v>414</v>
      </c>
      <c r="Z89" s="65"/>
      <c r="AA89" s="62" t="str">
        <f t="shared" si="80"/>
        <v>In progress</v>
      </c>
      <c r="AB89" s="62"/>
      <c r="AC89" s="62"/>
      <c r="AD89" s="65" t="s">
        <v>110</v>
      </c>
      <c r="AE89" s="73">
        <v>244145</v>
      </c>
      <c r="AF89" s="65" t="str">
        <f t="shared" si="81"/>
        <v>Complete</v>
      </c>
      <c r="AG89" s="73">
        <v>244206</v>
      </c>
      <c r="AH89" s="73" t="s">
        <v>399</v>
      </c>
      <c r="AI89" s="62" t="str">
        <f t="shared" si="82"/>
        <v>Complete</v>
      </c>
      <c r="AJ89" s="62" t="s">
        <v>469</v>
      </c>
      <c r="AK89" s="62"/>
      <c r="AL89" s="62" t="str">
        <f t="shared" si="83"/>
        <v>In progress</v>
      </c>
      <c r="AM89" s="62"/>
      <c r="AN89" s="62"/>
      <c r="AO89" s="62"/>
      <c r="AP89" s="62"/>
      <c r="AQ89" s="62"/>
      <c r="AR89" s="62"/>
      <c r="AS89" s="62"/>
      <c r="AT89" s="62" t="str">
        <f t="shared" si="84"/>
        <v/>
      </c>
      <c r="AU89" s="62"/>
      <c r="AV89" s="62"/>
      <c r="AW89" s="62"/>
      <c r="AX89" s="73">
        <v>244385</v>
      </c>
      <c r="AY89" s="73">
        <v>244405</v>
      </c>
      <c r="AZ89" s="99" t="str">
        <f t="shared" si="87"/>
        <v>Complete</v>
      </c>
      <c r="BA89" s="62"/>
      <c r="BB89" s="62"/>
      <c r="BC89" s="62"/>
      <c r="BD89" s="62"/>
      <c r="BE89" s="62"/>
      <c r="BF89" s="62" t="str">
        <f t="shared" si="85"/>
        <v/>
      </c>
      <c r="BG89" s="65"/>
      <c r="BH89" s="65"/>
      <c r="BI89" s="65" t="str">
        <f t="shared" si="86"/>
        <v/>
      </c>
      <c r="BJ89" s="66"/>
      <c r="BK89" s="66"/>
      <c r="BL89" s="69"/>
      <c r="BM89" s="69"/>
    </row>
    <row r="90" spans="1:65" s="18" customFormat="1" ht="32.450000000000003" hidden="1" customHeight="1" x14ac:dyDescent="0.45">
      <c r="A90" s="59">
        <v>97</v>
      </c>
      <c r="B90" s="81" t="s">
        <v>258</v>
      </c>
      <c r="C90" s="60" t="s">
        <v>41</v>
      </c>
      <c r="D90" s="60" t="s">
        <v>39</v>
      </c>
      <c r="E90" s="60" t="s">
        <v>40</v>
      </c>
      <c r="F90" s="60" t="s">
        <v>98</v>
      </c>
      <c r="G90" s="60" t="s">
        <v>107</v>
      </c>
      <c r="H90" s="60" t="s">
        <v>301</v>
      </c>
      <c r="I90" s="60"/>
      <c r="J90" s="60" t="s">
        <v>353</v>
      </c>
      <c r="K90" s="59" t="s">
        <v>112</v>
      </c>
      <c r="L90" s="59" t="s">
        <v>123</v>
      </c>
      <c r="M90" s="59">
        <v>9</v>
      </c>
      <c r="N90" s="63">
        <v>59</v>
      </c>
      <c r="O90" s="64">
        <v>7.5507</v>
      </c>
      <c r="P90" s="64">
        <v>99.769220000000004</v>
      </c>
      <c r="Q90" s="65" t="s">
        <v>109</v>
      </c>
      <c r="R90" s="65" t="s">
        <v>109</v>
      </c>
      <c r="S90" s="62" t="str">
        <f t="shared" si="78"/>
        <v>Complete</v>
      </c>
      <c r="T90" s="62" t="s">
        <v>124</v>
      </c>
      <c r="U90" s="65" t="s">
        <v>380</v>
      </c>
      <c r="V90" s="65" t="s">
        <v>380</v>
      </c>
      <c r="W90" s="65" t="str">
        <f t="shared" si="79"/>
        <v>Complete</v>
      </c>
      <c r="X90" s="51" t="s">
        <v>448</v>
      </c>
      <c r="Y90" s="65" t="s">
        <v>414</v>
      </c>
      <c r="Z90" s="65"/>
      <c r="AA90" s="62" t="str">
        <f t="shared" si="80"/>
        <v>In progress</v>
      </c>
      <c r="AB90" s="62"/>
      <c r="AC90" s="62"/>
      <c r="AD90" s="65" t="s">
        <v>110</v>
      </c>
      <c r="AE90" s="73">
        <v>244145</v>
      </c>
      <c r="AF90" s="65" t="str">
        <f t="shared" si="81"/>
        <v>Complete</v>
      </c>
      <c r="AG90" s="73">
        <v>244206</v>
      </c>
      <c r="AH90" s="73" t="s">
        <v>399</v>
      </c>
      <c r="AI90" s="62" t="str">
        <f t="shared" si="82"/>
        <v>Complete</v>
      </c>
      <c r="AJ90" s="62" t="s">
        <v>469</v>
      </c>
      <c r="AK90" s="62"/>
      <c r="AL90" s="62" t="str">
        <f t="shared" si="83"/>
        <v>In progress</v>
      </c>
      <c r="AM90" s="62"/>
      <c r="AN90" s="62"/>
      <c r="AO90" s="62"/>
      <c r="AP90" s="62"/>
      <c r="AQ90" s="62"/>
      <c r="AR90" s="62"/>
      <c r="AS90" s="62"/>
      <c r="AT90" s="62" t="str">
        <f t="shared" si="84"/>
        <v/>
      </c>
      <c r="AU90" s="62"/>
      <c r="AV90" s="62"/>
      <c r="AW90" s="62"/>
      <c r="AX90" s="73">
        <v>244385</v>
      </c>
      <c r="AY90" s="73">
        <v>244406</v>
      </c>
      <c r="AZ90" s="99" t="str">
        <f t="shared" si="87"/>
        <v>Complete</v>
      </c>
      <c r="BA90" s="62"/>
      <c r="BB90" s="62"/>
      <c r="BC90" s="62"/>
      <c r="BD90" s="62"/>
      <c r="BE90" s="62"/>
      <c r="BF90" s="62" t="str">
        <f t="shared" si="85"/>
        <v/>
      </c>
      <c r="BG90" s="65"/>
      <c r="BH90" s="65"/>
      <c r="BI90" s="65" t="str">
        <f t="shared" si="86"/>
        <v/>
      </c>
      <c r="BJ90" s="66"/>
      <c r="BK90" s="66"/>
      <c r="BL90" s="69"/>
      <c r="BM90" s="69"/>
    </row>
    <row r="91" spans="1:65" s="18" customFormat="1" ht="32.450000000000003" hidden="1" customHeight="1" x14ac:dyDescent="0.45">
      <c r="A91" s="59">
        <v>98</v>
      </c>
      <c r="B91" s="81" t="s">
        <v>194</v>
      </c>
      <c r="C91" s="60" t="s">
        <v>42</v>
      </c>
      <c r="D91" s="60" t="s">
        <v>39</v>
      </c>
      <c r="E91" s="60" t="s">
        <v>40</v>
      </c>
      <c r="F91" s="60" t="s">
        <v>98</v>
      </c>
      <c r="G91" s="60" t="s">
        <v>107</v>
      </c>
      <c r="H91" s="60" t="s">
        <v>301</v>
      </c>
      <c r="I91" s="60"/>
      <c r="J91" s="60" t="s">
        <v>354</v>
      </c>
      <c r="K91" s="59" t="s">
        <v>112</v>
      </c>
      <c r="L91" s="59" t="s">
        <v>472</v>
      </c>
      <c r="M91" s="59">
        <v>30</v>
      </c>
      <c r="N91" s="63">
        <v>66</v>
      </c>
      <c r="O91" s="64">
        <v>7.61294</v>
      </c>
      <c r="P91" s="64">
        <v>99.736350000000002</v>
      </c>
      <c r="Q91" s="65" t="s">
        <v>109</v>
      </c>
      <c r="R91" s="65" t="s">
        <v>109</v>
      </c>
      <c r="S91" s="62" t="str">
        <f t="shared" si="78"/>
        <v>Complete</v>
      </c>
      <c r="T91" s="62" t="s">
        <v>124</v>
      </c>
      <c r="U91" s="65" t="s">
        <v>381</v>
      </c>
      <c r="V91" s="65" t="s">
        <v>379</v>
      </c>
      <c r="W91" s="65" t="str">
        <f t="shared" si="79"/>
        <v>Complete</v>
      </c>
      <c r="X91" s="51" t="s">
        <v>448</v>
      </c>
      <c r="Y91" s="65" t="s">
        <v>414</v>
      </c>
      <c r="Z91" s="65"/>
      <c r="AA91" s="62" t="str">
        <f t="shared" si="80"/>
        <v>In progress</v>
      </c>
      <c r="AB91" s="62"/>
      <c r="AC91" s="62"/>
      <c r="AD91" s="65" t="s">
        <v>399</v>
      </c>
      <c r="AE91" s="75" t="s">
        <v>420</v>
      </c>
      <c r="AF91" s="65" t="str">
        <f t="shared" si="81"/>
        <v>Complete</v>
      </c>
      <c r="AG91" s="62" t="s">
        <v>418</v>
      </c>
      <c r="AH91" s="62" t="s">
        <v>447</v>
      </c>
      <c r="AI91" s="62" t="str">
        <f t="shared" si="82"/>
        <v>Complete</v>
      </c>
      <c r="AJ91" s="73">
        <v>244470</v>
      </c>
      <c r="AK91" s="73">
        <v>244470</v>
      </c>
      <c r="AL91" s="62" t="str">
        <f t="shared" si="83"/>
        <v>Complete</v>
      </c>
      <c r="AM91" s="62"/>
      <c r="AN91" s="62" t="s">
        <v>450</v>
      </c>
      <c r="AO91" s="73" t="s">
        <v>453</v>
      </c>
      <c r="AP91" s="62" t="s">
        <v>450</v>
      </c>
      <c r="AQ91" s="62" t="s">
        <v>449</v>
      </c>
      <c r="AR91" s="62"/>
      <c r="AS91" s="62"/>
      <c r="AT91" s="62" t="str">
        <f t="shared" si="84"/>
        <v>Complete</v>
      </c>
      <c r="AU91" s="62"/>
      <c r="AV91" s="62"/>
      <c r="AW91" s="62"/>
      <c r="AX91" s="73">
        <v>244375</v>
      </c>
      <c r="AY91" s="73">
        <v>244390</v>
      </c>
      <c r="AZ91" s="103" t="str">
        <f t="shared" si="87"/>
        <v>Complete</v>
      </c>
      <c r="BA91" s="62"/>
      <c r="BB91" s="62"/>
      <c r="BC91" s="62"/>
      <c r="BD91" s="62"/>
      <c r="BE91" s="62"/>
      <c r="BF91" s="62" t="str">
        <f t="shared" si="85"/>
        <v/>
      </c>
      <c r="BG91" s="65"/>
      <c r="BH91" s="65"/>
      <c r="BI91" s="65" t="str">
        <f t="shared" si="86"/>
        <v/>
      </c>
      <c r="BJ91" s="66"/>
      <c r="BK91" s="66"/>
      <c r="BL91" s="69"/>
      <c r="BM91" s="55" t="s">
        <v>456</v>
      </c>
    </row>
    <row r="92" spans="1:65" s="18" customFormat="1" ht="32.450000000000003" hidden="1" customHeight="1" x14ac:dyDescent="0.45">
      <c r="A92" s="62">
        <v>99</v>
      </c>
      <c r="B92" s="81" t="s">
        <v>440</v>
      </c>
      <c r="C92" s="60" t="s">
        <v>42</v>
      </c>
      <c r="D92" s="60" t="s">
        <v>39</v>
      </c>
      <c r="E92" s="60" t="s">
        <v>40</v>
      </c>
      <c r="F92" s="60" t="s">
        <v>98</v>
      </c>
      <c r="G92" s="60" t="s">
        <v>107</v>
      </c>
      <c r="H92" s="60" t="s">
        <v>301</v>
      </c>
      <c r="I92" s="60"/>
      <c r="J92" s="60" t="s">
        <v>342</v>
      </c>
      <c r="K92" s="59" t="s">
        <v>112</v>
      </c>
      <c r="L92" s="59" t="s">
        <v>472</v>
      </c>
      <c r="M92" s="59">
        <v>30</v>
      </c>
      <c r="N92" s="63">
        <v>56</v>
      </c>
      <c r="O92" s="64">
        <v>7.5912300000000004</v>
      </c>
      <c r="P92" s="64">
        <v>99.733189999999993</v>
      </c>
      <c r="Q92" s="65" t="s">
        <v>109</v>
      </c>
      <c r="R92" s="65" t="s">
        <v>109</v>
      </c>
      <c r="S92" s="62" t="str">
        <f t="shared" si="78"/>
        <v>Complete</v>
      </c>
      <c r="T92" s="62" t="s">
        <v>124</v>
      </c>
      <c r="U92" s="65" t="s">
        <v>379</v>
      </c>
      <c r="V92" s="65" t="s">
        <v>381</v>
      </c>
      <c r="W92" s="65" t="str">
        <f t="shared" si="79"/>
        <v>Complete</v>
      </c>
      <c r="X92" s="51" t="s">
        <v>448</v>
      </c>
      <c r="Y92" s="65" t="s">
        <v>414</v>
      </c>
      <c r="Z92" s="65"/>
      <c r="AA92" s="62" t="str">
        <f t="shared" si="80"/>
        <v>In progress</v>
      </c>
      <c r="AB92" s="62"/>
      <c r="AC92" s="62"/>
      <c r="AD92" s="65" t="s">
        <v>399</v>
      </c>
      <c r="AE92" s="75" t="s">
        <v>420</v>
      </c>
      <c r="AF92" s="65" t="str">
        <f t="shared" si="81"/>
        <v>Complete</v>
      </c>
      <c r="AG92" s="62" t="s">
        <v>418</v>
      </c>
      <c r="AH92" s="62" t="s">
        <v>447</v>
      </c>
      <c r="AI92" s="62" t="str">
        <f t="shared" si="82"/>
        <v>Complete</v>
      </c>
      <c r="AJ92" s="73">
        <v>244470</v>
      </c>
      <c r="AK92" s="73">
        <v>244470</v>
      </c>
      <c r="AL92" s="62" t="str">
        <f t="shared" si="83"/>
        <v>Complete</v>
      </c>
      <c r="AM92" s="62"/>
      <c r="AN92" s="62" t="s">
        <v>450</v>
      </c>
      <c r="AO92" s="73" t="s">
        <v>453</v>
      </c>
      <c r="AP92" s="62" t="s">
        <v>450</v>
      </c>
      <c r="AQ92" s="62" t="s">
        <v>449</v>
      </c>
      <c r="AR92" s="62"/>
      <c r="AS92" s="62"/>
      <c r="AT92" s="62" t="str">
        <f t="shared" si="84"/>
        <v>Complete</v>
      </c>
      <c r="AU92" s="62"/>
      <c r="AV92" s="62"/>
      <c r="AW92" s="62"/>
      <c r="AX92" s="73">
        <v>244375</v>
      </c>
      <c r="AY92" s="73">
        <v>244390</v>
      </c>
      <c r="AZ92" s="103" t="str">
        <f t="shared" si="87"/>
        <v>Complete</v>
      </c>
      <c r="BA92" s="62"/>
      <c r="BB92" s="62"/>
      <c r="BC92" s="62"/>
      <c r="BD92" s="62"/>
      <c r="BE92" s="62"/>
      <c r="BF92" s="62" t="str">
        <f t="shared" si="85"/>
        <v/>
      </c>
      <c r="BG92" s="65"/>
      <c r="BH92" s="65"/>
      <c r="BI92" s="65" t="str">
        <f t="shared" si="86"/>
        <v/>
      </c>
      <c r="BJ92" s="66"/>
      <c r="BK92" s="66"/>
      <c r="BL92" s="69"/>
      <c r="BM92" s="55" t="s">
        <v>456</v>
      </c>
    </row>
    <row r="93" spans="1:65" s="18" customFormat="1" ht="32.450000000000003" hidden="1" customHeight="1" x14ac:dyDescent="0.45">
      <c r="A93" s="62">
        <v>100</v>
      </c>
      <c r="B93" s="81" t="s">
        <v>153</v>
      </c>
      <c r="C93" s="60" t="s">
        <v>43</v>
      </c>
      <c r="D93" s="60" t="s">
        <v>44</v>
      </c>
      <c r="E93" s="60" t="s">
        <v>40</v>
      </c>
      <c r="F93" s="60" t="s">
        <v>98</v>
      </c>
      <c r="G93" s="60" t="s">
        <v>107</v>
      </c>
      <c r="H93" s="60" t="s">
        <v>303</v>
      </c>
      <c r="I93" s="60"/>
      <c r="J93" s="60" t="s">
        <v>308</v>
      </c>
      <c r="K93" s="59" t="s">
        <v>112</v>
      </c>
      <c r="L93" s="59" t="s">
        <v>123</v>
      </c>
      <c r="M93" s="59">
        <v>9</v>
      </c>
      <c r="N93" s="63">
        <v>33</v>
      </c>
      <c r="O93" s="64">
        <v>7.4689550000000002</v>
      </c>
      <c r="P93" s="64">
        <v>99.762663000000003</v>
      </c>
      <c r="Q93" s="65" t="s">
        <v>109</v>
      </c>
      <c r="R93" s="65" t="s">
        <v>109</v>
      </c>
      <c r="S93" s="62" t="str">
        <f t="shared" si="78"/>
        <v>Complete</v>
      </c>
      <c r="T93" s="62" t="s">
        <v>124</v>
      </c>
      <c r="U93" s="65" t="s">
        <v>380</v>
      </c>
      <c r="V93" s="65" t="s">
        <v>380</v>
      </c>
      <c r="W93" s="65" t="str">
        <f t="shared" si="79"/>
        <v>Complete</v>
      </c>
      <c r="X93" s="51" t="s">
        <v>448</v>
      </c>
      <c r="Y93" s="65" t="s">
        <v>414</v>
      </c>
      <c r="Z93" s="65"/>
      <c r="AA93" s="62" t="str">
        <f t="shared" si="80"/>
        <v>In progress</v>
      </c>
      <c r="AB93" s="62"/>
      <c r="AC93" s="62"/>
      <c r="AD93" s="65" t="s">
        <v>110</v>
      </c>
      <c r="AE93" s="73">
        <v>244145</v>
      </c>
      <c r="AF93" s="65" t="str">
        <f t="shared" si="81"/>
        <v>Complete</v>
      </c>
      <c r="AG93" s="73">
        <v>244206</v>
      </c>
      <c r="AH93" s="73" t="s">
        <v>399</v>
      </c>
      <c r="AI93" s="62" t="str">
        <f t="shared" si="82"/>
        <v>Complete</v>
      </c>
      <c r="AJ93" s="62" t="s">
        <v>469</v>
      </c>
      <c r="AK93" s="62"/>
      <c r="AL93" s="62" t="str">
        <f t="shared" si="83"/>
        <v>In progress</v>
      </c>
      <c r="AM93" s="62"/>
      <c r="AN93" s="62"/>
      <c r="AO93" s="62"/>
      <c r="AP93" s="62"/>
      <c r="AQ93" s="62"/>
      <c r="AR93" s="62"/>
      <c r="AS93" s="62"/>
      <c r="AT93" s="62" t="str">
        <f t="shared" si="84"/>
        <v/>
      </c>
      <c r="AU93" s="62"/>
      <c r="AV93" s="62"/>
      <c r="AW93" s="62"/>
      <c r="AX93" s="73">
        <v>244391</v>
      </c>
      <c r="AY93" s="73">
        <v>244410</v>
      </c>
      <c r="AZ93" s="99" t="str">
        <f t="shared" si="87"/>
        <v>Complete</v>
      </c>
      <c r="BA93" s="62"/>
      <c r="BB93" s="62"/>
      <c r="BC93" s="62"/>
      <c r="BD93" s="62"/>
      <c r="BE93" s="62"/>
      <c r="BF93" s="62" t="str">
        <f t="shared" si="85"/>
        <v/>
      </c>
      <c r="BG93" s="65"/>
      <c r="BH93" s="65"/>
      <c r="BI93" s="65" t="str">
        <f t="shared" si="86"/>
        <v/>
      </c>
      <c r="BJ93" s="66"/>
      <c r="BK93" s="66"/>
      <c r="BL93" s="69"/>
      <c r="BM93" s="69"/>
    </row>
    <row r="94" spans="1:65" s="18" customFormat="1" ht="32.450000000000003" hidden="1" customHeight="1" x14ac:dyDescent="0.45">
      <c r="A94" s="59">
        <v>101</v>
      </c>
      <c r="B94" s="81" t="s">
        <v>173</v>
      </c>
      <c r="C94" s="60" t="s">
        <v>43</v>
      </c>
      <c r="D94" s="60" t="s">
        <v>44</v>
      </c>
      <c r="E94" s="60" t="s">
        <v>40</v>
      </c>
      <c r="F94" s="60" t="s">
        <v>98</v>
      </c>
      <c r="G94" s="60" t="s">
        <v>107</v>
      </c>
      <c r="H94" s="60" t="s">
        <v>301</v>
      </c>
      <c r="I94" s="60"/>
      <c r="J94" s="60" t="s">
        <v>355</v>
      </c>
      <c r="K94" s="59" t="s">
        <v>112</v>
      </c>
      <c r="L94" s="59" t="s">
        <v>123</v>
      </c>
      <c r="M94" s="59">
        <v>9</v>
      </c>
      <c r="N94" s="63">
        <v>44</v>
      </c>
      <c r="O94" s="64">
        <v>7.4763299999999999</v>
      </c>
      <c r="P94" s="64">
        <v>99.764160000000004</v>
      </c>
      <c r="Q94" s="65" t="s">
        <v>109</v>
      </c>
      <c r="R94" s="65" t="s">
        <v>109</v>
      </c>
      <c r="S94" s="62" t="str">
        <f t="shared" si="78"/>
        <v>Complete</v>
      </c>
      <c r="T94" s="62" t="s">
        <v>124</v>
      </c>
      <c r="U94" s="65" t="s">
        <v>380</v>
      </c>
      <c r="V94" s="65" t="s">
        <v>380</v>
      </c>
      <c r="W94" s="65" t="str">
        <f t="shared" si="79"/>
        <v>Complete</v>
      </c>
      <c r="X94" s="51" t="s">
        <v>448</v>
      </c>
      <c r="Y94" s="65" t="s">
        <v>414</v>
      </c>
      <c r="Z94" s="65"/>
      <c r="AA94" s="62" t="str">
        <f t="shared" si="80"/>
        <v>In progress</v>
      </c>
      <c r="AB94" s="62"/>
      <c r="AC94" s="62"/>
      <c r="AD94" s="65" t="s">
        <v>110</v>
      </c>
      <c r="AE94" s="73">
        <v>244145</v>
      </c>
      <c r="AF94" s="65" t="str">
        <f t="shared" si="81"/>
        <v>Complete</v>
      </c>
      <c r="AG94" s="73">
        <v>244206</v>
      </c>
      <c r="AH94" s="73" t="s">
        <v>399</v>
      </c>
      <c r="AI94" s="62" t="str">
        <f t="shared" si="82"/>
        <v>Complete</v>
      </c>
      <c r="AJ94" s="62" t="s">
        <v>469</v>
      </c>
      <c r="AK94" s="62"/>
      <c r="AL94" s="62" t="str">
        <f t="shared" si="83"/>
        <v>In progress</v>
      </c>
      <c r="AM94" s="62"/>
      <c r="AN94" s="62"/>
      <c r="AO94" s="62"/>
      <c r="AP94" s="62"/>
      <c r="AQ94" s="62"/>
      <c r="AR94" s="62"/>
      <c r="AS94" s="62"/>
      <c r="AT94" s="62" t="str">
        <f t="shared" si="84"/>
        <v/>
      </c>
      <c r="AU94" s="62"/>
      <c r="AV94" s="62"/>
      <c r="AW94" s="62"/>
      <c r="AX94" s="73">
        <v>244392</v>
      </c>
      <c r="AY94" s="73">
        <v>244410</v>
      </c>
      <c r="AZ94" s="99" t="str">
        <f t="shared" si="87"/>
        <v>Complete</v>
      </c>
      <c r="BA94" s="62"/>
      <c r="BB94" s="62"/>
      <c r="BC94" s="62"/>
      <c r="BD94" s="62"/>
      <c r="BE94" s="62"/>
      <c r="BF94" s="62" t="str">
        <f t="shared" si="85"/>
        <v/>
      </c>
      <c r="BG94" s="65"/>
      <c r="BH94" s="65"/>
      <c r="BI94" s="65" t="str">
        <f t="shared" si="86"/>
        <v/>
      </c>
      <c r="BJ94" s="66"/>
      <c r="BK94" s="66"/>
      <c r="BL94" s="69"/>
      <c r="BM94" s="69"/>
    </row>
    <row r="95" spans="1:65" s="18" customFormat="1" ht="32.450000000000003" hidden="1" customHeight="1" x14ac:dyDescent="0.45">
      <c r="A95" s="59">
        <v>102</v>
      </c>
      <c r="B95" s="81" t="s">
        <v>213</v>
      </c>
      <c r="C95" s="60" t="s">
        <v>43</v>
      </c>
      <c r="D95" s="60" t="s">
        <v>44</v>
      </c>
      <c r="E95" s="60" t="s">
        <v>40</v>
      </c>
      <c r="F95" s="60" t="s">
        <v>98</v>
      </c>
      <c r="G95" s="60" t="s">
        <v>107</v>
      </c>
      <c r="H95" s="60" t="s">
        <v>301</v>
      </c>
      <c r="I95" s="60"/>
      <c r="J95" s="60" t="s">
        <v>320</v>
      </c>
      <c r="K95" s="59" t="s">
        <v>112</v>
      </c>
      <c r="L95" s="59" t="s">
        <v>123</v>
      </c>
      <c r="M95" s="59">
        <v>9</v>
      </c>
      <c r="N95" s="63">
        <v>33</v>
      </c>
      <c r="O95" s="64">
        <v>7.4562499999999998</v>
      </c>
      <c r="P95" s="64">
        <v>99.786010000000005</v>
      </c>
      <c r="Q95" s="65" t="s">
        <v>109</v>
      </c>
      <c r="R95" s="65" t="s">
        <v>109</v>
      </c>
      <c r="S95" s="62" t="str">
        <f t="shared" si="78"/>
        <v>Complete</v>
      </c>
      <c r="T95" s="62" t="s">
        <v>124</v>
      </c>
      <c r="U95" s="65" t="s">
        <v>380</v>
      </c>
      <c r="V95" s="65" t="s">
        <v>380</v>
      </c>
      <c r="W95" s="65" t="str">
        <f t="shared" si="79"/>
        <v>Complete</v>
      </c>
      <c r="X95" s="51" t="s">
        <v>448</v>
      </c>
      <c r="Y95" s="65" t="s">
        <v>414</v>
      </c>
      <c r="Z95" s="65"/>
      <c r="AA95" s="62" t="str">
        <f t="shared" si="80"/>
        <v>In progress</v>
      </c>
      <c r="AB95" s="62"/>
      <c r="AC95" s="62"/>
      <c r="AD95" s="65" t="s">
        <v>110</v>
      </c>
      <c r="AE95" s="73">
        <v>244145</v>
      </c>
      <c r="AF95" s="65" t="str">
        <f t="shared" si="81"/>
        <v>Complete</v>
      </c>
      <c r="AG95" s="73">
        <v>244206</v>
      </c>
      <c r="AH95" s="73" t="s">
        <v>399</v>
      </c>
      <c r="AI95" s="62" t="str">
        <f t="shared" si="82"/>
        <v>Complete</v>
      </c>
      <c r="AJ95" s="62" t="s">
        <v>469</v>
      </c>
      <c r="AK95" s="62"/>
      <c r="AL95" s="62" t="str">
        <f t="shared" si="83"/>
        <v>In progress</v>
      </c>
      <c r="AM95" s="62"/>
      <c r="AN95" s="62"/>
      <c r="AO95" s="62"/>
      <c r="AP95" s="62"/>
      <c r="AQ95" s="62"/>
      <c r="AR95" s="62"/>
      <c r="AS95" s="62"/>
      <c r="AT95" s="62" t="str">
        <f t="shared" si="84"/>
        <v/>
      </c>
      <c r="AU95" s="62"/>
      <c r="AV95" s="62"/>
      <c r="AW95" s="62"/>
      <c r="AX95" s="73">
        <v>244392</v>
      </c>
      <c r="AY95" s="73">
        <v>244411</v>
      </c>
      <c r="AZ95" s="99" t="str">
        <f t="shared" si="87"/>
        <v>Complete</v>
      </c>
      <c r="BA95" s="62"/>
      <c r="BB95" s="62"/>
      <c r="BC95" s="62"/>
      <c r="BD95" s="62"/>
      <c r="BE95" s="62"/>
      <c r="BF95" s="62" t="str">
        <f t="shared" si="85"/>
        <v/>
      </c>
      <c r="BG95" s="65"/>
      <c r="BH95" s="65"/>
      <c r="BI95" s="65" t="str">
        <f t="shared" si="86"/>
        <v/>
      </c>
      <c r="BJ95" s="66"/>
      <c r="BK95" s="66"/>
      <c r="BL95" s="69"/>
      <c r="BM95" s="69"/>
    </row>
    <row r="96" spans="1:65" s="18" customFormat="1" ht="32.450000000000003" hidden="1" customHeight="1" x14ac:dyDescent="0.45">
      <c r="A96" s="59">
        <v>103</v>
      </c>
      <c r="B96" s="81" t="s">
        <v>441</v>
      </c>
      <c r="C96" s="60" t="s">
        <v>43</v>
      </c>
      <c r="D96" s="60" t="s">
        <v>44</v>
      </c>
      <c r="E96" s="60" t="s">
        <v>40</v>
      </c>
      <c r="F96" s="60" t="s">
        <v>98</v>
      </c>
      <c r="G96" s="60" t="s">
        <v>107</v>
      </c>
      <c r="H96" s="60" t="s">
        <v>301</v>
      </c>
      <c r="I96" s="60"/>
      <c r="J96" s="60" t="s">
        <v>356</v>
      </c>
      <c r="K96" s="59" t="s">
        <v>112</v>
      </c>
      <c r="L96" s="59" t="s">
        <v>123</v>
      </c>
      <c r="M96" s="59">
        <v>9</v>
      </c>
      <c r="N96" s="63">
        <v>46</v>
      </c>
      <c r="O96" s="64">
        <v>7.47262</v>
      </c>
      <c r="P96" s="64">
        <v>99.785420000000002</v>
      </c>
      <c r="Q96" s="65" t="s">
        <v>109</v>
      </c>
      <c r="R96" s="65" t="s">
        <v>109</v>
      </c>
      <c r="S96" s="62" t="str">
        <f t="shared" si="78"/>
        <v>Complete</v>
      </c>
      <c r="T96" s="62" t="s">
        <v>124</v>
      </c>
      <c r="U96" s="65" t="s">
        <v>380</v>
      </c>
      <c r="V96" s="65" t="s">
        <v>380</v>
      </c>
      <c r="W96" s="65" t="str">
        <f t="shared" si="79"/>
        <v>Complete</v>
      </c>
      <c r="X96" s="51" t="s">
        <v>448</v>
      </c>
      <c r="Y96" s="65" t="s">
        <v>414</v>
      </c>
      <c r="Z96" s="65"/>
      <c r="AA96" s="62" t="str">
        <f t="shared" si="80"/>
        <v>In progress</v>
      </c>
      <c r="AB96" s="62"/>
      <c r="AC96" s="62"/>
      <c r="AD96" s="65" t="s">
        <v>110</v>
      </c>
      <c r="AE96" s="73">
        <v>244145</v>
      </c>
      <c r="AF96" s="65" t="str">
        <f t="shared" si="81"/>
        <v>Complete</v>
      </c>
      <c r="AG96" s="73">
        <v>244206</v>
      </c>
      <c r="AH96" s="73" t="s">
        <v>399</v>
      </c>
      <c r="AI96" s="62" t="str">
        <f t="shared" si="82"/>
        <v>Complete</v>
      </c>
      <c r="AJ96" s="62" t="s">
        <v>469</v>
      </c>
      <c r="AK96" s="62"/>
      <c r="AL96" s="62" t="str">
        <f t="shared" si="83"/>
        <v>In progress</v>
      </c>
      <c r="AM96" s="62"/>
      <c r="AN96" s="62"/>
      <c r="AO96" s="62"/>
      <c r="AP96" s="62"/>
      <c r="AQ96" s="62"/>
      <c r="AR96" s="62"/>
      <c r="AS96" s="62"/>
      <c r="AT96" s="62" t="str">
        <f t="shared" si="84"/>
        <v/>
      </c>
      <c r="AU96" s="62"/>
      <c r="AV96" s="62"/>
      <c r="AW96" s="62"/>
      <c r="AX96" s="73">
        <v>244392</v>
      </c>
      <c r="AY96" s="73">
        <v>244411</v>
      </c>
      <c r="AZ96" s="99" t="str">
        <f t="shared" si="87"/>
        <v>Complete</v>
      </c>
      <c r="BA96" s="62"/>
      <c r="BB96" s="62"/>
      <c r="BC96" s="62"/>
      <c r="BD96" s="62"/>
      <c r="BE96" s="62"/>
      <c r="BF96" s="62" t="str">
        <f t="shared" si="85"/>
        <v/>
      </c>
      <c r="BG96" s="65"/>
      <c r="BH96" s="65"/>
      <c r="BI96" s="65" t="str">
        <f t="shared" si="86"/>
        <v/>
      </c>
      <c r="BJ96" s="66"/>
      <c r="BK96" s="66"/>
      <c r="BL96" s="69"/>
      <c r="BM96" s="69"/>
    </row>
    <row r="97" spans="1:65" s="18" customFormat="1" ht="32.450000000000003" hidden="1" customHeight="1" x14ac:dyDescent="0.45">
      <c r="A97" s="62">
        <v>104</v>
      </c>
      <c r="B97" s="81" t="s">
        <v>284</v>
      </c>
      <c r="C97" s="60" t="s">
        <v>43</v>
      </c>
      <c r="D97" s="60" t="s">
        <v>44</v>
      </c>
      <c r="E97" s="60" t="s">
        <v>40</v>
      </c>
      <c r="F97" s="60" t="s">
        <v>98</v>
      </c>
      <c r="G97" s="60" t="s">
        <v>107</v>
      </c>
      <c r="H97" s="60" t="s">
        <v>303</v>
      </c>
      <c r="I97" s="60"/>
      <c r="J97" s="60" t="s">
        <v>357</v>
      </c>
      <c r="K97" s="59" t="s">
        <v>112</v>
      </c>
      <c r="L97" s="59" t="s">
        <v>123</v>
      </c>
      <c r="M97" s="59">
        <v>9</v>
      </c>
      <c r="N97" s="63">
        <v>47</v>
      </c>
      <c r="O97" s="64">
        <v>7.4784300000000004</v>
      </c>
      <c r="P97" s="64">
        <v>99.753619999999998</v>
      </c>
      <c r="Q97" s="65" t="s">
        <v>109</v>
      </c>
      <c r="R97" s="65" t="s">
        <v>109</v>
      </c>
      <c r="S97" s="62" t="str">
        <f t="shared" si="78"/>
        <v>Complete</v>
      </c>
      <c r="T97" s="62" t="s">
        <v>124</v>
      </c>
      <c r="U97" s="65" t="s">
        <v>380</v>
      </c>
      <c r="V97" s="65" t="s">
        <v>380</v>
      </c>
      <c r="W97" s="65" t="str">
        <f t="shared" si="79"/>
        <v>Complete</v>
      </c>
      <c r="X97" s="51" t="s">
        <v>448</v>
      </c>
      <c r="Y97" s="65" t="s">
        <v>414</v>
      </c>
      <c r="Z97" s="65"/>
      <c r="AA97" s="62" t="str">
        <f t="shared" si="80"/>
        <v>In progress</v>
      </c>
      <c r="AB97" s="62"/>
      <c r="AC97" s="62"/>
      <c r="AD97" s="65" t="s">
        <v>110</v>
      </c>
      <c r="AE97" s="73">
        <v>244145</v>
      </c>
      <c r="AF97" s="65" t="str">
        <f t="shared" si="81"/>
        <v>Complete</v>
      </c>
      <c r="AG97" s="73">
        <v>244206</v>
      </c>
      <c r="AH97" s="73" t="s">
        <v>399</v>
      </c>
      <c r="AI97" s="62" t="str">
        <f t="shared" si="82"/>
        <v>Complete</v>
      </c>
      <c r="AJ97" s="62" t="s">
        <v>469</v>
      </c>
      <c r="AK97" s="62"/>
      <c r="AL97" s="62" t="str">
        <f t="shared" si="83"/>
        <v>In progress</v>
      </c>
      <c r="AM97" s="62"/>
      <c r="AN97" s="62"/>
      <c r="AO97" s="62"/>
      <c r="AP97" s="62"/>
      <c r="AQ97" s="62"/>
      <c r="AR97" s="62"/>
      <c r="AS97" s="62"/>
      <c r="AT97" s="62" t="str">
        <f t="shared" si="84"/>
        <v/>
      </c>
      <c r="AU97" s="62"/>
      <c r="AV97" s="62"/>
      <c r="AW97" s="62"/>
      <c r="AX97" s="73">
        <v>244391</v>
      </c>
      <c r="AY97" s="73">
        <v>244411</v>
      </c>
      <c r="AZ97" s="99" t="str">
        <f t="shared" si="87"/>
        <v>Complete</v>
      </c>
      <c r="BA97" s="62"/>
      <c r="BB97" s="62"/>
      <c r="BC97" s="62"/>
      <c r="BD97" s="62"/>
      <c r="BE97" s="62"/>
      <c r="BF97" s="62" t="str">
        <f t="shared" si="85"/>
        <v/>
      </c>
      <c r="BG97" s="65"/>
      <c r="BH97" s="65"/>
      <c r="BI97" s="65" t="str">
        <f t="shared" si="86"/>
        <v/>
      </c>
      <c r="BJ97" s="66"/>
      <c r="BK97" s="66"/>
      <c r="BL97" s="69"/>
      <c r="BM97" s="69"/>
    </row>
    <row r="98" spans="1:65" s="18" customFormat="1" ht="32.450000000000003" hidden="1" customHeight="1" x14ac:dyDescent="0.45">
      <c r="A98" s="62">
        <v>105</v>
      </c>
      <c r="B98" s="81" t="s">
        <v>154</v>
      </c>
      <c r="C98" s="60" t="s">
        <v>45</v>
      </c>
      <c r="D98" s="60" t="s">
        <v>44</v>
      </c>
      <c r="E98" s="60" t="s">
        <v>40</v>
      </c>
      <c r="F98" s="60" t="s">
        <v>98</v>
      </c>
      <c r="G98" s="60" t="s">
        <v>107</v>
      </c>
      <c r="H98" s="60" t="s">
        <v>301</v>
      </c>
      <c r="I98" s="60"/>
      <c r="J98" s="60" t="s">
        <v>355</v>
      </c>
      <c r="K98" s="59" t="s">
        <v>112</v>
      </c>
      <c r="L98" s="59" t="s">
        <v>123</v>
      </c>
      <c r="M98" s="59">
        <v>9</v>
      </c>
      <c r="N98" s="63">
        <v>32</v>
      </c>
      <c r="O98" s="64">
        <v>7.4394450000000001</v>
      </c>
      <c r="P98" s="64">
        <v>99.790953999999999</v>
      </c>
      <c r="Q98" s="65" t="s">
        <v>109</v>
      </c>
      <c r="R98" s="65" t="s">
        <v>109</v>
      </c>
      <c r="S98" s="62" t="str">
        <f t="shared" si="78"/>
        <v>Complete</v>
      </c>
      <c r="T98" s="62" t="s">
        <v>124</v>
      </c>
      <c r="U98" s="65" t="s">
        <v>380</v>
      </c>
      <c r="V98" s="65" t="s">
        <v>380</v>
      </c>
      <c r="W98" s="65" t="str">
        <f t="shared" si="79"/>
        <v>Complete</v>
      </c>
      <c r="X98" s="51" t="s">
        <v>448</v>
      </c>
      <c r="Y98" s="65" t="s">
        <v>414</v>
      </c>
      <c r="Z98" s="65"/>
      <c r="AA98" s="62" t="str">
        <f t="shared" si="80"/>
        <v>In progress</v>
      </c>
      <c r="AB98" s="62"/>
      <c r="AC98" s="62"/>
      <c r="AD98" s="65" t="s">
        <v>110</v>
      </c>
      <c r="AE98" s="73">
        <v>244145</v>
      </c>
      <c r="AF98" s="65" t="str">
        <f t="shared" si="81"/>
        <v>Complete</v>
      </c>
      <c r="AG98" s="73">
        <v>244206</v>
      </c>
      <c r="AH98" s="73" t="s">
        <v>399</v>
      </c>
      <c r="AI98" s="62" t="str">
        <f t="shared" si="82"/>
        <v>Complete</v>
      </c>
      <c r="AJ98" s="62" t="s">
        <v>469</v>
      </c>
      <c r="AK98" s="62"/>
      <c r="AL98" s="62" t="str">
        <f t="shared" si="83"/>
        <v>In progress</v>
      </c>
      <c r="AM98" s="62"/>
      <c r="AN98" s="62"/>
      <c r="AO98" s="62"/>
      <c r="AP98" s="62"/>
      <c r="AQ98" s="62"/>
      <c r="AR98" s="62"/>
      <c r="AS98" s="62"/>
      <c r="AT98" s="62" t="str">
        <f t="shared" si="84"/>
        <v/>
      </c>
      <c r="AU98" s="62"/>
      <c r="AV98" s="62"/>
      <c r="AW98" s="62"/>
      <c r="AX98" s="73">
        <v>244392</v>
      </c>
      <c r="AY98" s="73">
        <v>244411</v>
      </c>
      <c r="AZ98" s="99" t="str">
        <f t="shared" si="87"/>
        <v>Complete</v>
      </c>
      <c r="BA98" s="62"/>
      <c r="BB98" s="62"/>
      <c r="BC98" s="62"/>
      <c r="BD98" s="62"/>
      <c r="BE98" s="62"/>
      <c r="BF98" s="62" t="str">
        <f t="shared" si="85"/>
        <v/>
      </c>
      <c r="BG98" s="65"/>
      <c r="BH98" s="65"/>
      <c r="BI98" s="65" t="str">
        <f t="shared" si="86"/>
        <v/>
      </c>
      <c r="BJ98" s="66"/>
      <c r="BK98" s="66"/>
      <c r="BL98" s="69"/>
      <c r="BM98" s="69"/>
    </row>
    <row r="99" spans="1:65" s="18" customFormat="1" ht="32.450000000000003" hidden="1" customHeight="1" x14ac:dyDescent="0.45">
      <c r="A99" s="59">
        <v>106</v>
      </c>
      <c r="B99" s="81" t="s">
        <v>259</v>
      </c>
      <c r="C99" s="60" t="s">
        <v>45</v>
      </c>
      <c r="D99" s="60" t="s">
        <v>44</v>
      </c>
      <c r="E99" s="60" t="s">
        <v>40</v>
      </c>
      <c r="F99" s="60" t="s">
        <v>98</v>
      </c>
      <c r="G99" s="60" t="s">
        <v>107</v>
      </c>
      <c r="H99" s="60" t="s">
        <v>303</v>
      </c>
      <c r="I99" s="60"/>
      <c r="J99" s="60" t="s">
        <v>308</v>
      </c>
      <c r="K99" s="59" t="s">
        <v>112</v>
      </c>
      <c r="L99" s="59" t="s">
        <v>472</v>
      </c>
      <c r="M99" s="59">
        <v>18</v>
      </c>
      <c r="N99" s="63">
        <v>35</v>
      </c>
      <c r="O99" s="64">
        <v>7.4383689999999998</v>
      </c>
      <c r="P99" s="64">
        <v>99.768197999999998</v>
      </c>
      <c r="Q99" s="65" t="s">
        <v>109</v>
      </c>
      <c r="R99" s="65" t="s">
        <v>109</v>
      </c>
      <c r="S99" s="62" t="str">
        <f t="shared" si="78"/>
        <v>Complete</v>
      </c>
      <c r="T99" s="62" t="s">
        <v>124</v>
      </c>
      <c r="U99" s="65" t="s">
        <v>380</v>
      </c>
      <c r="V99" s="65" t="s">
        <v>379</v>
      </c>
      <c r="W99" s="65" t="str">
        <f t="shared" si="79"/>
        <v>Complete</v>
      </c>
      <c r="X99" s="51" t="s">
        <v>448</v>
      </c>
      <c r="Y99" s="65" t="s">
        <v>414</v>
      </c>
      <c r="Z99" s="65"/>
      <c r="AA99" s="62" t="str">
        <f t="shared" si="80"/>
        <v>In progress</v>
      </c>
      <c r="AB99" s="62"/>
      <c r="AC99" s="62"/>
      <c r="AD99" s="65" t="s">
        <v>399</v>
      </c>
      <c r="AE99" s="75" t="s">
        <v>420</v>
      </c>
      <c r="AF99" s="65" t="str">
        <f t="shared" si="81"/>
        <v>Complete</v>
      </c>
      <c r="AG99" s="62" t="s">
        <v>418</v>
      </c>
      <c r="AH99" s="62" t="s">
        <v>447</v>
      </c>
      <c r="AI99" s="62" t="str">
        <f t="shared" si="82"/>
        <v>Complete</v>
      </c>
      <c r="AJ99" s="73">
        <v>244470</v>
      </c>
      <c r="AK99" s="73">
        <v>244470</v>
      </c>
      <c r="AL99" s="62" t="str">
        <f t="shared" si="83"/>
        <v>Complete</v>
      </c>
      <c r="AM99" s="62"/>
      <c r="AN99" s="62" t="s">
        <v>450</v>
      </c>
      <c r="AO99" s="73" t="s">
        <v>453</v>
      </c>
      <c r="AP99" s="62" t="s">
        <v>449</v>
      </c>
      <c r="AQ99" s="62"/>
      <c r="AR99" s="62"/>
      <c r="AS99" s="62"/>
      <c r="AT99" s="62" t="str">
        <f t="shared" si="84"/>
        <v>In progress</v>
      </c>
      <c r="AU99" s="62"/>
      <c r="AV99" s="62"/>
      <c r="AW99" s="62"/>
      <c r="AX99" s="73">
        <v>244378</v>
      </c>
      <c r="AY99" s="73">
        <v>244390</v>
      </c>
      <c r="AZ99" s="103" t="str">
        <f t="shared" si="87"/>
        <v>Complete</v>
      </c>
      <c r="BA99" s="62"/>
      <c r="BB99" s="62"/>
      <c r="BC99" s="62"/>
      <c r="BD99" s="62"/>
      <c r="BE99" s="62"/>
      <c r="BF99" s="62" t="str">
        <f t="shared" si="85"/>
        <v/>
      </c>
      <c r="BG99" s="65"/>
      <c r="BH99" s="65"/>
      <c r="BI99" s="65" t="str">
        <f t="shared" si="86"/>
        <v/>
      </c>
      <c r="BJ99" s="66"/>
      <c r="BK99" s="66"/>
      <c r="BL99" s="69"/>
      <c r="BM99" s="55" t="s">
        <v>456</v>
      </c>
    </row>
    <row r="100" spans="1:65" s="18" customFormat="1" ht="32.450000000000003" hidden="1" customHeight="1" x14ac:dyDescent="0.45">
      <c r="A100" s="59">
        <v>107</v>
      </c>
      <c r="B100" s="81" t="s">
        <v>155</v>
      </c>
      <c r="C100" s="60" t="s">
        <v>46</v>
      </c>
      <c r="D100" s="60" t="s">
        <v>47</v>
      </c>
      <c r="E100" s="60" t="s">
        <v>48</v>
      </c>
      <c r="F100" s="60" t="s">
        <v>99</v>
      </c>
      <c r="G100" s="60" t="s">
        <v>104</v>
      </c>
      <c r="H100" s="60" t="s">
        <v>301</v>
      </c>
      <c r="I100" s="60"/>
      <c r="J100" s="60" t="s">
        <v>342</v>
      </c>
      <c r="K100" s="62" t="s">
        <v>113</v>
      </c>
      <c r="L100" s="59" t="s">
        <v>123</v>
      </c>
      <c r="M100" s="62">
        <v>9</v>
      </c>
      <c r="N100" s="63">
        <v>435</v>
      </c>
      <c r="O100" s="64">
        <v>14.513408</v>
      </c>
      <c r="P100" s="64">
        <v>101.744613</v>
      </c>
      <c r="Q100" s="65" t="s">
        <v>110</v>
      </c>
      <c r="R100" s="65" t="s">
        <v>108</v>
      </c>
      <c r="S100" s="62" t="str">
        <f t="shared" si="78"/>
        <v>Complete</v>
      </c>
      <c r="T100" s="62" t="s">
        <v>124</v>
      </c>
      <c r="U100" s="65" t="s">
        <v>380</v>
      </c>
      <c r="V100" s="65" t="s">
        <v>380</v>
      </c>
      <c r="W100" s="65" t="str">
        <f t="shared" si="79"/>
        <v>Complete</v>
      </c>
      <c r="X100" s="51" t="s">
        <v>448</v>
      </c>
      <c r="Y100" s="65" t="s">
        <v>413</v>
      </c>
      <c r="Z100" s="65"/>
      <c r="AA100" s="62" t="str">
        <f t="shared" si="80"/>
        <v>In progress</v>
      </c>
      <c r="AB100" s="62"/>
      <c r="AC100" s="62"/>
      <c r="AD100" s="65" t="s">
        <v>110</v>
      </c>
      <c r="AE100" s="73">
        <v>244145</v>
      </c>
      <c r="AF100" s="65" t="str">
        <f t="shared" si="81"/>
        <v>Complete</v>
      </c>
      <c r="AG100" s="73">
        <v>244206</v>
      </c>
      <c r="AH100" s="73" t="s">
        <v>399</v>
      </c>
      <c r="AI100" s="62" t="str">
        <f t="shared" si="82"/>
        <v>Complete</v>
      </c>
      <c r="AJ100" s="62" t="s">
        <v>469</v>
      </c>
      <c r="AK100" s="62"/>
      <c r="AL100" s="62" t="str">
        <f t="shared" si="83"/>
        <v>In progress</v>
      </c>
      <c r="AM100" s="62"/>
      <c r="AN100" s="62"/>
      <c r="AO100" s="62"/>
      <c r="AP100" s="62"/>
      <c r="AQ100" s="62"/>
      <c r="AR100" s="62"/>
      <c r="AS100" s="62"/>
      <c r="AT100" s="62" t="str">
        <f t="shared" si="84"/>
        <v/>
      </c>
      <c r="AU100" s="62"/>
      <c r="AV100" s="62"/>
      <c r="AW100" s="62"/>
      <c r="AX100" s="73">
        <v>244373</v>
      </c>
      <c r="AY100" s="73">
        <v>244406</v>
      </c>
      <c r="AZ100" s="99" t="str">
        <f t="shared" si="87"/>
        <v>Complete</v>
      </c>
      <c r="BA100" s="62"/>
      <c r="BB100" s="62"/>
      <c r="BC100" s="62"/>
      <c r="BD100" s="62"/>
      <c r="BE100" s="62"/>
      <c r="BF100" s="62" t="str">
        <f t="shared" si="85"/>
        <v/>
      </c>
      <c r="BG100" s="65"/>
      <c r="BH100" s="65"/>
      <c r="BI100" s="65" t="str">
        <f t="shared" si="86"/>
        <v/>
      </c>
      <c r="BJ100" s="66"/>
      <c r="BK100" s="66"/>
      <c r="BL100" s="69"/>
      <c r="BM100" s="69"/>
    </row>
    <row r="101" spans="1:65" s="18" customFormat="1" ht="32.450000000000003" hidden="1" customHeight="1" x14ac:dyDescent="0.45">
      <c r="A101" s="59">
        <v>108</v>
      </c>
      <c r="B101" s="81" t="s">
        <v>296</v>
      </c>
      <c r="C101" s="60" t="s">
        <v>46</v>
      </c>
      <c r="D101" s="60" t="s">
        <v>47</v>
      </c>
      <c r="E101" s="60" t="s">
        <v>48</v>
      </c>
      <c r="F101" s="60" t="s">
        <v>99</v>
      </c>
      <c r="G101" s="60" t="s">
        <v>104</v>
      </c>
      <c r="H101" s="60" t="s">
        <v>301</v>
      </c>
      <c r="I101" s="60"/>
      <c r="J101" s="60" t="s">
        <v>317</v>
      </c>
      <c r="K101" s="62" t="s">
        <v>113</v>
      </c>
      <c r="L101" s="59" t="s">
        <v>123</v>
      </c>
      <c r="M101" s="62">
        <v>9</v>
      </c>
      <c r="N101" s="63">
        <v>410</v>
      </c>
      <c r="O101" s="64">
        <v>14.511321000000001</v>
      </c>
      <c r="P101" s="64">
        <v>101.700489</v>
      </c>
      <c r="Q101" s="65" t="s">
        <v>110</v>
      </c>
      <c r="R101" s="65" t="s">
        <v>109</v>
      </c>
      <c r="S101" s="62" t="str">
        <f t="shared" si="78"/>
        <v>Complete</v>
      </c>
      <c r="T101" s="62" t="s">
        <v>124</v>
      </c>
      <c r="U101" s="65" t="s">
        <v>380</v>
      </c>
      <c r="V101" s="65" t="s">
        <v>380</v>
      </c>
      <c r="W101" s="65" t="str">
        <f t="shared" si="79"/>
        <v>Complete</v>
      </c>
      <c r="X101" s="51" t="s">
        <v>448</v>
      </c>
      <c r="Y101" s="65" t="s">
        <v>414</v>
      </c>
      <c r="Z101" s="65"/>
      <c r="AA101" s="62" t="str">
        <f t="shared" si="80"/>
        <v>In progress</v>
      </c>
      <c r="AB101" s="62"/>
      <c r="AC101" s="62"/>
      <c r="AD101" s="65" t="s">
        <v>110</v>
      </c>
      <c r="AE101" s="73">
        <v>244145</v>
      </c>
      <c r="AF101" s="65" t="str">
        <f t="shared" si="81"/>
        <v>Complete</v>
      </c>
      <c r="AG101" s="73">
        <v>244206</v>
      </c>
      <c r="AH101" s="73" t="s">
        <v>399</v>
      </c>
      <c r="AI101" s="62" t="str">
        <f t="shared" si="82"/>
        <v>Complete</v>
      </c>
      <c r="AJ101" s="62" t="s">
        <v>469</v>
      </c>
      <c r="AK101" s="62"/>
      <c r="AL101" s="62" t="str">
        <f t="shared" si="83"/>
        <v>In progress</v>
      </c>
      <c r="AM101" s="62"/>
      <c r="AN101" s="62"/>
      <c r="AO101" s="62"/>
      <c r="AP101" s="62"/>
      <c r="AQ101" s="62"/>
      <c r="AR101" s="62"/>
      <c r="AS101" s="62"/>
      <c r="AT101" s="62" t="str">
        <f t="shared" si="84"/>
        <v/>
      </c>
      <c r="AU101" s="62"/>
      <c r="AV101" s="62"/>
      <c r="AW101" s="62"/>
      <c r="AX101" s="73">
        <v>244376</v>
      </c>
      <c r="AY101" s="73">
        <v>244417</v>
      </c>
      <c r="AZ101" s="99" t="str">
        <f t="shared" si="87"/>
        <v>Complete</v>
      </c>
      <c r="BA101" s="62"/>
      <c r="BB101" s="62"/>
      <c r="BC101" s="62"/>
      <c r="BD101" s="62"/>
      <c r="BE101" s="62"/>
      <c r="BF101" s="62" t="str">
        <f t="shared" si="85"/>
        <v/>
      </c>
      <c r="BG101" s="65"/>
      <c r="BH101" s="65"/>
      <c r="BI101" s="65" t="str">
        <f t="shared" si="86"/>
        <v/>
      </c>
      <c r="BJ101" s="66"/>
      <c r="BK101" s="66"/>
      <c r="BL101" s="69"/>
      <c r="BM101" s="69"/>
    </row>
    <row r="102" spans="1:65" s="18" customFormat="1" ht="32.450000000000003" hidden="1" customHeight="1" x14ac:dyDescent="0.45">
      <c r="A102" s="62">
        <v>109</v>
      </c>
      <c r="B102" s="81" t="s">
        <v>214</v>
      </c>
      <c r="C102" s="60" t="s">
        <v>46</v>
      </c>
      <c r="D102" s="60" t="s">
        <v>47</v>
      </c>
      <c r="E102" s="60" t="s">
        <v>48</v>
      </c>
      <c r="F102" s="60" t="s">
        <v>99</v>
      </c>
      <c r="G102" s="60" t="s">
        <v>104</v>
      </c>
      <c r="H102" s="60" t="s">
        <v>301</v>
      </c>
      <c r="I102" s="60"/>
      <c r="J102" s="60" t="s">
        <v>358</v>
      </c>
      <c r="K102" s="62" t="s">
        <v>113</v>
      </c>
      <c r="L102" s="59" t="s">
        <v>123</v>
      </c>
      <c r="M102" s="62">
        <v>9</v>
      </c>
      <c r="N102" s="63">
        <v>423</v>
      </c>
      <c r="O102" s="64">
        <v>14.465514000000001</v>
      </c>
      <c r="P102" s="64">
        <v>101.715653</v>
      </c>
      <c r="Q102" s="65" t="s">
        <v>110</v>
      </c>
      <c r="R102" s="65" t="s">
        <v>377</v>
      </c>
      <c r="S102" s="62" t="str">
        <f t="shared" si="78"/>
        <v>Complete</v>
      </c>
      <c r="T102" s="62" t="s">
        <v>124</v>
      </c>
      <c r="U102" s="65" t="s">
        <v>380</v>
      </c>
      <c r="V102" s="65" t="s">
        <v>380</v>
      </c>
      <c r="W102" s="65" t="str">
        <f t="shared" si="79"/>
        <v>Complete</v>
      </c>
      <c r="X102" s="51" t="s">
        <v>448</v>
      </c>
      <c r="Y102" s="65" t="s">
        <v>415</v>
      </c>
      <c r="Z102" s="65"/>
      <c r="AA102" s="62" t="str">
        <f t="shared" si="80"/>
        <v>In progress</v>
      </c>
      <c r="AB102" s="62"/>
      <c r="AC102" s="62"/>
      <c r="AD102" s="65" t="s">
        <v>110</v>
      </c>
      <c r="AE102" s="73">
        <v>244145</v>
      </c>
      <c r="AF102" s="65" t="str">
        <f t="shared" si="81"/>
        <v>Complete</v>
      </c>
      <c r="AG102" s="73">
        <v>244206</v>
      </c>
      <c r="AH102" s="73" t="s">
        <v>399</v>
      </c>
      <c r="AI102" s="62" t="str">
        <f t="shared" si="82"/>
        <v>Complete</v>
      </c>
      <c r="AJ102" s="62" t="s">
        <v>469</v>
      </c>
      <c r="AK102" s="62"/>
      <c r="AL102" s="62" t="str">
        <f t="shared" si="83"/>
        <v>In progress</v>
      </c>
      <c r="AM102" s="62"/>
      <c r="AN102" s="62"/>
      <c r="AO102" s="62"/>
      <c r="AP102" s="62"/>
      <c r="AQ102" s="62"/>
      <c r="AR102" s="62"/>
      <c r="AS102" s="62"/>
      <c r="AT102" s="62" t="str">
        <f t="shared" si="84"/>
        <v/>
      </c>
      <c r="AU102" s="62"/>
      <c r="AV102" s="62"/>
      <c r="AW102" s="62"/>
      <c r="AX102" s="73">
        <v>244373</v>
      </c>
      <c r="AY102" s="73">
        <v>244407</v>
      </c>
      <c r="AZ102" s="99" t="str">
        <f t="shared" si="87"/>
        <v>Complete</v>
      </c>
      <c r="BA102" s="62"/>
      <c r="BB102" s="62"/>
      <c r="BC102" s="62"/>
      <c r="BD102" s="62"/>
      <c r="BE102" s="62"/>
      <c r="BF102" s="62" t="str">
        <f t="shared" si="85"/>
        <v/>
      </c>
      <c r="BG102" s="65"/>
      <c r="BH102" s="65"/>
      <c r="BI102" s="65" t="str">
        <f t="shared" si="86"/>
        <v/>
      </c>
      <c r="BJ102" s="66"/>
      <c r="BK102" s="66"/>
      <c r="BL102" s="69"/>
      <c r="BM102" s="69"/>
    </row>
    <row r="103" spans="1:65" s="18" customFormat="1" ht="32.450000000000003" hidden="1" customHeight="1" x14ac:dyDescent="0.45">
      <c r="A103" s="62">
        <v>110</v>
      </c>
      <c r="B103" s="81" t="s">
        <v>260</v>
      </c>
      <c r="C103" s="60" t="s">
        <v>46</v>
      </c>
      <c r="D103" s="60" t="s">
        <v>47</v>
      </c>
      <c r="E103" s="60" t="s">
        <v>48</v>
      </c>
      <c r="F103" s="60" t="s">
        <v>99</v>
      </c>
      <c r="G103" s="60" t="s">
        <v>104</v>
      </c>
      <c r="H103" s="60" t="s">
        <v>301</v>
      </c>
      <c r="I103" s="60"/>
      <c r="J103" s="60" t="s">
        <v>359</v>
      </c>
      <c r="K103" s="62" t="s">
        <v>113</v>
      </c>
      <c r="L103" s="59" t="s">
        <v>123</v>
      </c>
      <c r="M103" s="62">
        <v>9</v>
      </c>
      <c r="N103" s="63">
        <v>420</v>
      </c>
      <c r="O103" s="64">
        <v>14.481259</v>
      </c>
      <c r="P103" s="64">
        <v>101.692218</v>
      </c>
      <c r="Q103" s="65" t="s">
        <v>110</v>
      </c>
      <c r="R103" s="65" t="s">
        <v>377</v>
      </c>
      <c r="S103" s="62" t="str">
        <f t="shared" si="78"/>
        <v>Complete</v>
      </c>
      <c r="T103" s="62" t="s">
        <v>124</v>
      </c>
      <c r="U103" s="65" t="s">
        <v>380</v>
      </c>
      <c r="V103" s="65" t="s">
        <v>380</v>
      </c>
      <c r="W103" s="65" t="str">
        <f t="shared" si="79"/>
        <v>Complete</v>
      </c>
      <c r="X103" s="51" t="s">
        <v>448</v>
      </c>
      <c r="Y103" s="65" t="s">
        <v>415</v>
      </c>
      <c r="Z103" s="65"/>
      <c r="AA103" s="62" t="str">
        <f t="shared" si="80"/>
        <v>In progress</v>
      </c>
      <c r="AB103" s="62"/>
      <c r="AC103" s="62"/>
      <c r="AD103" s="65" t="s">
        <v>110</v>
      </c>
      <c r="AE103" s="73">
        <v>244145</v>
      </c>
      <c r="AF103" s="65" t="str">
        <f t="shared" si="81"/>
        <v>Complete</v>
      </c>
      <c r="AG103" s="73">
        <v>244206</v>
      </c>
      <c r="AH103" s="73" t="s">
        <v>399</v>
      </c>
      <c r="AI103" s="62" t="str">
        <f t="shared" si="82"/>
        <v>Complete</v>
      </c>
      <c r="AJ103" s="62" t="s">
        <v>469</v>
      </c>
      <c r="AK103" s="62"/>
      <c r="AL103" s="62" t="str">
        <f t="shared" si="83"/>
        <v>In progress</v>
      </c>
      <c r="AM103" s="62"/>
      <c r="AN103" s="62"/>
      <c r="AO103" s="62"/>
      <c r="AP103" s="62"/>
      <c r="AQ103" s="62"/>
      <c r="AR103" s="62"/>
      <c r="AS103" s="62"/>
      <c r="AT103" s="62" t="str">
        <f t="shared" si="84"/>
        <v/>
      </c>
      <c r="AU103" s="62"/>
      <c r="AV103" s="62"/>
      <c r="AW103" s="62"/>
      <c r="AX103" s="73">
        <v>244377</v>
      </c>
      <c r="AY103" s="73">
        <v>244409</v>
      </c>
      <c r="AZ103" s="99" t="str">
        <f t="shared" si="87"/>
        <v>Complete</v>
      </c>
      <c r="BA103" s="62"/>
      <c r="BB103" s="62"/>
      <c r="BC103" s="62"/>
      <c r="BD103" s="62"/>
      <c r="BE103" s="62"/>
      <c r="BF103" s="62" t="str">
        <f t="shared" si="85"/>
        <v/>
      </c>
      <c r="BG103" s="65"/>
      <c r="BH103" s="65"/>
      <c r="BI103" s="65" t="str">
        <f t="shared" si="86"/>
        <v/>
      </c>
      <c r="BJ103" s="66"/>
      <c r="BK103" s="66"/>
      <c r="BL103" s="69"/>
      <c r="BM103" s="69"/>
    </row>
    <row r="104" spans="1:65" s="18" customFormat="1" ht="32.450000000000003" hidden="1" customHeight="1" x14ac:dyDescent="0.45">
      <c r="A104" s="59">
        <v>111</v>
      </c>
      <c r="B104" s="81" t="s">
        <v>297</v>
      </c>
      <c r="C104" s="60" t="s">
        <v>46</v>
      </c>
      <c r="D104" s="60" t="s">
        <v>47</v>
      </c>
      <c r="E104" s="60" t="s">
        <v>48</v>
      </c>
      <c r="F104" s="60" t="s">
        <v>99</v>
      </c>
      <c r="G104" s="60" t="s">
        <v>104</v>
      </c>
      <c r="H104" s="60" t="s">
        <v>301</v>
      </c>
      <c r="I104" s="60"/>
      <c r="J104" s="60" t="s">
        <v>317</v>
      </c>
      <c r="K104" s="62" t="s">
        <v>113</v>
      </c>
      <c r="L104" s="59" t="s">
        <v>123</v>
      </c>
      <c r="M104" s="62">
        <v>9</v>
      </c>
      <c r="N104" s="63">
        <v>419</v>
      </c>
      <c r="O104" s="64">
        <v>14.460067</v>
      </c>
      <c r="P104" s="64">
        <v>101.703953</v>
      </c>
      <c r="Q104" s="65" t="s">
        <v>110</v>
      </c>
      <c r="R104" s="65" t="s">
        <v>377</v>
      </c>
      <c r="S104" s="62" t="str">
        <f t="shared" si="78"/>
        <v>Complete</v>
      </c>
      <c r="T104" s="62" t="s">
        <v>124</v>
      </c>
      <c r="U104" s="65" t="s">
        <v>380</v>
      </c>
      <c r="V104" s="65" t="s">
        <v>380</v>
      </c>
      <c r="W104" s="65" t="str">
        <f t="shared" si="79"/>
        <v>Complete</v>
      </c>
      <c r="X104" s="51" t="s">
        <v>448</v>
      </c>
      <c r="Y104" s="65" t="s">
        <v>415</v>
      </c>
      <c r="Z104" s="65"/>
      <c r="AA104" s="62" t="str">
        <f t="shared" si="80"/>
        <v>In progress</v>
      </c>
      <c r="AB104" s="62"/>
      <c r="AC104" s="62"/>
      <c r="AD104" s="65" t="s">
        <v>110</v>
      </c>
      <c r="AE104" s="73">
        <v>244145</v>
      </c>
      <c r="AF104" s="65" t="str">
        <f t="shared" si="81"/>
        <v>Complete</v>
      </c>
      <c r="AG104" s="73">
        <v>244206</v>
      </c>
      <c r="AH104" s="73" t="s">
        <v>399</v>
      </c>
      <c r="AI104" s="62" t="str">
        <f t="shared" si="82"/>
        <v>Complete</v>
      </c>
      <c r="AJ104" s="62" t="s">
        <v>469</v>
      </c>
      <c r="AK104" s="62"/>
      <c r="AL104" s="62" t="str">
        <f t="shared" si="83"/>
        <v>In progress</v>
      </c>
      <c r="AM104" s="62"/>
      <c r="AN104" s="62"/>
      <c r="AO104" s="62"/>
      <c r="AP104" s="62"/>
      <c r="AQ104" s="62"/>
      <c r="AR104" s="62"/>
      <c r="AS104" s="62"/>
      <c r="AT104" s="62" t="str">
        <f t="shared" si="84"/>
        <v/>
      </c>
      <c r="AU104" s="62"/>
      <c r="AV104" s="62"/>
      <c r="AW104" s="62"/>
      <c r="AX104" s="73">
        <v>244377</v>
      </c>
      <c r="AY104" s="73">
        <v>244408</v>
      </c>
      <c r="AZ104" s="99" t="str">
        <f t="shared" si="87"/>
        <v>Complete</v>
      </c>
      <c r="BA104" s="62"/>
      <c r="BB104" s="62"/>
      <c r="BC104" s="62"/>
      <c r="BD104" s="62"/>
      <c r="BE104" s="62"/>
      <c r="BF104" s="62" t="str">
        <f t="shared" si="85"/>
        <v/>
      </c>
      <c r="BG104" s="65"/>
      <c r="BH104" s="65"/>
      <c r="BI104" s="65" t="str">
        <f t="shared" si="86"/>
        <v/>
      </c>
      <c r="BJ104" s="66"/>
      <c r="BK104" s="66"/>
      <c r="BL104" s="69"/>
      <c r="BM104" s="69"/>
    </row>
    <row r="105" spans="1:65" s="18" customFormat="1" ht="32.450000000000003" hidden="1" customHeight="1" x14ac:dyDescent="0.45">
      <c r="A105" s="59">
        <v>112</v>
      </c>
      <c r="B105" s="81" t="s">
        <v>248</v>
      </c>
      <c r="C105" s="60" t="s">
        <v>46</v>
      </c>
      <c r="D105" s="60" t="s">
        <v>47</v>
      </c>
      <c r="E105" s="60" t="s">
        <v>48</v>
      </c>
      <c r="F105" s="60" t="s">
        <v>99</v>
      </c>
      <c r="G105" s="60" t="s">
        <v>104</v>
      </c>
      <c r="H105" s="60" t="s">
        <v>301</v>
      </c>
      <c r="I105" s="60"/>
      <c r="J105" s="60" t="s">
        <v>360</v>
      </c>
      <c r="K105" s="62" t="s">
        <v>113</v>
      </c>
      <c r="L105" s="59" t="s">
        <v>123</v>
      </c>
      <c r="M105" s="62">
        <v>9</v>
      </c>
      <c r="N105" s="63">
        <v>396</v>
      </c>
      <c r="O105" s="64">
        <v>14.487939000000001</v>
      </c>
      <c r="P105" s="64">
        <v>101.682979</v>
      </c>
      <c r="Q105" s="65" t="s">
        <v>110</v>
      </c>
      <c r="R105" s="65" t="s">
        <v>377</v>
      </c>
      <c r="S105" s="62" t="str">
        <f t="shared" si="78"/>
        <v>Complete</v>
      </c>
      <c r="T105" s="62" t="s">
        <v>124</v>
      </c>
      <c r="U105" s="65" t="s">
        <v>380</v>
      </c>
      <c r="V105" s="65" t="s">
        <v>380</v>
      </c>
      <c r="W105" s="65" t="str">
        <f t="shared" si="79"/>
        <v>Complete</v>
      </c>
      <c r="X105" s="51" t="s">
        <v>448</v>
      </c>
      <c r="Y105" s="65" t="s">
        <v>415</v>
      </c>
      <c r="Z105" s="65"/>
      <c r="AA105" s="62" t="str">
        <f t="shared" si="80"/>
        <v>In progress</v>
      </c>
      <c r="AB105" s="62"/>
      <c r="AC105" s="62"/>
      <c r="AD105" s="65" t="s">
        <v>110</v>
      </c>
      <c r="AE105" s="73">
        <v>244145</v>
      </c>
      <c r="AF105" s="65" t="str">
        <f t="shared" si="81"/>
        <v>Complete</v>
      </c>
      <c r="AG105" s="73">
        <v>244206</v>
      </c>
      <c r="AH105" s="73" t="s">
        <v>399</v>
      </c>
      <c r="AI105" s="62" t="str">
        <f t="shared" si="82"/>
        <v>Complete</v>
      </c>
      <c r="AJ105" s="62" t="s">
        <v>469</v>
      </c>
      <c r="AK105" s="62"/>
      <c r="AL105" s="62" t="str">
        <f t="shared" si="83"/>
        <v>In progress</v>
      </c>
      <c r="AM105" s="62"/>
      <c r="AN105" s="62"/>
      <c r="AO105" s="62"/>
      <c r="AP105" s="62"/>
      <c r="AQ105" s="62"/>
      <c r="AR105" s="62"/>
      <c r="AS105" s="62"/>
      <c r="AT105" s="62" t="str">
        <f t="shared" si="84"/>
        <v/>
      </c>
      <c r="AU105" s="62"/>
      <c r="AV105" s="62"/>
      <c r="AW105" s="62"/>
      <c r="AX105" s="73">
        <v>244377</v>
      </c>
      <c r="AY105" s="73">
        <v>244409</v>
      </c>
      <c r="AZ105" s="99" t="str">
        <f t="shared" si="87"/>
        <v>Complete</v>
      </c>
      <c r="BA105" s="62"/>
      <c r="BB105" s="62"/>
      <c r="BC105" s="62"/>
      <c r="BD105" s="62"/>
      <c r="BE105" s="62"/>
      <c r="BF105" s="62" t="str">
        <f t="shared" si="85"/>
        <v/>
      </c>
      <c r="BG105" s="65"/>
      <c r="BH105" s="65"/>
      <c r="BI105" s="65" t="str">
        <f t="shared" si="86"/>
        <v/>
      </c>
      <c r="BJ105" s="66"/>
      <c r="BK105" s="66"/>
      <c r="BL105" s="69"/>
      <c r="BM105" s="69"/>
    </row>
    <row r="106" spans="1:65" s="18" customFormat="1" ht="32.450000000000003" hidden="1" customHeight="1" x14ac:dyDescent="0.45">
      <c r="A106" s="59">
        <v>113</v>
      </c>
      <c r="B106" s="81" t="s">
        <v>261</v>
      </c>
      <c r="C106" s="60" t="s">
        <v>46</v>
      </c>
      <c r="D106" s="60" t="s">
        <v>47</v>
      </c>
      <c r="E106" s="60" t="s">
        <v>48</v>
      </c>
      <c r="F106" s="60" t="s">
        <v>99</v>
      </c>
      <c r="G106" s="60" t="s">
        <v>104</v>
      </c>
      <c r="H106" s="60" t="s">
        <v>301</v>
      </c>
      <c r="I106" s="60"/>
      <c r="J106" s="60" t="s">
        <v>361</v>
      </c>
      <c r="K106" s="62" t="s">
        <v>113</v>
      </c>
      <c r="L106" s="59" t="s">
        <v>123</v>
      </c>
      <c r="M106" s="62">
        <v>9</v>
      </c>
      <c r="N106" s="63">
        <v>405</v>
      </c>
      <c r="O106" s="64">
        <v>14.476394000000001</v>
      </c>
      <c r="P106" s="64">
        <v>101.716776</v>
      </c>
      <c r="Q106" s="65" t="s">
        <v>110</v>
      </c>
      <c r="R106" s="65" t="s">
        <v>109</v>
      </c>
      <c r="S106" s="62" t="str">
        <f t="shared" ref="S106:S123" si="88">IF(R106&lt;&gt;"", "Complete", IF(Q106&lt;&gt;"", "In progress", ""))</f>
        <v>Complete</v>
      </c>
      <c r="T106" s="62" t="s">
        <v>124</v>
      </c>
      <c r="U106" s="65" t="s">
        <v>380</v>
      </c>
      <c r="V106" s="65" t="s">
        <v>380</v>
      </c>
      <c r="W106" s="65" t="str">
        <f t="shared" ref="W106:W123" si="89">IF(
  AND(
     OR(M106=9,M106=18,M106=30),
     OR(G106="ภาคเหนือ",G106="ภาคใต้",G106="ภาคตะวันออก",G106="ภาคตะวันตก",G106="ภาคตะวันออกเฉียงเหนือ")
  ),
  IF(V106&lt;&gt;"","Complete",IF(U106&lt;&gt;"","In progress","")),
  "-"
)</f>
        <v>Complete</v>
      </c>
      <c r="X106" s="51" t="s">
        <v>448</v>
      </c>
      <c r="Y106" s="65" t="s">
        <v>414</v>
      </c>
      <c r="Z106" s="65"/>
      <c r="AA106" s="62" t="str">
        <f t="shared" ref="AA106:AA123" si="90">IF(Z106&lt;&gt;"", "Complete", IF(Y106&lt;&gt;"", "In progress", ""))</f>
        <v>In progress</v>
      </c>
      <c r="AB106" s="62"/>
      <c r="AC106" s="62"/>
      <c r="AD106" s="65" t="s">
        <v>110</v>
      </c>
      <c r="AE106" s="73">
        <v>244145</v>
      </c>
      <c r="AF106" s="65" t="str">
        <f t="shared" ref="AF106:AF123" si="91">IF(AE106&lt;&gt;"", "Complete", IF(AD106&lt;&gt;"", "In progress", ""))</f>
        <v>Complete</v>
      </c>
      <c r="AG106" s="73">
        <v>244206</v>
      </c>
      <c r="AH106" s="73" t="s">
        <v>399</v>
      </c>
      <c r="AI106" s="62" t="str">
        <f t="shared" ref="AI106:AI123" si="92">IF(AH106&lt;&gt;"", "Complete", IF(AG106&lt;&gt;"", "In progress", ""))</f>
        <v>Complete</v>
      </c>
      <c r="AJ106" s="62" t="s">
        <v>469</v>
      </c>
      <c r="AK106" s="62"/>
      <c r="AL106" s="62" t="str">
        <f t="shared" ref="AL106:AL123" si="93">IF(AK106&lt;&gt;"", "Complete", IF(AJ106&lt;&gt;"", "In progress", ""))</f>
        <v>In progress</v>
      </c>
      <c r="AM106" s="62"/>
      <c r="AN106" s="62"/>
      <c r="AO106" s="62"/>
      <c r="AP106" s="62"/>
      <c r="AQ106" s="62"/>
      <c r="AR106" s="62"/>
      <c r="AS106" s="62"/>
      <c r="AT106" s="62" t="str">
        <f t="shared" ref="AT106:AT123" si="94">IF(AQ106&lt;&gt;"", "Complete", IF(AP106&lt;&gt;"", "In progress", ""))</f>
        <v/>
      </c>
      <c r="AU106" s="107"/>
      <c r="AV106" s="107"/>
      <c r="AW106" s="62"/>
      <c r="AX106" s="73">
        <v>244413</v>
      </c>
      <c r="AY106" s="73">
        <v>244417</v>
      </c>
      <c r="AZ106" s="99" t="str">
        <f t="shared" si="87"/>
        <v>Complete</v>
      </c>
      <c r="BA106" s="62"/>
      <c r="BB106" s="62"/>
      <c r="BC106" s="62"/>
      <c r="BD106" s="62"/>
      <c r="BE106" s="62"/>
      <c r="BF106" s="62" t="str">
        <f t="shared" ref="BF106:BF123" si="95">IF(BE106&lt;&gt;"", "Complete", IF(BD106&lt;&gt;"", "In progress", ""))</f>
        <v/>
      </c>
      <c r="BG106" s="65"/>
      <c r="BH106" s="65"/>
      <c r="BI106" s="65" t="str">
        <f t="shared" ref="BI106:BI123" si="96">IF(BH106&lt;&gt;"", "Complete", IF(BG106&lt;&gt;"", "In progress", ""))</f>
        <v/>
      </c>
      <c r="BJ106" s="66"/>
      <c r="BK106" s="66"/>
      <c r="BL106" s="69"/>
      <c r="BM106" s="69"/>
    </row>
    <row r="107" spans="1:65" s="18" customFormat="1" ht="32.450000000000003" hidden="1" customHeight="1" x14ac:dyDescent="0.45">
      <c r="A107" s="62">
        <v>114</v>
      </c>
      <c r="B107" s="81" t="s">
        <v>271</v>
      </c>
      <c r="C107" s="60" t="s">
        <v>46</v>
      </c>
      <c r="D107" s="60" t="s">
        <v>47</v>
      </c>
      <c r="E107" s="60" t="s">
        <v>48</v>
      </c>
      <c r="F107" s="60" t="s">
        <v>99</v>
      </c>
      <c r="G107" s="60" t="s">
        <v>104</v>
      </c>
      <c r="H107" s="60" t="s">
        <v>301</v>
      </c>
      <c r="I107" s="60"/>
      <c r="J107" s="60" t="s">
        <v>337</v>
      </c>
      <c r="K107" s="62" t="s">
        <v>113</v>
      </c>
      <c r="L107" s="59" t="s">
        <v>123</v>
      </c>
      <c r="M107" s="62">
        <v>9</v>
      </c>
      <c r="N107" s="63">
        <v>426</v>
      </c>
      <c r="O107" s="64">
        <v>14.487171</v>
      </c>
      <c r="P107" s="64">
        <v>101.714403</v>
      </c>
      <c r="Q107" s="65" t="s">
        <v>110</v>
      </c>
      <c r="R107" s="65" t="s">
        <v>109</v>
      </c>
      <c r="S107" s="62" t="str">
        <f t="shared" si="88"/>
        <v>Complete</v>
      </c>
      <c r="T107" s="62" t="s">
        <v>124</v>
      </c>
      <c r="U107" s="65" t="s">
        <v>380</v>
      </c>
      <c r="V107" s="65" t="s">
        <v>380</v>
      </c>
      <c r="W107" s="65" t="str">
        <f t="shared" si="89"/>
        <v>Complete</v>
      </c>
      <c r="X107" s="51" t="s">
        <v>448</v>
      </c>
      <c r="Y107" s="65" t="s">
        <v>414</v>
      </c>
      <c r="Z107" s="65"/>
      <c r="AA107" s="62" t="str">
        <f t="shared" si="90"/>
        <v>In progress</v>
      </c>
      <c r="AB107" s="62"/>
      <c r="AC107" s="62"/>
      <c r="AD107" s="65" t="s">
        <v>110</v>
      </c>
      <c r="AE107" s="73">
        <v>244145</v>
      </c>
      <c r="AF107" s="65" t="str">
        <f t="shared" si="91"/>
        <v>Complete</v>
      </c>
      <c r="AG107" s="73">
        <v>244206</v>
      </c>
      <c r="AH107" s="73" t="s">
        <v>399</v>
      </c>
      <c r="AI107" s="62" t="str">
        <f t="shared" si="92"/>
        <v>Complete</v>
      </c>
      <c r="AJ107" s="62" t="s">
        <v>469</v>
      </c>
      <c r="AK107" s="62"/>
      <c r="AL107" s="62" t="str">
        <f t="shared" si="93"/>
        <v>In progress</v>
      </c>
      <c r="AM107" s="62"/>
      <c r="AN107" s="62"/>
      <c r="AO107" s="62"/>
      <c r="AP107" s="62"/>
      <c r="AQ107" s="62"/>
      <c r="AR107" s="62"/>
      <c r="AS107" s="62"/>
      <c r="AT107" s="62" t="str">
        <f t="shared" si="94"/>
        <v/>
      </c>
      <c r="AU107" s="62"/>
      <c r="AV107" s="62"/>
      <c r="AW107" s="62"/>
      <c r="AX107" s="73">
        <v>244377</v>
      </c>
      <c r="AY107" s="73">
        <v>244413</v>
      </c>
      <c r="AZ107" s="99" t="str">
        <f t="shared" si="87"/>
        <v>Complete</v>
      </c>
      <c r="BA107" s="62"/>
      <c r="BB107" s="62"/>
      <c r="BC107" s="62"/>
      <c r="BD107" s="62"/>
      <c r="BE107" s="62"/>
      <c r="BF107" s="62" t="str">
        <f t="shared" si="95"/>
        <v/>
      </c>
      <c r="BG107" s="65"/>
      <c r="BH107" s="65"/>
      <c r="BI107" s="65" t="str">
        <f t="shared" si="96"/>
        <v/>
      </c>
      <c r="BJ107" s="66"/>
      <c r="BK107" s="66"/>
      <c r="BL107" s="69"/>
      <c r="BM107" s="69"/>
    </row>
    <row r="108" spans="1:65" s="18" customFormat="1" ht="32.450000000000003" hidden="1" customHeight="1" x14ac:dyDescent="0.45">
      <c r="A108" s="62">
        <v>115</v>
      </c>
      <c r="B108" s="81" t="s">
        <v>285</v>
      </c>
      <c r="C108" s="60" t="s">
        <v>46</v>
      </c>
      <c r="D108" s="60" t="s">
        <v>47</v>
      </c>
      <c r="E108" s="60" t="s">
        <v>48</v>
      </c>
      <c r="F108" s="60" t="s">
        <v>99</v>
      </c>
      <c r="G108" s="60" t="s">
        <v>104</v>
      </c>
      <c r="H108" s="60" t="s">
        <v>301</v>
      </c>
      <c r="I108" s="60"/>
      <c r="J108" s="60" t="s">
        <v>362</v>
      </c>
      <c r="K108" s="62" t="s">
        <v>113</v>
      </c>
      <c r="L108" s="59" t="s">
        <v>123</v>
      </c>
      <c r="M108" s="62">
        <v>9</v>
      </c>
      <c r="N108" s="63">
        <v>424</v>
      </c>
      <c r="O108" s="64">
        <v>14.516806000000001</v>
      </c>
      <c r="P108" s="64">
        <v>101.677474</v>
      </c>
      <c r="Q108" s="65" t="s">
        <v>110</v>
      </c>
      <c r="R108" s="65" t="s">
        <v>135</v>
      </c>
      <c r="S108" s="62" t="str">
        <f t="shared" si="88"/>
        <v>Complete</v>
      </c>
      <c r="T108" s="62" t="s">
        <v>124</v>
      </c>
      <c r="U108" s="65" t="s">
        <v>380</v>
      </c>
      <c r="V108" s="65" t="s">
        <v>380</v>
      </c>
      <c r="W108" s="65" t="str">
        <f t="shared" si="89"/>
        <v>Complete</v>
      </c>
      <c r="X108" s="51" t="s">
        <v>448</v>
      </c>
      <c r="Y108" s="65" t="s">
        <v>416</v>
      </c>
      <c r="Z108" s="65"/>
      <c r="AA108" s="62" t="str">
        <f t="shared" si="90"/>
        <v>In progress</v>
      </c>
      <c r="AB108" s="62"/>
      <c r="AC108" s="62"/>
      <c r="AD108" s="65" t="s">
        <v>110</v>
      </c>
      <c r="AE108" s="73">
        <v>244145</v>
      </c>
      <c r="AF108" s="65" t="str">
        <f t="shared" si="91"/>
        <v>Complete</v>
      </c>
      <c r="AG108" s="73">
        <v>244206</v>
      </c>
      <c r="AH108" s="73" t="s">
        <v>399</v>
      </c>
      <c r="AI108" s="62" t="str">
        <f t="shared" si="92"/>
        <v>Complete</v>
      </c>
      <c r="AJ108" s="62" t="s">
        <v>469</v>
      </c>
      <c r="AK108" s="62"/>
      <c r="AL108" s="62" t="str">
        <f t="shared" si="93"/>
        <v>In progress</v>
      </c>
      <c r="AM108" s="62"/>
      <c r="AN108" s="62"/>
      <c r="AO108" s="62"/>
      <c r="AP108" s="62"/>
      <c r="AQ108" s="62"/>
      <c r="AR108" s="62"/>
      <c r="AS108" s="62"/>
      <c r="AT108" s="62" t="str">
        <f t="shared" si="94"/>
        <v/>
      </c>
      <c r="AU108" s="62"/>
      <c r="AV108" s="107"/>
      <c r="AW108" s="62"/>
      <c r="AX108" s="73">
        <v>244412</v>
      </c>
      <c r="AY108" s="73">
        <v>244418</v>
      </c>
      <c r="AZ108" s="99" t="str">
        <f t="shared" si="87"/>
        <v>Complete</v>
      </c>
      <c r="BA108" s="62"/>
      <c r="BB108" s="62"/>
      <c r="BC108" s="62"/>
      <c r="BD108" s="62"/>
      <c r="BE108" s="62"/>
      <c r="BF108" s="62" t="str">
        <f t="shared" si="95"/>
        <v/>
      </c>
      <c r="BG108" s="65"/>
      <c r="BH108" s="65"/>
      <c r="BI108" s="65" t="str">
        <f t="shared" si="96"/>
        <v/>
      </c>
      <c r="BJ108" s="66"/>
      <c r="BK108" s="66"/>
      <c r="BL108" s="69"/>
      <c r="BM108" s="69"/>
    </row>
    <row r="109" spans="1:65" s="18" customFormat="1" ht="32.450000000000003" hidden="1" customHeight="1" x14ac:dyDescent="0.45">
      <c r="A109" s="59">
        <v>116</v>
      </c>
      <c r="B109" s="81" t="s">
        <v>174</v>
      </c>
      <c r="C109" s="60" t="s">
        <v>49</v>
      </c>
      <c r="D109" s="60" t="s">
        <v>50</v>
      </c>
      <c r="E109" s="60" t="s">
        <v>48</v>
      </c>
      <c r="F109" s="60" t="s">
        <v>99</v>
      </c>
      <c r="G109" s="60" t="s">
        <v>104</v>
      </c>
      <c r="H109" s="60" t="s">
        <v>301</v>
      </c>
      <c r="I109" s="60"/>
      <c r="J109" s="60" t="s">
        <v>363</v>
      </c>
      <c r="K109" s="62" t="s">
        <v>113</v>
      </c>
      <c r="L109" s="59" t="s">
        <v>123</v>
      </c>
      <c r="M109" s="62">
        <v>9</v>
      </c>
      <c r="N109" s="63">
        <v>314</v>
      </c>
      <c r="O109" s="64">
        <v>14.529062</v>
      </c>
      <c r="P109" s="64">
        <v>101.74144200000001</v>
      </c>
      <c r="Q109" s="65" t="s">
        <v>110</v>
      </c>
      <c r="R109" s="65" t="s">
        <v>135</v>
      </c>
      <c r="S109" s="62" t="str">
        <f t="shared" si="88"/>
        <v>Complete</v>
      </c>
      <c r="T109" s="62" t="s">
        <v>124</v>
      </c>
      <c r="U109" s="65" t="s">
        <v>380</v>
      </c>
      <c r="V109" s="65" t="s">
        <v>380</v>
      </c>
      <c r="W109" s="65" t="str">
        <f t="shared" si="89"/>
        <v>Complete</v>
      </c>
      <c r="X109" s="51" t="s">
        <v>448</v>
      </c>
      <c r="Y109" s="65" t="s">
        <v>416</v>
      </c>
      <c r="Z109" s="65"/>
      <c r="AA109" s="62" t="str">
        <f t="shared" si="90"/>
        <v>In progress</v>
      </c>
      <c r="AB109" s="62"/>
      <c r="AC109" s="62"/>
      <c r="AD109" s="65" t="s">
        <v>110</v>
      </c>
      <c r="AE109" s="73">
        <v>244145</v>
      </c>
      <c r="AF109" s="65" t="str">
        <f t="shared" si="91"/>
        <v>Complete</v>
      </c>
      <c r="AG109" s="73">
        <v>244206</v>
      </c>
      <c r="AH109" s="73" t="s">
        <v>399</v>
      </c>
      <c r="AI109" s="62" t="str">
        <f t="shared" si="92"/>
        <v>Complete</v>
      </c>
      <c r="AJ109" s="62" t="s">
        <v>469</v>
      </c>
      <c r="AK109" s="62"/>
      <c r="AL109" s="62" t="str">
        <f t="shared" si="93"/>
        <v>In progress</v>
      </c>
      <c r="AM109" s="62"/>
      <c r="AN109" s="62"/>
      <c r="AO109" s="62"/>
      <c r="AP109" s="62"/>
      <c r="AQ109" s="62"/>
      <c r="AR109" s="62"/>
      <c r="AS109" s="62"/>
      <c r="AT109" s="62" t="str">
        <f t="shared" si="94"/>
        <v/>
      </c>
      <c r="AU109" s="62"/>
      <c r="AV109" s="62"/>
      <c r="AW109" s="62"/>
      <c r="AX109" s="73">
        <v>244373</v>
      </c>
      <c r="AY109" s="62" t="s">
        <v>496</v>
      </c>
      <c r="AZ109" s="99" t="str">
        <f t="shared" si="87"/>
        <v>Complete</v>
      </c>
      <c r="BA109" s="62"/>
      <c r="BB109" s="62"/>
      <c r="BC109" s="62"/>
      <c r="BD109" s="62"/>
      <c r="BE109" s="62"/>
      <c r="BF109" s="62" t="str">
        <f t="shared" si="95"/>
        <v/>
      </c>
      <c r="BG109" s="65"/>
      <c r="BH109" s="65"/>
      <c r="BI109" s="65" t="str">
        <f t="shared" si="96"/>
        <v/>
      </c>
      <c r="BJ109" s="66"/>
      <c r="BK109" s="66"/>
      <c r="BL109" s="69"/>
      <c r="BM109" s="69"/>
    </row>
    <row r="110" spans="1:65" s="18" customFormat="1" ht="32.450000000000003" hidden="1" customHeight="1" x14ac:dyDescent="0.45">
      <c r="A110" s="59">
        <v>117</v>
      </c>
      <c r="B110" s="81" t="s">
        <v>195</v>
      </c>
      <c r="C110" s="60" t="s">
        <v>49</v>
      </c>
      <c r="D110" s="60" t="s">
        <v>50</v>
      </c>
      <c r="E110" s="60" t="s">
        <v>48</v>
      </c>
      <c r="F110" s="60" t="s">
        <v>99</v>
      </c>
      <c r="G110" s="60" t="s">
        <v>104</v>
      </c>
      <c r="H110" s="60" t="s">
        <v>301</v>
      </c>
      <c r="I110" s="60"/>
      <c r="J110" s="60" t="s">
        <v>345</v>
      </c>
      <c r="K110" s="62" t="s">
        <v>113</v>
      </c>
      <c r="L110" s="59" t="s">
        <v>123</v>
      </c>
      <c r="M110" s="62">
        <v>9</v>
      </c>
      <c r="N110" s="63">
        <v>333</v>
      </c>
      <c r="O110" s="64">
        <v>14.560396000000001</v>
      </c>
      <c r="P110" s="64" t="s">
        <v>370</v>
      </c>
      <c r="Q110" s="65" t="s">
        <v>110</v>
      </c>
      <c r="R110" s="65" t="s">
        <v>135</v>
      </c>
      <c r="S110" s="62" t="str">
        <f t="shared" si="88"/>
        <v>Complete</v>
      </c>
      <c r="T110" s="62" t="s">
        <v>124</v>
      </c>
      <c r="U110" s="65" t="s">
        <v>380</v>
      </c>
      <c r="V110" s="65" t="s">
        <v>380</v>
      </c>
      <c r="W110" s="65" t="str">
        <f t="shared" si="89"/>
        <v>Complete</v>
      </c>
      <c r="X110" s="51" t="s">
        <v>448</v>
      </c>
      <c r="Y110" s="65" t="s">
        <v>416</v>
      </c>
      <c r="Z110" s="65"/>
      <c r="AA110" s="62" t="str">
        <f t="shared" si="90"/>
        <v>In progress</v>
      </c>
      <c r="AB110" s="62"/>
      <c r="AC110" s="62"/>
      <c r="AD110" s="65" t="s">
        <v>110</v>
      </c>
      <c r="AE110" s="73">
        <v>244145</v>
      </c>
      <c r="AF110" s="65" t="str">
        <f t="shared" si="91"/>
        <v>Complete</v>
      </c>
      <c r="AG110" s="73">
        <v>244206</v>
      </c>
      <c r="AH110" s="73" t="s">
        <v>399</v>
      </c>
      <c r="AI110" s="62" t="str">
        <f t="shared" si="92"/>
        <v>Complete</v>
      </c>
      <c r="AJ110" s="62" t="s">
        <v>469</v>
      </c>
      <c r="AK110" s="62"/>
      <c r="AL110" s="62" t="str">
        <f t="shared" si="93"/>
        <v>In progress</v>
      </c>
      <c r="AM110" s="62"/>
      <c r="AN110" s="62"/>
      <c r="AO110" s="62"/>
      <c r="AP110" s="62"/>
      <c r="AQ110" s="62"/>
      <c r="AR110" s="62"/>
      <c r="AS110" s="62"/>
      <c r="AT110" s="62" t="str">
        <f t="shared" si="94"/>
        <v/>
      </c>
      <c r="AU110" s="62"/>
      <c r="AV110" s="62"/>
      <c r="AW110" s="62"/>
      <c r="AX110" s="73">
        <v>244373</v>
      </c>
      <c r="AY110" s="73">
        <v>244406</v>
      </c>
      <c r="AZ110" s="99" t="str">
        <f t="shared" si="87"/>
        <v>Complete</v>
      </c>
      <c r="BA110" s="62"/>
      <c r="BB110" s="62"/>
      <c r="BC110" s="62"/>
      <c r="BD110" s="62"/>
      <c r="BE110" s="62"/>
      <c r="BF110" s="62" t="str">
        <f t="shared" si="95"/>
        <v/>
      </c>
      <c r="BG110" s="65"/>
      <c r="BH110" s="65"/>
      <c r="BI110" s="65" t="str">
        <f t="shared" si="96"/>
        <v/>
      </c>
      <c r="BJ110" s="66"/>
      <c r="BK110" s="66"/>
      <c r="BL110" s="69"/>
      <c r="BM110" s="69"/>
    </row>
    <row r="111" spans="1:65" s="18" customFormat="1" ht="32.450000000000003" hidden="1" customHeight="1" x14ac:dyDescent="0.45">
      <c r="A111" s="59">
        <v>118</v>
      </c>
      <c r="B111" s="81" t="s">
        <v>215</v>
      </c>
      <c r="C111" s="60" t="s">
        <v>49</v>
      </c>
      <c r="D111" s="60" t="s">
        <v>50</v>
      </c>
      <c r="E111" s="60" t="s">
        <v>48</v>
      </c>
      <c r="F111" s="60" t="s">
        <v>99</v>
      </c>
      <c r="G111" s="60" t="s">
        <v>104</v>
      </c>
      <c r="H111" s="60" t="s">
        <v>301</v>
      </c>
      <c r="I111" s="60"/>
      <c r="J111" s="60" t="s">
        <v>357</v>
      </c>
      <c r="K111" s="62" t="s">
        <v>113</v>
      </c>
      <c r="L111" s="59" t="s">
        <v>123</v>
      </c>
      <c r="M111" s="62">
        <v>9</v>
      </c>
      <c r="N111" s="63">
        <v>287</v>
      </c>
      <c r="O111" s="64">
        <v>14.517844</v>
      </c>
      <c r="P111" s="64">
        <v>101.75394799999999</v>
      </c>
      <c r="Q111" s="65" t="s">
        <v>110</v>
      </c>
      <c r="R111" s="65" t="s">
        <v>377</v>
      </c>
      <c r="S111" s="62" t="str">
        <f t="shared" si="88"/>
        <v>Complete</v>
      </c>
      <c r="T111" s="62" t="s">
        <v>124</v>
      </c>
      <c r="U111" s="65" t="s">
        <v>380</v>
      </c>
      <c r="V111" s="65" t="s">
        <v>380</v>
      </c>
      <c r="W111" s="65" t="str">
        <f t="shared" si="89"/>
        <v>Complete</v>
      </c>
      <c r="X111" s="51" t="s">
        <v>448</v>
      </c>
      <c r="Y111" s="65" t="s">
        <v>415</v>
      </c>
      <c r="Z111" s="65"/>
      <c r="AA111" s="62" t="str">
        <f t="shared" si="90"/>
        <v>In progress</v>
      </c>
      <c r="AB111" s="62"/>
      <c r="AC111" s="62"/>
      <c r="AD111" s="65" t="s">
        <v>110</v>
      </c>
      <c r="AE111" s="73">
        <v>244145</v>
      </c>
      <c r="AF111" s="65" t="str">
        <f t="shared" si="91"/>
        <v>Complete</v>
      </c>
      <c r="AG111" s="73">
        <v>244206</v>
      </c>
      <c r="AH111" s="73" t="s">
        <v>399</v>
      </c>
      <c r="AI111" s="62" t="str">
        <f t="shared" si="92"/>
        <v>Complete</v>
      </c>
      <c r="AJ111" s="62" t="s">
        <v>469</v>
      </c>
      <c r="AK111" s="62"/>
      <c r="AL111" s="62" t="str">
        <f t="shared" si="93"/>
        <v>In progress</v>
      </c>
      <c r="AM111" s="62"/>
      <c r="AN111" s="62"/>
      <c r="AO111" s="62"/>
      <c r="AP111" s="62"/>
      <c r="AQ111" s="62"/>
      <c r="AR111" s="62"/>
      <c r="AS111" s="62"/>
      <c r="AT111" s="62" t="str">
        <f t="shared" si="94"/>
        <v/>
      </c>
      <c r="AU111" s="62"/>
      <c r="AV111" s="62"/>
      <c r="AW111" s="62"/>
      <c r="AX111" s="73">
        <v>244373</v>
      </c>
      <c r="AY111" s="73">
        <v>244407</v>
      </c>
      <c r="AZ111" s="99" t="str">
        <f t="shared" si="87"/>
        <v>Complete</v>
      </c>
      <c r="BA111" s="62"/>
      <c r="BB111" s="62"/>
      <c r="BC111" s="62"/>
      <c r="BD111" s="62"/>
      <c r="BE111" s="62"/>
      <c r="BF111" s="62" t="str">
        <f t="shared" si="95"/>
        <v/>
      </c>
      <c r="BG111" s="65"/>
      <c r="BH111" s="65"/>
      <c r="BI111" s="65" t="str">
        <f t="shared" si="96"/>
        <v/>
      </c>
      <c r="BJ111" s="66"/>
      <c r="BK111" s="66"/>
      <c r="BL111" s="69"/>
      <c r="BM111" s="69"/>
    </row>
    <row r="112" spans="1:65" s="18" customFormat="1" ht="32.450000000000003" hidden="1" customHeight="1" x14ac:dyDescent="0.45">
      <c r="A112" s="62">
        <v>119</v>
      </c>
      <c r="B112" s="81" t="s">
        <v>231</v>
      </c>
      <c r="C112" s="60" t="s">
        <v>49</v>
      </c>
      <c r="D112" s="60" t="s">
        <v>50</v>
      </c>
      <c r="E112" s="60" t="s">
        <v>48</v>
      </c>
      <c r="F112" s="60" t="s">
        <v>99</v>
      </c>
      <c r="G112" s="60" t="s">
        <v>104</v>
      </c>
      <c r="H112" s="60" t="s">
        <v>304</v>
      </c>
      <c r="I112" s="60"/>
      <c r="J112" s="60" t="s">
        <v>337</v>
      </c>
      <c r="K112" s="62" t="s">
        <v>113</v>
      </c>
      <c r="L112" s="59" t="s">
        <v>472</v>
      </c>
      <c r="M112" s="62">
        <v>18</v>
      </c>
      <c r="N112" s="63">
        <v>327</v>
      </c>
      <c r="O112" s="64">
        <v>14.546567</v>
      </c>
      <c r="P112" s="64">
        <v>101.72156200000001</v>
      </c>
      <c r="Q112" s="65" t="s">
        <v>110</v>
      </c>
      <c r="R112" s="65" t="s">
        <v>135</v>
      </c>
      <c r="S112" s="62" t="str">
        <f t="shared" si="88"/>
        <v>Complete</v>
      </c>
      <c r="T112" s="62" t="s">
        <v>124</v>
      </c>
      <c r="U112" s="65" t="s">
        <v>384</v>
      </c>
      <c r="V112" s="65" t="s">
        <v>383</v>
      </c>
      <c r="W112" s="65" t="str">
        <f t="shared" si="89"/>
        <v>Complete</v>
      </c>
      <c r="X112" s="51" t="s">
        <v>448</v>
      </c>
      <c r="Y112" s="65" t="s">
        <v>416</v>
      </c>
      <c r="Z112" s="65"/>
      <c r="AA112" s="62" t="str">
        <f t="shared" si="90"/>
        <v>In progress</v>
      </c>
      <c r="AB112" s="62"/>
      <c r="AC112" s="62"/>
      <c r="AD112" s="65" t="s">
        <v>399</v>
      </c>
      <c r="AE112" s="75" t="s">
        <v>420</v>
      </c>
      <c r="AF112" s="65" t="str">
        <f t="shared" si="91"/>
        <v>Complete</v>
      </c>
      <c r="AG112" s="62" t="s">
        <v>418</v>
      </c>
      <c r="AH112" s="62" t="s">
        <v>447</v>
      </c>
      <c r="AI112" s="62" t="str">
        <f t="shared" si="92"/>
        <v>Complete</v>
      </c>
      <c r="AJ112" s="73">
        <v>244470</v>
      </c>
      <c r="AK112" s="73">
        <v>244470</v>
      </c>
      <c r="AL112" s="62" t="str">
        <f t="shared" si="93"/>
        <v>Complete</v>
      </c>
      <c r="AM112" s="62"/>
      <c r="AN112" s="62" t="s">
        <v>450</v>
      </c>
      <c r="AO112" s="73" t="s">
        <v>451</v>
      </c>
      <c r="AP112" s="62" t="s">
        <v>450</v>
      </c>
      <c r="AQ112" s="62" t="s">
        <v>449</v>
      </c>
      <c r="AR112" s="62"/>
      <c r="AS112" s="62"/>
      <c r="AT112" s="62" t="str">
        <f t="shared" si="94"/>
        <v>Complete</v>
      </c>
      <c r="AU112" s="62"/>
      <c r="AV112" s="62"/>
      <c r="AW112" s="62"/>
      <c r="AX112" s="73">
        <v>244362</v>
      </c>
      <c r="AY112" s="73">
        <v>244375</v>
      </c>
      <c r="AZ112" s="103" t="str">
        <f t="shared" si="87"/>
        <v>Complete</v>
      </c>
      <c r="BA112" s="62"/>
      <c r="BB112" s="62"/>
      <c r="BC112" s="62"/>
      <c r="BD112" s="62"/>
      <c r="BE112" s="62"/>
      <c r="BF112" s="62" t="str">
        <f t="shared" si="95"/>
        <v/>
      </c>
      <c r="BG112" s="65"/>
      <c r="BH112" s="65"/>
      <c r="BI112" s="65" t="str">
        <f t="shared" si="96"/>
        <v/>
      </c>
      <c r="BJ112" s="66"/>
      <c r="BK112" s="66"/>
      <c r="BL112" s="69"/>
      <c r="BM112" s="69" t="s">
        <v>467</v>
      </c>
    </row>
    <row r="113" spans="1:65" s="18" customFormat="1" ht="32.450000000000003" hidden="1" customHeight="1" x14ac:dyDescent="0.45">
      <c r="A113" s="62">
        <v>120</v>
      </c>
      <c r="B113" s="81" t="s">
        <v>175</v>
      </c>
      <c r="C113" s="60" t="s">
        <v>51</v>
      </c>
      <c r="D113" s="60" t="s">
        <v>50</v>
      </c>
      <c r="E113" s="60" t="s">
        <v>48</v>
      </c>
      <c r="F113" s="60" t="s">
        <v>99</v>
      </c>
      <c r="G113" s="60" t="s">
        <v>104</v>
      </c>
      <c r="H113" s="60" t="s">
        <v>301</v>
      </c>
      <c r="I113" s="60"/>
      <c r="J113" s="60" t="s">
        <v>335</v>
      </c>
      <c r="K113" s="62" t="s">
        <v>113</v>
      </c>
      <c r="L113" s="59" t="s">
        <v>123</v>
      </c>
      <c r="M113" s="62">
        <v>9</v>
      </c>
      <c r="N113" s="63">
        <v>431</v>
      </c>
      <c r="O113" s="64">
        <v>14.392044</v>
      </c>
      <c r="P113" s="64">
        <v>101.69290100000001</v>
      </c>
      <c r="Q113" s="65" t="s">
        <v>110</v>
      </c>
      <c r="R113" s="65" t="s">
        <v>109</v>
      </c>
      <c r="S113" s="62" t="str">
        <f t="shared" si="88"/>
        <v>Complete</v>
      </c>
      <c r="T113" s="62" t="s">
        <v>124</v>
      </c>
      <c r="U113" s="65" t="s">
        <v>380</v>
      </c>
      <c r="V113" s="65" t="s">
        <v>380</v>
      </c>
      <c r="W113" s="65" t="str">
        <f t="shared" si="89"/>
        <v>Complete</v>
      </c>
      <c r="X113" s="51" t="s">
        <v>448</v>
      </c>
      <c r="Y113" s="65" t="s">
        <v>414</v>
      </c>
      <c r="Z113" s="65"/>
      <c r="AA113" s="62" t="str">
        <f t="shared" si="90"/>
        <v>In progress</v>
      </c>
      <c r="AB113" s="62"/>
      <c r="AC113" s="62"/>
      <c r="AD113" s="65" t="s">
        <v>110</v>
      </c>
      <c r="AE113" s="73">
        <v>244145</v>
      </c>
      <c r="AF113" s="65" t="str">
        <f t="shared" si="91"/>
        <v>Complete</v>
      </c>
      <c r="AG113" s="73">
        <v>244206</v>
      </c>
      <c r="AH113" s="73" t="s">
        <v>399</v>
      </c>
      <c r="AI113" s="62" t="str">
        <f t="shared" si="92"/>
        <v>Complete</v>
      </c>
      <c r="AJ113" s="62" t="s">
        <v>469</v>
      </c>
      <c r="AK113" s="62"/>
      <c r="AL113" s="62" t="str">
        <f t="shared" si="93"/>
        <v>In progress</v>
      </c>
      <c r="AM113" s="62"/>
      <c r="AN113" s="62"/>
      <c r="AO113" s="62"/>
      <c r="AP113" s="62"/>
      <c r="AQ113" s="62"/>
      <c r="AR113" s="62"/>
      <c r="AS113" s="62"/>
      <c r="AT113" s="62" t="str">
        <f t="shared" si="94"/>
        <v/>
      </c>
      <c r="AU113" s="62"/>
      <c r="AV113" s="62"/>
      <c r="AW113" s="62"/>
      <c r="AX113" s="73">
        <v>244392</v>
      </c>
      <c r="AY113" s="73">
        <v>244408</v>
      </c>
      <c r="AZ113" s="99" t="str">
        <f t="shared" si="87"/>
        <v>Complete</v>
      </c>
      <c r="BA113" s="62"/>
      <c r="BB113" s="62"/>
      <c r="BC113" s="62"/>
      <c r="BD113" s="62"/>
      <c r="BE113" s="62"/>
      <c r="BF113" s="62" t="str">
        <f t="shared" si="95"/>
        <v/>
      </c>
      <c r="BG113" s="65"/>
      <c r="BH113" s="65"/>
      <c r="BI113" s="65" t="str">
        <f t="shared" si="96"/>
        <v/>
      </c>
      <c r="BJ113" s="66"/>
      <c r="BK113" s="66"/>
      <c r="BL113" s="69"/>
      <c r="BM113" s="69"/>
    </row>
    <row r="114" spans="1:65" s="18" customFormat="1" ht="32.450000000000003" hidden="1" customHeight="1" x14ac:dyDescent="0.45">
      <c r="A114" s="59">
        <v>121</v>
      </c>
      <c r="B114" s="81" t="s">
        <v>196</v>
      </c>
      <c r="C114" s="60" t="s">
        <v>51</v>
      </c>
      <c r="D114" s="60" t="s">
        <v>50</v>
      </c>
      <c r="E114" s="60" t="s">
        <v>48</v>
      </c>
      <c r="F114" s="60" t="s">
        <v>99</v>
      </c>
      <c r="G114" s="60" t="s">
        <v>104</v>
      </c>
      <c r="H114" s="60" t="s">
        <v>301</v>
      </c>
      <c r="I114" s="60"/>
      <c r="J114" s="60" t="s">
        <v>350</v>
      </c>
      <c r="K114" s="62" t="s">
        <v>113</v>
      </c>
      <c r="L114" s="59" t="s">
        <v>123</v>
      </c>
      <c r="M114" s="62">
        <v>9</v>
      </c>
      <c r="N114" s="63">
        <v>310</v>
      </c>
      <c r="O114" s="64">
        <v>14.486357</v>
      </c>
      <c r="P114" s="64">
        <v>101.77295700000001</v>
      </c>
      <c r="Q114" s="65" t="s">
        <v>110</v>
      </c>
      <c r="R114" s="65" t="s">
        <v>377</v>
      </c>
      <c r="S114" s="62" t="str">
        <f t="shared" si="88"/>
        <v>Complete</v>
      </c>
      <c r="T114" s="62" t="s">
        <v>124</v>
      </c>
      <c r="U114" s="65" t="s">
        <v>380</v>
      </c>
      <c r="V114" s="65" t="s">
        <v>380</v>
      </c>
      <c r="W114" s="65" t="str">
        <f t="shared" si="89"/>
        <v>Complete</v>
      </c>
      <c r="X114" s="51" t="s">
        <v>448</v>
      </c>
      <c r="Y114" s="65" t="s">
        <v>415</v>
      </c>
      <c r="Z114" s="65"/>
      <c r="AA114" s="62" t="str">
        <f t="shared" si="90"/>
        <v>In progress</v>
      </c>
      <c r="AB114" s="62"/>
      <c r="AC114" s="62"/>
      <c r="AD114" s="65" t="s">
        <v>110</v>
      </c>
      <c r="AE114" s="73">
        <v>244145</v>
      </c>
      <c r="AF114" s="65" t="str">
        <f t="shared" si="91"/>
        <v>Complete</v>
      </c>
      <c r="AG114" s="73">
        <v>244206</v>
      </c>
      <c r="AH114" s="73" t="s">
        <v>399</v>
      </c>
      <c r="AI114" s="62" t="str">
        <f t="shared" si="92"/>
        <v>Complete</v>
      </c>
      <c r="AJ114" s="62" t="s">
        <v>469</v>
      </c>
      <c r="AK114" s="62"/>
      <c r="AL114" s="62" t="str">
        <f t="shared" si="93"/>
        <v>In progress</v>
      </c>
      <c r="AM114" s="62"/>
      <c r="AN114" s="62"/>
      <c r="AO114" s="62"/>
      <c r="AP114" s="62"/>
      <c r="AQ114" s="62"/>
      <c r="AR114" s="62"/>
      <c r="AS114" s="62"/>
      <c r="AT114" s="62" t="str">
        <f t="shared" si="94"/>
        <v/>
      </c>
      <c r="AU114" s="62"/>
      <c r="AV114" s="62"/>
      <c r="AW114" s="62"/>
      <c r="AX114" s="73">
        <v>244376</v>
      </c>
      <c r="AY114" s="73">
        <v>244407</v>
      </c>
      <c r="AZ114" s="99" t="str">
        <f t="shared" si="87"/>
        <v>Complete</v>
      </c>
      <c r="BA114" s="62"/>
      <c r="BB114" s="62"/>
      <c r="BC114" s="62"/>
      <c r="BD114" s="62"/>
      <c r="BE114" s="62"/>
      <c r="BF114" s="62" t="str">
        <f t="shared" si="95"/>
        <v/>
      </c>
      <c r="BG114" s="65"/>
      <c r="BH114" s="65"/>
      <c r="BI114" s="65" t="str">
        <f t="shared" si="96"/>
        <v/>
      </c>
      <c r="BJ114" s="66"/>
      <c r="BK114" s="66"/>
      <c r="BL114" s="69"/>
      <c r="BM114" s="69"/>
    </row>
    <row r="115" spans="1:65" s="18" customFormat="1" ht="32.450000000000003" hidden="1" customHeight="1" x14ac:dyDescent="0.45">
      <c r="A115" s="132">
        <v>122</v>
      </c>
      <c r="B115" s="81" t="s">
        <v>216</v>
      </c>
      <c r="C115" s="60" t="s">
        <v>51</v>
      </c>
      <c r="D115" s="60" t="s">
        <v>50</v>
      </c>
      <c r="E115" s="60" t="s">
        <v>48</v>
      </c>
      <c r="F115" s="60" t="s">
        <v>99</v>
      </c>
      <c r="G115" s="60" t="s">
        <v>104</v>
      </c>
      <c r="H115" s="108" t="s">
        <v>303</v>
      </c>
      <c r="I115" s="108" t="s">
        <v>503</v>
      </c>
      <c r="J115" s="60" t="s">
        <v>364</v>
      </c>
      <c r="K115" s="62" t="s">
        <v>113</v>
      </c>
      <c r="L115" s="59" t="s">
        <v>123</v>
      </c>
      <c r="M115" s="62">
        <v>9</v>
      </c>
      <c r="N115" s="63">
        <v>447</v>
      </c>
      <c r="O115" s="64">
        <v>14.452985</v>
      </c>
      <c r="P115" s="64" t="s">
        <v>371</v>
      </c>
      <c r="Q115" s="65" t="s">
        <v>110</v>
      </c>
      <c r="R115" s="65" t="s">
        <v>377</v>
      </c>
      <c r="S115" s="62" t="str">
        <f t="shared" si="88"/>
        <v>Complete</v>
      </c>
      <c r="T115" s="62" t="s">
        <v>124</v>
      </c>
      <c r="U115" s="65" t="s">
        <v>380</v>
      </c>
      <c r="V115" s="65" t="s">
        <v>380</v>
      </c>
      <c r="W115" s="65" t="str">
        <f t="shared" si="89"/>
        <v>Complete</v>
      </c>
      <c r="X115" s="51" t="s">
        <v>448</v>
      </c>
      <c r="Y115" s="65" t="s">
        <v>415</v>
      </c>
      <c r="Z115" s="65"/>
      <c r="AA115" s="62" t="str">
        <f t="shared" si="90"/>
        <v>In progress</v>
      </c>
      <c r="AB115" s="62"/>
      <c r="AC115" s="62"/>
      <c r="AD115" s="65" t="s">
        <v>110</v>
      </c>
      <c r="AE115" s="73">
        <v>244145</v>
      </c>
      <c r="AF115" s="65" t="str">
        <f t="shared" si="91"/>
        <v>Complete</v>
      </c>
      <c r="AG115" s="73">
        <v>244206</v>
      </c>
      <c r="AH115" s="73" t="s">
        <v>399</v>
      </c>
      <c r="AI115" s="62" t="str">
        <f t="shared" si="92"/>
        <v>Complete</v>
      </c>
      <c r="AJ115" s="62" t="s">
        <v>469</v>
      </c>
      <c r="AK115" s="62"/>
      <c r="AL115" s="62" t="str">
        <f t="shared" si="93"/>
        <v>In progress</v>
      </c>
      <c r="AM115" s="62"/>
      <c r="AN115" s="62"/>
      <c r="AO115" s="62"/>
      <c r="AP115" s="62"/>
      <c r="AQ115" s="62"/>
      <c r="AR115" s="62"/>
      <c r="AS115" s="62"/>
      <c r="AT115" s="62" t="str">
        <f t="shared" si="94"/>
        <v/>
      </c>
      <c r="AU115" s="62"/>
      <c r="AV115" s="107"/>
      <c r="AW115" s="62"/>
      <c r="AX115" s="73">
        <v>244427</v>
      </c>
      <c r="AY115" s="73">
        <v>244437</v>
      </c>
      <c r="AZ115" s="99" t="str">
        <f t="shared" si="87"/>
        <v>Complete</v>
      </c>
      <c r="BA115" s="62"/>
      <c r="BB115" s="62"/>
      <c r="BC115" s="62"/>
      <c r="BD115" s="62"/>
      <c r="BE115" s="62"/>
      <c r="BF115" s="62" t="str">
        <f t="shared" si="95"/>
        <v/>
      </c>
      <c r="BG115" s="65"/>
      <c r="BH115" s="65"/>
      <c r="BI115" s="65" t="str">
        <f t="shared" si="96"/>
        <v/>
      </c>
      <c r="BJ115" s="66"/>
      <c r="BK115" s="66"/>
      <c r="BL115" s="69"/>
      <c r="BM115" s="69"/>
    </row>
    <row r="116" spans="1:65" s="18" customFormat="1" ht="32.450000000000003" hidden="1" customHeight="1" x14ac:dyDescent="0.45">
      <c r="A116" s="59">
        <v>123</v>
      </c>
      <c r="B116" s="81" t="s">
        <v>262</v>
      </c>
      <c r="C116" s="60" t="s">
        <v>51</v>
      </c>
      <c r="D116" s="60" t="s">
        <v>50</v>
      </c>
      <c r="E116" s="60" t="s">
        <v>48</v>
      </c>
      <c r="F116" s="60" t="s">
        <v>99</v>
      </c>
      <c r="G116" s="60" t="s">
        <v>104</v>
      </c>
      <c r="H116" s="60" t="s">
        <v>301</v>
      </c>
      <c r="I116" s="60"/>
      <c r="J116" s="60" t="s">
        <v>335</v>
      </c>
      <c r="K116" s="62" t="s">
        <v>113</v>
      </c>
      <c r="L116" s="59" t="s">
        <v>123</v>
      </c>
      <c r="M116" s="62">
        <v>9</v>
      </c>
      <c r="N116" s="63">
        <v>452</v>
      </c>
      <c r="O116" s="64">
        <v>14.43737</v>
      </c>
      <c r="P116" s="64">
        <v>101.70217599999999</v>
      </c>
      <c r="Q116" s="65" t="s">
        <v>110</v>
      </c>
      <c r="R116" s="65" t="s">
        <v>108</v>
      </c>
      <c r="S116" s="62" t="str">
        <f t="shared" si="88"/>
        <v>Complete</v>
      </c>
      <c r="T116" s="62" t="s">
        <v>124</v>
      </c>
      <c r="U116" s="65" t="s">
        <v>380</v>
      </c>
      <c r="V116" s="65" t="s">
        <v>380</v>
      </c>
      <c r="W116" s="65" t="str">
        <f t="shared" si="89"/>
        <v>Complete</v>
      </c>
      <c r="X116" s="51" t="s">
        <v>448</v>
      </c>
      <c r="Y116" s="65" t="s">
        <v>413</v>
      </c>
      <c r="Z116" s="65"/>
      <c r="AA116" s="62" t="str">
        <f t="shared" si="90"/>
        <v>In progress</v>
      </c>
      <c r="AB116" s="62"/>
      <c r="AC116" s="62"/>
      <c r="AD116" s="65" t="s">
        <v>110</v>
      </c>
      <c r="AE116" s="73">
        <v>244145</v>
      </c>
      <c r="AF116" s="65" t="str">
        <f t="shared" si="91"/>
        <v>Complete</v>
      </c>
      <c r="AG116" s="73">
        <v>244206</v>
      </c>
      <c r="AH116" s="73" t="s">
        <v>399</v>
      </c>
      <c r="AI116" s="62" t="str">
        <f t="shared" si="92"/>
        <v>Complete</v>
      </c>
      <c r="AJ116" s="62" t="s">
        <v>469</v>
      </c>
      <c r="AK116" s="62"/>
      <c r="AL116" s="62" t="str">
        <f t="shared" si="93"/>
        <v>In progress</v>
      </c>
      <c r="AM116" s="62"/>
      <c r="AN116" s="62"/>
      <c r="AO116" s="62"/>
      <c r="AP116" s="62"/>
      <c r="AQ116" s="62"/>
      <c r="AR116" s="62"/>
      <c r="AS116" s="62"/>
      <c r="AT116" s="62" t="str">
        <f t="shared" si="94"/>
        <v/>
      </c>
      <c r="AU116" s="62"/>
      <c r="AV116" s="62"/>
      <c r="AW116" s="62"/>
      <c r="AX116" s="73">
        <v>244376</v>
      </c>
      <c r="AY116" s="73">
        <v>244408</v>
      </c>
      <c r="AZ116" s="99" t="str">
        <f t="shared" si="87"/>
        <v>Complete</v>
      </c>
      <c r="BA116" s="62"/>
      <c r="BB116" s="62"/>
      <c r="BC116" s="62"/>
      <c r="BD116" s="62"/>
      <c r="BE116" s="62"/>
      <c r="BF116" s="62" t="str">
        <f t="shared" si="95"/>
        <v/>
      </c>
      <c r="BG116" s="65"/>
      <c r="BH116" s="65"/>
      <c r="BI116" s="65" t="str">
        <f t="shared" si="96"/>
        <v/>
      </c>
      <c r="BJ116" s="66"/>
      <c r="BK116" s="66"/>
      <c r="BL116" s="69"/>
      <c r="BM116" s="69"/>
    </row>
    <row r="117" spans="1:65" s="18" customFormat="1" ht="32.450000000000003" hidden="1" customHeight="1" x14ac:dyDescent="0.45">
      <c r="A117" s="62">
        <v>124</v>
      </c>
      <c r="B117" s="81" t="s">
        <v>272</v>
      </c>
      <c r="C117" s="60" t="s">
        <v>51</v>
      </c>
      <c r="D117" s="60" t="s">
        <v>50</v>
      </c>
      <c r="E117" s="60" t="s">
        <v>48</v>
      </c>
      <c r="F117" s="60" t="s">
        <v>99</v>
      </c>
      <c r="G117" s="60" t="s">
        <v>104</v>
      </c>
      <c r="H117" s="60" t="s">
        <v>301</v>
      </c>
      <c r="I117" s="60"/>
      <c r="J117" s="60" t="s">
        <v>350</v>
      </c>
      <c r="K117" s="62" t="s">
        <v>113</v>
      </c>
      <c r="L117" s="59" t="s">
        <v>472</v>
      </c>
      <c r="M117" s="62">
        <v>18</v>
      </c>
      <c r="N117" s="63">
        <v>462</v>
      </c>
      <c r="O117" s="64">
        <v>14.421233000000001</v>
      </c>
      <c r="P117" s="64">
        <v>101.70012</v>
      </c>
      <c r="Q117" s="65" t="s">
        <v>110</v>
      </c>
      <c r="R117" s="65" t="s">
        <v>377</v>
      </c>
      <c r="S117" s="62" t="str">
        <f t="shared" si="88"/>
        <v>Complete</v>
      </c>
      <c r="T117" s="62" t="s">
        <v>124</v>
      </c>
      <c r="U117" s="65" t="s">
        <v>383</v>
      </c>
      <c r="V117" s="65" t="s">
        <v>383</v>
      </c>
      <c r="W117" s="65" t="str">
        <f t="shared" si="89"/>
        <v>Complete</v>
      </c>
      <c r="X117" s="51" t="s">
        <v>448</v>
      </c>
      <c r="Y117" s="65" t="s">
        <v>415</v>
      </c>
      <c r="Z117" s="65"/>
      <c r="AA117" s="62" t="str">
        <f t="shared" si="90"/>
        <v>In progress</v>
      </c>
      <c r="AB117" s="62"/>
      <c r="AC117" s="62"/>
      <c r="AD117" s="65" t="s">
        <v>399</v>
      </c>
      <c r="AE117" s="75" t="s">
        <v>420</v>
      </c>
      <c r="AF117" s="65" t="str">
        <f t="shared" si="91"/>
        <v>Complete</v>
      </c>
      <c r="AG117" s="62" t="s">
        <v>418</v>
      </c>
      <c r="AH117" s="62" t="s">
        <v>447</v>
      </c>
      <c r="AI117" s="62" t="str">
        <f t="shared" si="92"/>
        <v>Complete</v>
      </c>
      <c r="AJ117" s="73">
        <v>244470</v>
      </c>
      <c r="AK117" s="73">
        <v>244470</v>
      </c>
      <c r="AL117" s="62" t="str">
        <f t="shared" si="93"/>
        <v>Complete</v>
      </c>
      <c r="AM117" s="62"/>
      <c r="AN117" s="62" t="s">
        <v>465</v>
      </c>
      <c r="AO117" s="73" t="s">
        <v>466</v>
      </c>
      <c r="AP117" s="62" t="s">
        <v>458</v>
      </c>
      <c r="AQ117" s="62"/>
      <c r="AR117" s="62"/>
      <c r="AS117" s="62"/>
      <c r="AT117" s="62" t="str">
        <f t="shared" si="94"/>
        <v>In progress</v>
      </c>
      <c r="AU117" s="62"/>
      <c r="AV117" s="62"/>
      <c r="AW117" s="62"/>
      <c r="AX117" s="73">
        <v>244364</v>
      </c>
      <c r="AY117" s="73">
        <v>244375</v>
      </c>
      <c r="AZ117" s="103" t="str">
        <f t="shared" ref="AZ117:AZ123" si="97">IF(AY117&lt;&gt;"", "Complete", IF(AX117&lt;&gt;"", "In progress", ""))</f>
        <v>Complete</v>
      </c>
      <c r="BA117" s="62"/>
      <c r="BB117" s="62"/>
      <c r="BC117" s="62"/>
      <c r="BD117" s="62"/>
      <c r="BE117" s="62"/>
      <c r="BF117" s="62" t="str">
        <f t="shared" si="95"/>
        <v/>
      </c>
      <c r="BG117" s="65"/>
      <c r="BH117" s="65"/>
      <c r="BI117" s="65" t="str">
        <f t="shared" si="96"/>
        <v/>
      </c>
      <c r="BJ117" s="66"/>
      <c r="BK117" s="66"/>
      <c r="BL117" s="69"/>
      <c r="BM117" s="55" t="s">
        <v>457</v>
      </c>
    </row>
    <row r="118" spans="1:65" s="18" customFormat="1" ht="32.450000000000003" hidden="1" customHeight="1" x14ac:dyDescent="0.45">
      <c r="A118" s="62">
        <v>125</v>
      </c>
      <c r="B118" s="81" t="s">
        <v>176</v>
      </c>
      <c r="C118" s="60" t="s">
        <v>51</v>
      </c>
      <c r="D118" s="60" t="s">
        <v>50</v>
      </c>
      <c r="E118" s="60" t="s">
        <v>48</v>
      </c>
      <c r="F118" s="60" t="s">
        <v>99</v>
      </c>
      <c r="G118" s="60" t="s">
        <v>104</v>
      </c>
      <c r="H118" s="60" t="s">
        <v>302</v>
      </c>
      <c r="I118" s="60"/>
      <c r="J118" s="60" t="s">
        <v>365</v>
      </c>
      <c r="K118" s="62" t="s">
        <v>113</v>
      </c>
      <c r="L118" s="59" t="s">
        <v>123</v>
      </c>
      <c r="M118" s="62">
        <v>9</v>
      </c>
      <c r="N118" s="63">
        <v>430</v>
      </c>
      <c r="O118" s="64">
        <v>14.421233000000001</v>
      </c>
      <c r="P118" s="64">
        <v>101.70012</v>
      </c>
      <c r="Q118" s="65" t="s">
        <v>110</v>
      </c>
      <c r="R118" s="65" t="s">
        <v>108</v>
      </c>
      <c r="S118" s="62" t="str">
        <f t="shared" si="88"/>
        <v>Complete</v>
      </c>
      <c r="T118" s="62" t="s">
        <v>124</v>
      </c>
      <c r="U118" s="65" t="s">
        <v>380</v>
      </c>
      <c r="V118" s="65" t="s">
        <v>380</v>
      </c>
      <c r="W118" s="65" t="str">
        <f t="shared" si="89"/>
        <v>Complete</v>
      </c>
      <c r="X118" s="51" t="s">
        <v>448</v>
      </c>
      <c r="Y118" s="65" t="s">
        <v>413</v>
      </c>
      <c r="Z118" s="65"/>
      <c r="AA118" s="62" t="str">
        <f t="shared" si="90"/>
        <v>In progress</v>
      </c>
      <c r="AB118" s="62"/>
      <c r="AC118" s="62"/>
      <c r="AD118" s="65" t="s">
        <v>110</v>
      </c>
      <c r="AE118" s="73">
        <v>244145</v>
      </c>
      <c r="AF118" s="65" t="str">
        <f t="shared" si="91"/>
        <v>Complete</v>
      </c>
      <c r="AG118" s="73">
        <v>244206</v>
      </c>
      <c r="AH118" s="73" t="s">
        <v>399</v>
      </c>
      <c r="AI118" s="62" t="str">
        <f t="shared" si="92"/>
        <v>Complete</v>
      </c>
      <c r="AJ118" s="62" t="s">
        <v>469</v>
      </c>
      <c r="AK118" s="62"/>
      <c r="AL118" s="62" t="str">
        <f t="shared" si="93"/>
        <v>In progress</v>
      </c>
      <c r="AM118" s="62"/>
      <c r="AN118" s="62"/>
      <c r="AO118" s="62"/>
      <c r="AP118" s="62"/>
      <c r="AQ118" s="62"/>
      <c r="AR118" s="62"/>
      <c r="AS118" s="62"/>
      <c r="AT118" s="62" t="str">
        <f t="shared" si="94"/>
        <v/>
      </c>
      <c r="AU118" s="62"/>
      <c r="AV118" s="62"/>
      <c r="AW118" s="62"/>
      <c r="AX118" s="73">
        <v>244393</v>
      </c>
      <c r="AY118" s="73">
        <v>244409</v>
      </c>
      <c r="AZ118" s="99" t="str">
        <f t="shared" si="97"/>
        <v>Complete</v>
      </c>
      <c r="BA118" s="62"/>
      <c r="BB118" s="62"/>
      <c r="BC118" s="62"/>
      <c r="BD118" s="62"/>
      <c r="BE118" s="62"/>
      <c r="BF118" s="62" t="str">
        <f t="shared" si="95"/>
        <v/>
      </c>
      <c r="BG118" s="65"/>
      <c r="BH118" s="65"/>
      <c r="BI118" s="65" t="str">
        <f t="shared" si="96"/>
        <v/>
      </c>
      <c r="BJ118" s="66"/>
      <c r="BK118" s="66"/>
      <c r="BL118" s="69"/>
      <c r="BM118" s="69"/>
    </row>
    <row r="119" spans="1:65" s="18" customFormat="1" ht="32.450000000000003" hidden="1" customHeight="1" x14ac:dyDescent="0.45">
      <c r="A119" s="59">
        <v>126</v>
      </c>
      <c r="B119" s="81" t="s">
        <v>177</v>
      </c>
      <c r="C119" s="60" t="s">
        <v>51</v>
      </c>
      <c r="D119" s="60" t="s">
        <v>50</v>
      </c>
      <c r="E119" s="60" t="s">
        <v>48</v>
      </c>
      <c r="F119" s="60" t="s">
        <v>99</v>
      </c>
      <c r="G119" s="60" t="s">
        <v>104</v>
      </c>
      <c r="H119" s="60" t="s">
        <v>301</v>
      </c>
      <c r="I119" s="60"/>
      <c r="J119" s="60" t="s">
        <v>358</v>
      </c>
      <c r="K119" s="62" t="s">
        <v>113</v>
      </c>
      <c r="L119" s="59" t="s">
        <v>123</v>
      </c>
      <c r="M119" s="62">
        <v>9</v>
      </c>
      <c r="N119" s="63">
        <v>432</v>
      </c>
      <c r="O119" s="64">
        <v>14.43215</v>
      </c>
      <c r="P119" s="64">
        <v>101.67778</v>
      </c>
      <c r="Q119" s="65" t="s">
        <v>110</v>
      </c>
      <c r="R119" s="65" t="s">
        <v>108</v>
      </c>
      <c r="S119" s="62" t="str">
        <f t="shared" si="88"/>
        <v>Complete</v>
      </c>
      <c r="T119" s="62" t="s">
        <v>124</v>
      </c>
      <c r="U119" s="65" t="s">
        <v>380</v>
      </c>
      <c r="V119" s="65" t="s">
        <v>380</v>
      </c>
      <c r="W119" s="65" t="str">
        <f t="shared" si="89"/>
        <v>Complete</v>
      </c>
      <c r="X119" s="51" t="s">
        <v>448</v>
      </c>
      <c r="Y119" s="65" t="s">
        <v>413</v>
      </c>
      <c r="Z119" s="65"/>
      <c r="AA119" s="62" t="str">
        <f t="shared" si="90"/>
        <v>In progress</v>
      </c>
      <c r="AB119" s="62"/>
      <c r="AC119" s="62"/>
      <c r="AD119" s="65" t="s">
        <v>110</v>
      </c>
      <c r="AE119" s="73">
        <v>244145</v>
      </c>
      <c r="AF119" s="65" t="str">
        <f t="shared" si="91"/>
        <v>Complete</v>
      </c>
      <c r="AG119" s="73">
        <v>244206</v>
      </c>
      <c r="AH119" s="73" t="s">
        <v>399</v>
      </c>
      <c r="AI119" s="62" t="str">
        <f t="shared" si="92"/>
        <v>Complete</v>
      </c>
      <c r="AJ119" s="62" t="s">
        <v>469</v>
      </c>
      <c r="AK119" s="62"/>
      <c r="AL119" s="62" t="str">
        <f t="shared" si="93"/>
        <v>In progress</v>
      </c>
      <c r="AM119" s="62"/>
      <c r="AN119" s="62"/>
      <c r="AO119" s="62"/>
      <c r="AP119" s="62"/>
      <c r="AQ119" s="62"/>
      <c r="AR119" s="62"/>
      <c r="AS119" s="62"/>
      <c r="AT119" s="62" t="str">
        <f t="shared" si="94"/>
        <v/>
      </c>
      <c r="AU119" s="62"/>
      <c r="AV119" s="62"/>
      <c r="AW119" s="62"/>
      <c r="AX119" s="73">
        <v>244376</v>
      </c>
      <c r="AY119" s="73">
        <v>244409</v>
      </c>
      <c r="AZ119" s="99" t="str">
        <f t="shared" si="97"/>
        <v>Complete</v>
      </c>
      <c r="BA119" s="62"/>
      <c r="BB119" s="62"/>
      <c r="BC119" s="62"/>
      <c r="BD119" s="62"/>
      <c r="BE119" s="62"/>
      <c r="BF119" s="62" t="str">
        <f t="shared" si="95"/>
        <v/>
      </c>
      <c r="BG119" s="65"/>
      <c r="BH119" s="65"/>
      <c r="BI119" s="65" t="str">
        <f t="shared" si="96"/>
        <v/>
      </c>
      <c r="BJ119" s="66"/>
      <c r="BK119" s="66"/>
      <c r="BL119" s="69"/>
      <c r="BM119" s="69"/>
    </row>
    <row r="120" spans="1:65" s="18" customFormat="1" ht="32.450000000000003" hidden="1" customHeight="1" x14ac:dyDescent="0.45">
      <c r="A120" s="59">
        <v>127</v>
      </c>
      <c r="B120" s="81" t="s">
        <v>197</v>
      </c>
      <c r="C120" s="60" t="s">
        <v>51</v>
      </c>
      <c r="D120" s="60" t="s">
        <v>50</v>
      </c>
      <c r="E120" s="60" t="s">
        <v>48</v>
      </c>
      <c r="F120" s="60" t="s">
        <v>99</v>
      </c>
      <c r="G120" s="60" t="s">
        <v>104</v>
      </c>
      <c r="H120" s="60" t="s">
        <v>301</v>
      </c>
      <c r="I120" s="60"/>
      <c r="J120" s="60" t="s">
        <v>366</v>
      </c>
      <c r="K120" s="62" t="s">
        <v>113</v>
      </c>
      <c r="L120" s="59" t="s">
        <v>123</v>
      </c>
      <c r="M120" s="62">
        <v>9</v>
      </c>
      <c r="N120" s="63">
        <v>418</v>
      </c>
      <c r="O120" s="64">
        <v>14.476616</v>
      </c>
      <c r="P120" s="64">
        <v>101.68692799999999</v>
      </c>
      <c r="Q120" s="65" t="s">
        <v>110</v>
      </c>
      <c r="R120" s="65" t="s">
        <v>377</v>
      </c>
      <c r="S120" s="62" t="str">
        <f t="shared" si="88"/>
        <v>Complete</v>
      </c>
      <c r="T120" s="62" t="s">
        <v>124</v>
      </c>
      <c r="U120" s="65" t="s">
        <v>380</v>
      </c>
      <c r="V120" s="65" t="s">
        <v>380</v>
      </c>
      <c r="W120" s="65" t="str">
        <f t="shared" si="89"/>
        <v>Complete</v>
      </c>
      <c r="X120" s="51" t="s">
        <v>448</v>
      </c>
      <c r="Y120" s="65" t="s">
        <v>415</v>
      </c>
      <c r="Z120" s="65"/>
      <c r="AA120" s="62" t="str">
        <f t="shared" si="90"/>
        <v>In progress</v>
      </c>
      <c r="AB120" s="62"/>
      <c r="AC120" s="62"/>
      <c r="AD120" s="65" t="s">
        <v>110</v>
      </c>
      <c r="AE120" s="73">
        <v>244145</v>
      </c>
      <c r="AF120" s="65" t="str">
        <f t="shared" si="91"/>
        <v>Complete</v>
      </c>
      <c r="AG120" s="73">
        <v>244206</v>
      </c>
      <c r="AH120" s="73" t="s">
        <v>399</v>
      </c>
      <c r="AI120" s="62" t="str">
        <f t="shared" si="92"/>
        <v>Complete</v>
      </c>
      <c r="AJ120" s="62" t="s">
        <v>469</v>
      </c>
      <c r="AK120" s="62"/>
      <c r="AL120" s="62" t="str">
        <f t="shared" si="93"/>
        <v>In progress</v>
      </c>
      <c r="AM120" s="62"/>
      <c r="AN120" s="62"/>
      <c r="AO120" s="62"/>
      <c r="AP120" s="62"/>
      <c r="AQ120" s="62"/>
      <c r="AR120" s="62"/>
      <c r="AS120" s="62"/>
      <c r="AT120" s="62" t="str">
        <f t="shared" si="94"/>
        <v/>
      </c>
      <c r="AU120" s="62"/>
      <c r="AV120" s="62"/>
      <c r="AW120" s="62"/>
      <c r="AX120" s="73">
        <v>244377</v>
      </c>
      <c r="AY120" s="73">
        <v>244409</v>
      </c>
      <c r="AZ120" s="99" t="str">
        <f t="shared" si="97"/>
        <v>Complete</v>
      </c>
      <c r="BA120" s="62"/>
      <c r="BB120" s="62"/>
      <c r="BC120" s="62"/>
      <c r="BD120" s="62"/>
      <c r="BE120" s="62"/>
      <c r="BF120" s="62" t="str">
        <f t="shared" si="95"/>
        <v/>
      </c>
      <c r="BG120" s="65"/>
      <c r="BH120" s="65"/>
      <c r="BI120" s="65" t="str">
        <f t="shared" si="96"/>
        <v/>
      </c>
      <c r="BJ120" s="66"/>
      <c r="BK120" s="66"/>
      <c r="BL120" s="69"/>
      <c r="BM120" s="69"/>
    </row>
    <row r="121" spans="1:65" s="18" customFormat="1" ht="32.450000000000003" hidden="1" customHeight="1" x14ac:dyDescent="0.45">
      <c r="A121" s="59">
        <v>128</v>
      </c>
      <c r="B121" s="81" t="s">
        <v>217</v>
      </c>
      <c r="C121" s="60" t="s">
        <v>51</v>
      </c>
      <c r="D121" s="60" t="s">
        <v>50</v>
      </c>
      <c r="E121" s="60" t="s">
        <v>48</v>
      </c>
      <c r="F121" s="60" t="s">
        <v>99</v>
      </c>
      <c r="G121" s="60" t="s">
        <v>104</v>
      </c>
      <c r="H121" s="60" t="s">
        <v>301</v>
      </c>
      <c r="I121" s="60"/>
      <c r="J121" s="60" t="s">
        <v>351</v>
      </c>
      <c r="K121" s="62" t="s">
        <v>113</v>
      </c>
      <c r="L121" s="59" t="s">
        <v>123</v>
      </c>
      <c r="M121" s="62">
        <v>9</v>
      </c>
      <c r="N121" s="63">
        <v>425</v>
      </c>
      <c r="O121" s="64">
        <v>14.450813999999999</v>
      </c>
      <c r="P121" s="64">
        <v>101.74449199999999</v>
      </c>
      <c r="Q121" s="65" t="s">
        <v>110</v>
      </c>
      <c r="R121" s="65" t="s">
        <v>135</v>
      </c>
      <c r="S121" s="62" t="str">
        <f t="shared" si="88"/>
        <v>Complete</v>
      </c>
      <c r="T121" s="62" t="s">
        <v>124</v>
      </c>
      <c r="U121" s="65" t="s">
        <v>380</v>
      </c>
      <c r="V121" s="65" t="s">
        <v>380</v>
      </c>
      <c r="W121" s="65" t="str">
        <f t="shared" si="89"/>
        <v>Complete</v>
      </c>
      <c r="X121" s="51" t="s">
        <v>448</v>
      </c>
      <c r="Y121" s="65" t="s">
        <v>416</v>
      </c>
      <c r="Z121" s="65"/>
      <c r="AA121" s="62" t="str">
        <f t="shared" si="90"/>
        <v>In progress</v>
      </c>
      <c r="AB121" s="62"/>
      <c r="AC121" s="62"/>
      <c r="AD121" s="65" t="s">
        <v>110</v>
      </c>
      <c r="AE121" s="73">
        <v>244145</v>
      </c>
      <c r="AF121" s="65" t="str">
        <f t="shared" si="91"/>
        <v>Complete</v>
      </c>
      <c r="AG121" s="73">
        <v>244206</v>
      </c>
      <c r="AH121" s="73" t="s">
        <v>399</v>
      </c>
      <c r="AI121" s="62" t="str">
        <f t="shared" si="92"/>
        <v>Complete</v>
      </c>
      <c r="AJ121" s="62" t="s">
        <v>469</v>
      </c>
      <c r="AK121" s="62"/>
      <c r="AL121" s="62" t="str">
        <f t="shared" si="93"/>
        <v>In progress</v>
      </c>
      <c r="AM121" s="62"/>
      <c r="AN121" s="62"/>
      <c r="AO121" s="62"/>
      <c r="AP121" s="62"/>
      <c r="AQ121" s="62"/>
      <c r="AR121" s="62"/>
      <c r="AS121" s="62"/>
      <c r="AT121" s="62" t="str">
        <f t="shared" si="94"/>
        <v/>
      </c>
      <c r="AU121" s="62"/>
      <c r="AV121" s="62"/>
      <c r="AW121" s="62"/>
      <c r="AX121" s="73">
        <v>244376</v>
      </c>
      <c r="AY121" s="73">
        <v>244407</v>
      </c>
      <c r="AZ121" s="99" t="str">
        <f t="shared" si="97"/>
        <v>Complete</v>
      </c>
      <c r="BA121" s="62"/>
      <c r="BB121" s="62"/>
      <c r="BC121" s="62"/>
      <c r="BD121" s="62"/>
      <c r="BE121" s="62"/>
      <c r="BF121" s="62" t="str">
        <f t="shared" si="95"/>
        <v/>
      </c>
      <c r="BG121" s="65"/>
      <c r="BH121" s="65"/>
      <c r="BI121" s="65" t="str">
        <f t="shared" si="96"/>
        <v/>
      </c>
      <c r="BJ121" s="66"/>
      <c r="BK121" s="66"/>
      <c r="BL121" s="69"/>
      <c r="BM121" s="69"/>
    </row>
    <row r="122" spans="1:65" s="18" customFormat="1" ht="32.450000000000003" hidden="1" customHeight="1" x14ac:dyDescent="0.45">
      <c r="A122" s="62">
        <v>129</v>
      </c>
      <c r="B122" s="81" t="s">
        <v>232</v>
      </c>
      <c r="C122" s="60" t="s">
        <v>51</v>
      </c>
      <c r="D122" s="60" t="s">
        <v>50</v>
      </c>
      <c r="E122" s="60" t="s">
        <v>48</v>
      </c>
      <c r="F122" s="60" t="s">
        <v>99</v>
      </c>
      <c r="G122" s="60" t="s">
        <v>104</v>
      </c>
      <c r="H122" s="60" t="s">
        <v>304</v>
      </c>
      <c r="I122" s="60"/>
      <c r="J122" s="60" t="s">
        <v>350</v>
      </c>
      <c r="K122" s="62" t="s">
        <v>113</v>
      </c>
      <c r="L122" s="59" t="s">
        <v>123</v>
      </c>
      <c r="M122" s="62">
        <v>9</v>
      </c>
      <c r="N122" s="63">
        <v>436</v>
      </c>
      <c r="O122" s="64">
        <v>14.409416999999999</v>
      </c>
      <c r="P122" s="64">
        <v>101.68508</v>
      </c>
      <c r="Q122" s="65" t="s">
        <v>110</v>
      </c>
      <c r="R122" s="65" t="s">
        <v>109</v>
      </c>
      <c r="S122" s="62" t="str">
        <f t="shared" si="88"/>
        <v>Complete</v>
      </c>
      <c r="T122" s="62" t="s">
        <v>124</v>
      </c>
      <c r="U122" s="65" t="s">
        <v>380</v>
      </c>
      <c r="V122" s="65" t="s">
        <v>380</v>
      </c>
      <c r="W122" s="65" t="str">
        <f t="shared" si="89"/>
        <v>Complete</v>
      </c>
      <c r="X122" s="51" t="s">
        <v>448</v>
      </c>
      <c r="Y122" s="65" t="s">
        <v>414</v>
      </c>
      <c r="Z122" s="65"/>
      <c r="AA122" s="62" t="str">
        <f t="shared" si="90"/>
        <v>In progress</v>
      </c>
      <c r="AB122" s="62"/>
      <c r="AC122" s="62"/>
      <c r="AD122" s="65" t="s">
        <v>110</v>
      </c>
      <c r="AE122" s="73">
        <v>244145</v>
      </c>
      <c r="AF122" s="65" t="str">
        <f t="shared" si="91"/>
        <v>Complete</v>
      </c>
      <c r="AG122" s="73">
        <v>244206</v>
      </c>
      <c r="AH122" s="73" t="s">
        <v>399</v>
      </c>
      <c r="AI122" s="62" t="str">
        <f t="shared" si="92"/>
        <v>Complete</v>
      </c>
      <c r="AJ122" s="62" t="s">
        <v>469</v>
      </c>
      <c r="AK122" s="62"/>
      <c r="AL122" s="62" t="str">
        <f t="shared" si="93"/>
        <v>In progress</v>
      </c>
      <c r="AM122" s="62"/>
      <c r="AN122" s="62"/>
      <c r="AO122" s="62"/>
      <c r="AP122" s="62"/>
      <c r="AQ122" s="62"/>
      <c r="AR122" s="62"/>
      <c r="AS122" s="62"/>
      <c r="AT122" s="62" t="str">
        <f t="shared" si="94"/>
        <v/>
      </c>
      <c r="AU122" s="62"/>
      <c r="AV122" s="62"/>
      <c r="AW122" s="62"/>
      <c r="AX122" s="73">
        <v>244376</v>
      </c>
      <c r="AY122" s="73">
        <v>244408</v>
      </c>
      <c r="AZ122" s="99" t="str">
        <f t="shared" si="97"/>
        <v>Complete</v>
      </c>
      <c r="BA122" s="62"/>
      <c r="BB122" s="62"/>
      <c r="BC122" s="62"/>
      <c r="BD122" s="62"/>
      <c r="BE122" s="62"/>
      <c r="BF122" s="62" t="str">
        <f t="shared" si="95"/>
        <v/>
      </c>
      <c r="BG122" s="65"/>
      <c r="BH122" s="65"/>
      <c r="BI122" s="65" t="str">
        <f t="shared" si="96"/>
        <v/>
      </c>
      <c r="BJ122" s="66"/>
      <c r="BK122" s="66"/>
      <c r="BL122" s="69"/>
      <c r="BM122" s="69"/>
    </row>
    <row r="123" spans="1:65" s="18" customFormat="1" ht="32.450000000000003" hidden="1" customHeight="1" x14ac:dyDescent="0.45">
      <c r="A123" s="62">
        <v>130</v>
      </c>
      <c r="B123" s="81" t="s">
        <v>249</v>
      </c>
      <c r="C123" s="60" t="s">
        <v>51</v>
      </c>
      <c r="D123" s="60" t="s">
        <v>50</v>
      </c>
      <c r="E123" s="60" t="s">
        <v>48</v>
      </c>
      <c r="F123" s="60" t="s">
        <v>99</v>
      </c>
      <c r="G123" s="60" t="s">
        <v>104</v>
      </c>
      <c r="H123" s="60" t="s">
        <v>301</v>
      </c>
      <c r="I123" s="60"/>
      <c r="J123" s="60" t="s">
        <v>337</v>
      </c>
      <c r="K123" s="62" t="s">
        <v>113</v>
      </c>
      <c r="L123" s="59" t="s">
        <v>123</v>
      </c>
      <c r="M123" s="62">
        <v>9</v>
      </c>
      <c r="N123" s="63">
        <v>295</v>
      </c>
      <c r="O123" s="64">
        <v>14.49277</v>
      </c>
      <c r="P123" s="64">
        <v>101.77584</v>
      </c>
      <c r="Q123" s="65" t="s">
        <v>110</v>
      </c>
      <c r="R123" s="65" t="s">
        <v>135</v>
      </c>
      <c r="S123" s="62" t="str">
        <f t="shared" si="88"/>
        <v>Complete</v>
      </c>
      <c r="T123" s="62" t="s">
        <v>124</v>
      </c>
      <c r="U123" s="65" t="s">
        <v>380</v>
      </c>
      <c r="V123" s="65" t="s">
        <v>380</v>
      </c>
      <c r="W123" s="65" t="str">
        <f t="shared" si="89"/>
        <v>Complete</v>
      </c>
      <c r="X123" s="51" t="s">
        <v>448</v>
      </c>
      <c r="Y123" s="65" t="s">
        <v>416</v>
      </c>
      <c r="Z123" s="65"/>
      <c r="AA123" s="62" t="str">
        <f t="shared" si="90"/>
        <v>In progress</v>
      </c>
      <c r="AB123" s="62"/>
      <c r="AC123" s="62"/>
      <c r="AD123" s="65" t="s">
        <v>110</v>
      </c>
      <c r="AE123" s="73">
        <v>244145</v>
      </c>
      <c r="AF123" s="65" t="str">
        <f t="shared" si="91"/>
        <v>Complete</v>
      </c>
      <c r="AG123" s="73">
        <v>244206</v>
      </c>
      <c r="AH123" s="73" t="s">
        <v>399</v>
      </c>
      <c r="AI123" s="62" t="str">
        <f t="shared" si="92"/>
        <v>Complete</v>
      </c>
      <c r="AJ123" s="62" t="s">
        <v>469</v>
      </c>
      <c r="AK123" s="62"/>
      <c r="AL123" s="62" t="str">
        <f t="shared" si="93"/>
        <v>In progress</v>
      </c>
      <c r="AM123" s="62"/>
      <c r="AN123" s="62"/>
      <c r="AO123" s="62"/>
      <c r="AP123" s="62"/>
      <c r="AQ123" s="62"/>
      <c r="AR123" s="62"/>
      <c r="AS123" s="62"/>
      <c r="AT123" s="62" t="str">
        <f t="shared" si="94"/>
        <v/>
      </c>
      <c r="AU123" s="62"/>
      <c r="AV123" s="62"/>
      <c r="AW123" s="62"/>
      <c r="AX123" s="73">
        <v>244376</v>
      </c>
      <c r="AY123" s="73">
        <v>244407</v>
      </c>
      <c r="AZ123" s="99" t="str">
        <f t="shared" si="97"/>
        <v>Complete</v>
      </c>
      <c r="BA123" s="62"/>
      <c r="BB123" s="62"/>
      <c r="BC123" s="62"/>
      <c r="BD123" s="62"/>
      <c r="BE123" s="62"/>
      <c r="BF123" s="62" t="str">
        <f t="shared" si="95"/>
        <v/>
      </c>
      <c r="BG123" s="65"/>
      <c r="BH123" s="65"/>
      <c r="BI123" s="65" t="str">
        <f t="shared" si="96"/>
        <v/>
      </c>
      <c r="BJ123" s="66"/>
      <c r="BK123" s="66"/>
      <c r="BL123" s="69"/>
      <c r="BM123" s="69"/>
    </row>
    <row r="124" spans="1:65" s="18" customFormat="1" ht="32.450000000000003" customHeight="1" x14ac:dyDescent="0.45">
      <c r="A124" s="59">
        <v>131</v>
      </c>
      <c r="B124" s="96" t="s">
        <v>286</v>
      </c>
      <c r="C124" s="60" t="s">
        <v>52</v>
      </c>
      <c r="D124" s="60" t="s">
        <v>53</v>
      </c>
      <c r="E124" s="60" t="s">
        <v>54</v>
      </c>
      <c r="F124" s="60" t="s">
        <v>98</v>
      </c>
      <c r="G124" s="60" t="s">
        <v>107</v>
      </c>
      <c r="H124" s="60" t="s">
        <v>303</v>
      </c>
      <c r="I124" s="60"/>
      <c r="J124" s="60" t="s">
        <v>340</v>
      </c>
      <c r="K124" s="59" t="s">
        <v>112</v>
      </c>
      <c r="L124" s="59" t="s">
        <v>123</v>
      </c>
      <c r="M124" s="59">
        <v>9</v>
      </c>
      <c r="N124" s="63">
        <v>10</v>
      </c>
      <c r="O124" s="64">
        <v>8.1930239999999994</v>
      </c>
      <c r="P124" s="64">
        <v>100.250653</v>
      </c>
      <c r="Q124" s="65" t="s">
        <v>110</v>
      </c>
      <c r="R124" s="65" t="s">
        <v>110</v>
      </c>
      <c r="S124" s="62" t="str">
        <f t="shared" ref="S124:S170" si="98">IF(R124&lt;&gt;"", "Complete", IF(Q124&lt;&gt;"", "In progress", ""))</f>
        <v>Complete</v>
      </c>
      <c r="T124" s="62" t="s">
        <v>124</v>
      </c>
      <c r="U124" s="65" t="s">
        <v>380</v>
      </c>
      <c r="V124" s="65" t="s">
        <v>380</v>
      </c>
      <c r="W124" s="65" t="str">
        <f t="shared" ref="W124:W170" si="99">IF(
  AND(
     OR(M124=9,M124=18,M124=30),
     OR(G124="ภาคเหนือ",G124="ภาคใต้",G124="ภาคตะวันออก",G124="ภาคตะวันตก",G124="ภาคตะวันออกเฉียงเหนือ")
  ),
  IF(V124&lt;&gt;"","Complete",IF(U124&lt;&gt;"","In progress","")),
  "-"
)</f>
        <v>Complete</v>
      </c>
      <c r="X124" s="51" t="s">
        <v>448</v>
      </c>
      <c r="Y124" s="65" t="s">
        <v>399</v>
      </c>
      <c r="Z124" s="65"/>
      <c r="AA124" s="62" t="str">
        <f t="shared" ref="AA124:AA170" si="100">IF(Z124&lt;&gt;"", "Complete", IF(Y124&lt;&gt;"", "In progress", ""))</f>
        <v>In progress</v>
      </c>
      <c r="AB124" s="62"/>
      <c r="AC124" s="62"/>
      <c r="AD124" s="65" t="s">
        <v>110</v>
      </c>
      <c r="AE124" s="73">
        <v>244145</v>
      </c>
      <c r="AF124" s="65" t="str">
        <f t="shared" ref="AF124:AF170" si="101">IF(AE124&lt;&gt;"", "Complete", IF(AD124&lt;&gt;"", "In progress", ""))</f>
        <v>Complete</v>
      </c>
      <c r="AG124" s="73">
        <v>244206</v>
      </c>
      <c r="AH124" s="73" t="s">
        <v>399</v>
      </c>
      <c r="AI124" s="62" t="str">
        <f t="shared" ref="AI124:AI170" si="102">IF(AH124&lt;&gt;"", "Complete", IF(AG124&lt;&gt;"", "In progress", ""))</f>
        <v>Complete</v>
      </c>
      <c r="AJ124" s="62" t="s">
        <v>469</v>
      </c>
      <c r="AK124" s="62"/>
      <c r="AL124" s="62" t="str">
        <f t="shared" ref="AL124:AL170" si="103">IF(AK124&lt;&gt;"", "Complete", IF(AJ124&lt;&gt;"", "In progress", ""))</f>
        <v>In progress</v>
      </c>
      <c r="AM124" s="62"/>
      <c r="AN124" s="62"/>
      <c r="AO124" s="62"/>
      <c r="AP124" s="62"/>
      <c r="AQ124" s="62"/>
      <c r="AR124" s="62"/>
      <c r="AS124" s="62"/>
      <c r="AT124" s="62" t="str">
        <f t="shared" ref="AT124:AT170" si="104">IF(AQ124&lt;&gt;"", "Complete", IF(AP124&lt;&gt;"", "In progress", ""))</f>
        <v/>
      </c>
      <c r="AU124" s="62"/>
      <c r="AV124" s="62"/>
      <c r="AW124" s="62"/>
      <c r="AX124" s="73">
        <v>244398</v>
      </c>
      <c r="AY124" s="62"/>
      <c r="AZ124" s="100" t="str">
        <f t="shared" ref="AZ124:AZ153" si="105">IF(AY124&lt;&gt;"", "Complete", IF(AX124&lt;&gt;"", "In progress", ""))</f>
        <v>In progress</v>
      </c>
      <c r="BA124" s="62"/>
      <c r="BB124" s="62"/>
      <c r="BC124" s="62"/>
      <c r="BD124" s="62"/>
      <c r="BE124" s="62"/>
      <c r="BF124" s="62" t="str">
        <f t="shared" ref="BF124:BF170" si="106">IF(BE124&lt;&gt;"", "Complete", IF(BD124&lt;&gt;"", "In progress", ""))</f>
        <v/>
      </c>
      <c r="BG124" s="65"/>
      <c r="BH124" s="65"/>
      <c r="BI124" s="65" t="str">
        <f t="shared" ref="BI124:BI170" si="107">IF(BH124&lt;&gt;"", "Complete", IF(BG124&lt;&gt;"", "In progress", ""))</f>
        <v/>
      </c>
      <c r="BJ124" s="66"/>
      <c r="BK124" s="66"/>
      <c r="BL124" s="69"/>
      <c r="BM124" s="69"/>
    </row>
    <row r="125" spans="1:65" s="18" customFormat="1" ht="32.450000000000003" customHeight="1" x14ac:dyDescent="0.45">
      <c r="A125" s="59">
        <v>132</v>
      </c>
      <c r="B125" s="96" t="s">
        <v>156</v>
      </c>
      <c r="C125" s="60" t="s">
        <v>55</v>
      </c>
      <c r="D125" s="60" t="s">
        <v>56</v>
      </c>
      <c r="E125" s="60" t="s">
        <v>54</v>
      </c>
      <c r="F125" s="60" t="s">
        <v>98</v>
      </c>
      <c r="G125" s="60" t="s">
        <v>107</v>
      </c>
      <c r="H125" s="60" t="s">
        <v>301</v>
      </c>
      <c r="I125" s="60"/>
      <c r="J125" s="60" t="s">
        <v>308</v>
      </c>
      <c r="K125" s="59" t="s">
        <v>112</v>
      </c>
      <c r="L125" s="59" t="s">
        <v>123</v>
      </c>
      <c r="M125" s="59">
        <v>9</v>
      </c>
      <c r="N125" s="63">
        <v>4</v>
      </c>
      <c r="O125" s="64">
        <v>8.2104029999999995</v>
      </c>
      <c r="P125" s="64">
        <v>100.232902</v>
      </c>
      <c r="Q125" s="65" t="s">
        <v>110</v>
      </c>
      <c r="R125" s="65" t="s">
        <v>110</v>
      </c>
      <c r="S125" s="62" t="str">
        <f t="shared" si="98"/>
        <v>Complete</v>
      </c>
      <c r="T125" s="62" t="s">
        <v>124</v>
      </c>
      <c r="U125" s="65" t="s">
        <v>380</v>
      </c>
      <c r="V125" s="65" t="s">
        <v>380</v>
      </c>
      <c r="W125" s="65" t="str">
        <f t="shared" si="99"/>
        <v>Complete</v>
      </c>
      <c r="X125" s="51" t="s">
        <v>448</v>
      </c>
      <c r="Y125" s="65" t="s">
        <v>399</v>
      </c>
      <c r="Z125" s="65"/>
      <c r="AA125" s="62" t="str">
        <f t="shared" si="100"/>
        <v>In progress</v>
      </c>
      <c r="AB125" s="62"/>
      <c r="AC125" s="62"/>
      <c r="AD125" s="65" t="s">
        <v>110</v>
      </c>
      <c r="AE125" s="73">
        <v>244145</v>
      </c>
      <c r="AF125" s="65" t="str">
        <f t="shared" si="101"/>
        <v>Complete</v>
      </c>
      <c r="AG125" s="73">
        <v>244206</v>
      </c>
      <c r="AH125" s="73" t="s">
        <v>399</v>
      </c>
      <c r="AI125" s="62" t="str">
        <f t="shared" si="102"/>
        <v>Complete</v>
      </c>
      <c r="AJ125" s="62" t="s">
        <v>469</v>
      </c>
      <c r="AK125" s="62"/>
      <c r="AL125" s="62" t="str">
        <f t="shared" si="103"/>
        <v>In progress</v>
      </c>
      <c r="AM125" s="62"/>
      <c r="AN125" s="62"/>
      <c r="AO125" s="62"/>
      <c r="AP125" s="62"/>
      <c r="AQ125" s="62"/>
      <c r="AR125" s="62"/>
      <c r="AS125" s="62"/>
      <c r="AT125" s="62" t="str">
        <f t="shared" si="104"/>
        <v/>
      </c>
      <c r="AU125" s="62"/>
      <c r="AV125" s="62"/>
      <c r="AW125" s="62"/>
      <c r="AX125" s="73">
        <v>244399</v>
      </c>
      <c r="AY125" s="62"/>
      <c r="AZ125" s="100" t="str">
        <f t="shared" si="105"/>
        <v>In progress</v>
      </c>
      <c r="BA125" s="62"/>
      <c r="BB125" s="62"/>
      <c r="BC125" s="62"/>
      <c r="BD125" s="62"/>
      <c r="BE125" s="62"/>
      <c r="BF125" s="62" t="str">
        <f t="shared" si="106"/>
        <v/>
      </c>
      <c r="BG125" s="65"/>
      <c r="BH125" s="65"/>
      <c r="BI125" s="65" t="str">
        <f t="shared" si="107"/>
        <v/>
      </c>
      <c r="BJ125" s="66"/>
      <c r="BK125" s="66"/>
      <c r="BL125" s="69"/>
      <c r="BM125" s="69"/>
    </row>
    <row r="126" spans="1:65" s="18" customFormat="1" ht="32.450000000000003" customHeight="1" x14ac:dyDescent="0.45">
      <c r="A126" s="59">
        <v>133</v>
      </c>
      <c r="B126" s="96" t="s">
        <v>430</v>
      </c>
      <c r="C126" s="108" t="s">
        <v>55</v>
      </c>
      <c r="D126" s="60" t="s">
        <v>56</v>
      </c>
      <c r="E126" s="60" t="s">
        <v>54</v>
      </c>
      <c r="F126" s="60" t="s">
        <v>98</v>
      </c>
      <c r="G126" s="60" t="s">
        <v>107</v>
      </c>
      <c r="H126" s="60" t="s">
        <v>302</v>
      </c>
      <c r="I126" s="60"/>
      <c r="J126" s="60" t="s">
        <v>344</v>
      </c>
      <c r="K126" s="59" t="s">
        <v>112</v>
      </c>
      <c r="L126" s="59" t="s">
        <v>123</v>
      </c>
      <c r="M126" s="59">
        <v>9</v>
      </c>
      <c r="N126" s="63">
        <v>4</v>
      </c>
      <c r="O126" s="64">
        <v>8.2092159999999996</v>
      </c>
      <c r="P126" s="64">
        <v>100.23700100000001</v>
      </c>
      <c r="Q126" s="65" t="s">
        <v>110</v>
      </c>
      <c r="R126" s="65" t="s">
        <v>110</v>
      </c>
      <c r="S126" s="62" t="str">
        <f t="shared" si="98"/>
        <v>Complete</v>
      </c>
      <c r="T126" s="62" t="s">
        <v>124</v>
      </c>
      <c r="U126" s="65" t="s">
        <v>380</v>
      </c>
      <c r="V126" s="65" t="s">
        <v>380</v>
      </c>
      <c r="W126" s="65" t="str">
        <f t="shared" si="99"/>
        <v>Complete</v>
      </c>
      <c r="X126" s="51" t="s">
        <v>448</v>
      </c>
      <c r="Y126" s="65" t="s">
        <v>399</v>
      </c>
      <c r="Z126" s="65"/>
      <c r="AA126" s="62" t="str">
        <f t="shared" si="100"/>
        <v>In progress</v>
      </c>
      <c r="AB126" s="62"/>
      <c r="AC126" s="62"/>
      <c r="AD126" s="65" t="s">
        <v>110</v>
      </c>
      <c r="AE126" s="73">
        <v>244145</v>
      </c>
      <c r="AF126" s="65" t="str">
        <f t="shared" si="101"/>
        <v>Complete</v>
      </c>
      <c r="AG126" s="73">
        <v>244206</v>
      </c>
      <c r="AH126" s="73" t="s">
        <v>399</v>
      </c>
      <c r="AI126" s="62" t="str">
        <f t="shared" si="102"/>
        <v>Complete</v>
      </c>
      <c r="AJ126" s="62" t="s">
        <v>469</v>
      </c>
      <c r="AK126" s="62"/>
      <c r="AL126" s="62" t="str">
        <f t="shared" si="103"/>
        <v>In progress</v>
      </c>
      <c r="AM126" s="62"/>
      <c r="AN126" s="62"/>
      <c r="AO126" s="62"/>
      <c r="AP126" s="62"/>
      <c r="AQ126" s="62"/>
      <c r="AR126" s="62"/>
      <c r="AS126" s="62"/>
      <c r="AT126" s="62" t="str">
        <f t="shared" si="104"/>
        <v/>
      </c>
      <c r="AU126" s="62"/>
      <c r="AV126" s="62"/>
      <c r="AW126" s="107"/>
      <c r="AX126" s="73">
        <v>244398</v>
      </c>
      <c r="AY126" s="62"/>
      <c r="AZ126" s="100" t="str">
        <f t="shared" si="105"/>
        <v>In progress</v>
      </c>
      <c r="BA126" s="62"/>
      <c r="BB126" s="62"/>
      <c r="BC126" s="62"/>
      <c r="BD126" s="62"/>
      <c r="BE126" s="62"/>
      <c r="BF126" s="62" t="str">
        <f t="shared" si="106"/>
        <v/>
      </c>
      <c r="BG126" s="65"/>
      <c r="BH126" s="65"/>
      <c r="BI126" s="65" t="str">
        <f t="shared" si="107"/>
        <v/>
      </c>
      <c r="BJ126" s="66"/>
      <c r="BK126" s="66"/>
      <c r="BL126" s="69"/>
      <c r="BM126" s="69"/>
    </row>
    <row r="127" spans="1:65" s="18" customFormat="1" ht="32.450000000000003" customHeight="1" x14ac:dyDescent="0.45">
      <c r="A127" s="62">
        <v>134</v>
      </c>
      <c r="B127" s="96" t="s">
        <v>432</v>
      </c>
      <c r="C127" s="108" t="s">
        <v>55</v>
      </c>
      <c r="D127" s="60" t="s">
        <v>56</v>
      </c>
      <c r="E127" s="60" t="s">
        <v>54</v>
      </c>
      <c r="F127" s="60" t="s">
        <v>98</v>
      </c>
      <c r="G127" s="60" t="s">
        <v>107</v>
      </c>
      <c r="H127" s="60" t="s">
        <v>301</v>
      </c>
      <c r="I127" s="60"/>
      <c r="J127" s="60" t="s">
        <v>344</v>
      </c>
      <c r="K127" s="59" t="s">
        <v>112</v>
      </c>
      <c r="L127" s="59" t="s">
        <v>123</v>
      </c>
      <c r="M127" s="59">
        <v>9</v>
      </c>
      <c r="N127" s="63">
        <v>5</v>
      </c>
      <c r="O127" s="64">
        <v>8.2209599999999998</v>
      </c>
      <c r="P127" s="64">
        <v>100.24147000000001</v>
      </c>
      <c r="Q127" s="65" t="s">
        <v>110</v>
      </c>
      <c r="R127" s="65" t="s">
        <v>110</v>
      </c>
      <c r="S127" s="62" t="str">
        <f t="shared" si="98"/>
        <v>Complete</v>
      </c>
      <c r="T127" s="62" t="s">
        <v>124</v>
      </c>
      <c r="U127" s="65" t="s">
        <v>380</v>
      </c>
      <c r="V127" s="65" t="s">
        <v>380</v>
      </c>
      <c r="W127" s="65" t="str">
        <f t="shared" si="99"/>
        <v>Complete</v>
      </c>
      <c r="X127" s="51" t="s">
        <v>448</v>
      </c>
      <c r="Y127" s="65" t="s">
        <v>399</v>
      </c>
      <c r="Z127" s="65"/>
      <c r="AA127" s="62" t="str">
        <f t="shared" si="100"/>
        <v>In progress</v>
      </c>
      <c r="AB127" s="62"/>
      <c r="AC127" s="62"/>
      <c r="AD127" s="65" t="s">
        <v>110</v>
      </c>
      <c r="AE127" s="73">
        <v>244145</v>
      </c>
      <c r="AF127" s="65" t="str">
        <f t="shared" si="101"/>
        <v>Complete</v>
      </c>
      <c r="AG127" s="73">
        <v>244206</v>
      </c>
      <c r="AH127" s="73" t="s">
        <v>399</v>
      </c>
      <c r="AI127" s="62" t="str">
        <f t="shared" si="102"/>
        <v>Complete</v>
      </c>
      <c r="AJ127" s="62" t="s">
        <v>469</v>
      </c>
      <c r="AK127" s="62"/>
      <c r="AL127" s="62" t="str">
        <f t="shared" si="103"/>
        <v>In progress</v>
      </c>
      <c r="AM127" s="62"/>
      <c r="AN127" s="62"/>
      <c r="AO127" s="62"/>
      <c r="AP127" s="62"/>
      <c r="AQ127" s="62"/>
      <c r="AR127" s="62"/>
      <c r="AS127" s="62"/>
      <c r="AT127" s="62" t="str">
        <f t="shared" si="104"/>
        <v/>
      </c>
      <c r="AU127" s="62"/>
      <c r="AV127" s="62"/>
      <c r="AW127" s="107"/>
      <c r="AX127" s="73">
        <v>244399</v>
      </c>
      <c r="AY127" s="62"/>
      <c r="AZ127" s="100" t="str">
        <f t="shared" si="105"/>
        <v>In progress</v>
      </c>
      <c r="BA127" s="62"/>
      <c r="BB127" s="62"/>
      <c r="BC127" s="62"/>
      <c r="BD127" s="62"/>
      <c r="BE127" s="62"/>
      <c r="BF127" s="62" t="str">
        <f t="shared" si="106"/>
        <v/>
      </c>
      <c r="BG127" s="65"/>
      <c r="BH127" s="65"/>
      <c r="BI127" s="65" t="str">
        <f t="shared" si="107"/>
        <v/>
      </c>
      <c r="BJ127" s="66"/>
      <c r="BK127" s="66"/>
      <c r="BL127" s="69"/>
      <c r="BM127" s="69"/>
    </row>
    <row r="128" spans="1:65" s="18" customFormat="1" ht="32.450000000000003" hidden="1" customHeight="1" x14ac:dyDescent="0.45">
      <c r="A128" s="59">
        <v>156</v>
      </c>
      <c r="B128" s="81" t="s">
        <v>433</v>
      </c>
      <c r="C128" s="60" t="s">
        <v>65</v>
      </c>
      <c r="D128" s="60" t="s">
        <v>66</v>
      </c>
      <c r="E128" s="60" t="s">
        <v>67</v>
      </c>
      <c r="F128" s="60" t="s">
        <v>100</v>
      </c>
      <c r="G128" s="68" t="s">
        <v>103</v>
      </c>
      <c r="H128" s="68" t="s">
        <v>303</v>
      </c>
      <c r="I128" s="68"/>
      <c r="J128" s="68" t="s">
        <v>351</v>
      </c>
      <c r="K128" s="59" t="s">
        <v>112</v>
      </c>
      <c r="L128" s="59" t="s">
        <v>123</v>
      </c>
      <c r="M128" s="59">
        <v>9</v>
      </c>
      <c r="N128" s="63">
        <v>56</v>
      </c>
      <c r="O128" s="64">
        <v>16.038830999999998</v>
      </c>
      <c r="P128" s="64">
        <v>100.626155</v>
      </c>
      <c r="Q128" s="65" t="s">
        <v>110</v>
      </c>
      <c r="R128" s="65" t="s">
        <v>108</v>
      </c>
      <c r="S128" s="62" t="str">
        <f t="shared" si="98"/>
        <v>Complete</v>
      </c>
      <c r="T128" s="62" t="s">
        <v>124</v>
      </c>
      <c r="U128" s="65" t="s">
        <v>380</v>
      </c>
      <c r="V128" s="65" t="s">
        <v>380</v>
      </c>
      <c r="W128" s="65" t="str">
        <f t="shared" si="99"/>
        <v>Complete</v>
      </c>
      <c r="X128" s="51" t="s">
        <v>448</v>
      </c>
      <c r="Y128" s="65" t="s">
        <v>413</v>
      </c>
      <c r="Z128" s="65"/>
      <c r="AA128" s="62" t="str">
        <f t="shared" si="100"/>
        <v>In progress</v>
      </c>
      <c r="AB128" s="62"/>
      <c r="AC128" s="62"/>
      <c r="AD128" s="65" t="s">
        <v>110</v>
      </c>
      <c r="AE128" s="73">
        <v>244145</v>
      </c>
      <c r="AF128" s="65" t="str">
        <f t="shared" si="101"/>
        <v>Complete</v>
      </c>
      <c r="AG128" s="73">
        <v>244206</v>
      </c>
      <c r="AH128" s="73" t="s">
        <v>399</v>
      </c>
      <c r="AI128" s="62" t="str">
        <f t="shared" si="102"/>
        <v>Complete</v>
      </c>
      <c r="AJ128" s="62" t="s">
        <v>469</v>
      </c>
      <c r="AK128" s="62"/>
      <c r="AL128" s="62" t="str">
        <f t="shared" si="103"/>
        <v>In progress</v>
      </c>
      <c r="AM128" s="62"/>
      <c r="AN128" s="62"/>
      <c r="AO128" s="62"/>
      <c r="AP128" s="62"/>
      <c r="AQ128" s="62"/>
      <c r="AR128" s="62"/>
      <c r="AS128" s="62"/>
      <c r="AT128" s="62" t="str">
        <f t="shared" si="104"/>
        <v/>
      </c>
      <c r="AU128" s="62"/>
      <c r="AV128" s="62"/>
      <c r="AW128" s="62"/>
      <c r="AX128" s="73">
        <v>244382</v>
      </c>
      <c r="AY128" s="73">
        <v>244420</v>
      </c>
      <c r="AZ128" s="99" t="str">
        <f t="shared" si="105"/>
        <v>Complete</v>
      </c>
      <c r="BA128" s="62"/>
      <c r="BB128" s="62"/>
      <c r="BC128" s="62"/>
      <c r="BD128" s="62"/>
      <c r="BE128" s="62"/>
      <c r="BF128" s="62" t="str">
        <f t="shared" si="106"/>
        <v/>
      </c>
      <c r="BG128" s="65"/>
      <c r="BH128" s="65"/>
      <c r="BI128" s="65" t="str">
        <f t="shared" si="107"/>
        <v/>
      </c>
      <c r="BJ128" s="66"/>
      <c r="BK128" s="66"/>
      <c r="BL128" s="69"/>
      <c r="BM128" s="69"/>
    </row>
    <row r="129" spans="1:65" s="18" customFormat="1" ht="32.450000000000003" hidden="1" customHeight="1" x14ac:dyDescent="0.45">
      <c r="A129" s="59">
        <v>157</v>
      </c>
      <c r="B129" s="81" t="s">
        <v>434</v>
      </c>
      <c r="C129" s="108" t="s">
        <v>65</v>
      </c>
      <c r="D129" s="60" t="s">
        <v>66</v>
      </c>
      <c r="E129" s="60" t="s">
        <v>67</v>
      </c>
      <c r="F129" s="60" t="s">
        <v>100</v>
      </c>
      <c r="G129" s="68" t="s">
        <v>103</v>
      </c>
      <c r="H129" s="68" t="s">
        <v>304</v>
      </c>
      <c r="I129" s="68"/>
      <c r="J129" s="68" t="s">
        <v>348</v>
      </c>
      <c r="K129" s="59" t="s">
        <v>112</v>
      </c>
      <c r="L129" s="59" t="s">
        <v>123</v>
      </c>
      <c r="M129" s="59">
        <v>9</v>
      </c>
      <c r="N129" s="63">
        <v>61</v>
      </c>
      <c r="O129" s="64">
        <v>16.030031000000001</v>
      </c>
      <c r="P129" s="64">
        <v>100.666606</v>
      </c>
      <c r="Q129" s="65" t="s">
        <v>110</v>
      </c>
      <c r="R129" s="65" t="s">
        <v>108</v>
      </c>
      <c r="S129" s="62" t="str">
        <f t="shared" si="98"/>
        <v>Complete</v>
      </c>
      <c r="T129" s="62" t="s">
        <v>124</v>
      </c>
      <c r="U129" s="65" t="s">
        <v>380</v>
      </c>
      <c r="V129" s="65" t="s">
        <v>380</v>
      </c>
      <c r="W129" s="65" t="str">
        <f t="shared" si="99"/>
        <v>Complete</v>
      </c>
      <c r="X129" s="51" t="s">
        <v>448</v>
      </c>
      <c r="Y129" s="65" t="s">
        <v>413</v>
      </c>
      <c r="Z129" s="65"/>
      <c r="AA129" s="62" t="str">
        <f t="shared" si="100"/>
        <v>In progress</v>
      </c>
      <c r="AB129" s="62"/>
      <c r="AC129" s="62"/>
      <c r="AD129" s="65" t="s">
        <v>110</v>
      </c>
      <c r="AE129" s="73">
        <v>244145</v>
      </c>
      <c r="AF129" s="65" t="str">
        <f t="shared" si="101"/>
        <v>Complete</v>
      </c>
      <c r="AG129" s="73">
        <v>244206</v>
      </c>
      <c r="AH129" s="73" t="s">
        <v>399</v>
      </c>
      <c r="AI129" s="62" t="str">
        <f t="shared" si="102"/>
        <v>Complete</v>
      </c>
      <c r="AJ129" s="62" t="s">
        <v>469</v>
      </c>
      <c r="AK129" s="62"/>
      <c r="AL129" s="62" t="str">
        <f t="shared" si="103"/>
        <v>In progress</v>
      </c>
      <c r="AM129" s="62"/>
      <c r="AN129" s="62"/>
      <c r="AO129" s="62"/>
      <c r="AP129" s="62"/>
      <c r="AQ129" s="62"/>
      <c r="AR129" s="62"/>
      <c r="AS129" s="62"/>
      <c r="AT129" s="62" t="str">
        <f t="shared" si="104"/>
        <v/>
      </c>
      <c r="AU129" s="107"/>
      <c r="AV129" s="107"/>
      <c r="AW129" s="62"/>
      <c r="AX129" s="73">
        <v>244382</v>
      </c>
      <c r="AY129" s="73">
        <v>244433</v>
      </c>
      <c r="AZ129" s="99" t="str">
        <f t="shared" si="105"/>
        <v>Complete</v>
      </c>
      <c r="BA129" s="62"/>
      <c r="BB129" s="62"/>
      <c r="BC129" s="62"/>
      <c r="BD129" s="62"/>
      <c r="BE129" s="62"/>
      <c r="BF129" s="62" t="str">
        <f t="shared" si="106"/>
        <v/>
      </c>
      <c r="BG129" s="65"/>
      <c r="BH129" s="65"/>
      <c r="BI129" s="65" t="str">
        <f t="shared" si="107"/>
        <v/>
      </c>
      <c r="BJ129" s="66"/>
      <c r="BK129" s="66"/>
      <c r="BL129" s="69"/>
      <c r="BM129" s="69"/>
    </row>
    <row r="130" spans="1:65" s="18" customFormat="1" ht="32.450000000000003" hidden="1" customHeight="1" x14ac:dyDescent="0.45">
      <c r="A130" s="59">
        <v>158</v>
      </c>
      <c r="B130" s="81" t="s">
        <v>438</v>
      </c>
      <c r="C130" s="60" t="s">
        <v>65</v>
      </c>
      <c r="D130" s="60" t="s">
        <v>66</v>
      </c>
      <c r="E130" s="60" t="s">
        <v>67</v>
      </c>
      <c r="F130" s="60" t="s">
        <v>100</v>
      </c>
      <c r="G130" s="68" t="s">
        <v>103</v>
      </c>
      <c r="H130" s="68" t="s">
        <v>303</v>
      </c>
      <c r="I130" s="68"/>
      <c r="J130" s="68" t="s">
        <v>308</v>
      </c>
      <c r="K130" s="59" t="s">
        <v>112</v>
      </c>
      <c r="L130" s="59" t="s">
        <v>123</v>
      </c>
      <c r="M130" s="59">
        <v>9</v>
      </c>
      <c r="N130" s="63">
        <v>66</v>
      </c>
      <c r="O130" s="64">
        <v>16.024733000000001</v>
      </c>
      <c r="P130" s="64">
        <v>100.686663</v>
      </c>
      <c r="Q130" s="65" t="s">
        <v>110</v>
      </c>
      <c r="R130" s="65" t="s">
        <v>109</v>
      </c>
      <c r="S130" s="62" t="str">
        <f t="shared" si="98"/>
        <v>Complete</v>
      </c>
      <c r="T130" s="62" t="s">
        <v>124</v>
      </c>
      <c r="U130" s="65" t="s">
        <v>380</v>
      </c>
      <c r="V130" s="65" t="s">
        <v>380</v>
      </c>
      <c r="W130" s="65" t="str">
        <f t="shared" si="99"/>
        <v>Complete</v>
      </c>
      <c r="X130" s="51" t="s">
        <v>448</v>
      </c>
      <c r="Y130" s="65" t="s">
        <v>414</v>
      </c>
      <c r="Z130" s="65"/>
      <c r="AA130" s="62" t="str">
        <f t="shared" si="100"/>
        <v>In progress</v>
      </c>
      <c r="AB130" s="62"/>
      <c r="AC130" s="62"/>
      <c r="AD130" s="65" t="s">
        <v>110</v>
      </c>
      <c r="AE130" s="73">
        <v>244145</v>
      </c>
      <c r="AF130" s="65" t="str">
        <f t="shared" si="101"/>
        <v>Complete</v>
      </c>
      <c r="AG130" s="73">
        <v>244206</v>
      </c>
      <c r="AH130" s="73" t="s">
        <v>399</v>
      </c>
      <c r="AI130" s="62" t="str">
        <f t="shared" si="102"/>
        <v>Complete</v>
      </c>
      <c r="AJ130" s="62" t="s">
        <v>469</v>
      </c>
      <c r="AK130" s="62"/>
      <c r="AL130" s="62" t="str">
        <f t="shared" si="103"/>
        <v>In progress</v>
      </c>
      <c r="AM130" s="62"/>
      <c r="AN130" s="62"/>
      <c r="AO130" s="62"/>
      <c r="AP130" s="62"/>
      <c r="AQ130" s="62"/>
      <c r="AR130" s="62"/>
      <c r="AS130" s="62"/>
      <c r="AT130" s="62" t="str">
        <f t="shared" si="104"/>
        <v/>
      </c>
      <c r="AU130" s="62"/>
      <c r="AV130" s="62"/>
      <c r="AW130" s="62"/>
      <c r="AX130" s="73">
        <v>244382</v>
      </c>
      <c r="AY130" s="73">
        <v>244393</v>
      </c>
      <c r="AZ130" s="99" t="str">
        <f t="shared" si="105"/>
        <v>Complete</v>
      </c>
      <c r="BA130" s="62"/>
      <c r="BB130" s="62"/>
      <c r="BC130" s="62"/>
      <c r="BD130" s="62"/>
      <c r="BE130" s="62"/>
      <c r="BF130" s="62" t="str">
        <f t="shared" si="106"/>
        <v/>
      </c>
      <c r="BG130" s="65"/>
      <c r="BH130" s="65"/>
      <c r="BI130" s="65" t="str">
        <f t="shared" si="107"/>
        <v/>
      </c>
      <c r="BJ130" s="66"/>
      <c r="BK130" s="66"/>
      <c r="BL130" s="69"/>
      <c r="BM130" s="69"/>
    </row>
    <row r="131" spans="1:65" s="18" customFormat="1" ht="32.450000000000003" hidden="1" customHeight="1" x14ac:dyDescent="0.45">
      <c r="A131" s="62">
        <v>159</v>
      </c>
      <c r="B131" s="81" t="s">
        <v>439</v>
      </c>
      <c r="C131" s="60" t="s">
        <v>65</v>
      </c>
      <c r="D131" s="60" t="s">
        <v>66</v>
      </c>
      <c r="E131" s="60" t="s">
        <v>67</v>
      </c>
      <c r="F131" s="60" t="s">
        <v>100</v>
      </c>
      <c r="G131" s="68" t="s">
        <v>103</v>
      </c>
      <c r="H131" s="68" t="s">
        <v>301</v>
      </c>
      <c r="I131" s="68"/>
      <c r="J131" s="68" t="s">
        <v>351</v>
      </c>
      <c r="K131" s="59" t="s">
        <v>112</v>
      </c>
      <c r="L131" s="59" t="s">
        <v>123</v>
      </c>
      <c r="M131" s="59">
        <v>9</v>
      </c>
      <c r="N131" s="63">
        <v>61</v>
      </c>
      <c r="O131" s="64">
        <v>16.030507</v>
      </c>
      <c r="P131" s="64">
        <v>100.65596600000001</v>
      </c>
      <c r="Q131" s="65" t="s">
        <v>110</v>
      </c>
      <c r="R131" s="65" t="s">
        <v>109</v>
      </c>
      <c r="S131" s="62" t="str">
        <f t="shared" si="98"/>
        <v>Complete</v>
      </c>
      <c r="T131" s="62" t="s">
        <v>124</v>
      </c>
      <c r="U131" s="65" t="s">
        <v>380</v>
      </c>
      <c r="V131" s="65" t="s">
        <v>380</v>
      </c>
      <c r="W131" s="65" t="str">
        <f t="shared" si="99"/>
        <v>Complete</v>
      </c>
      <c r="X131" s="51" t="s">
        <v>448</v>
      </c>
      <c r="Y131" s="65" t="s">
        <v>414</v>
      </c>
      <c r="Z131" s="65"/>
      <c r="AA131" s="62" t="str">
        <f t="shared" si="100"/>
        <v>In progress</v>
      </c>
      <c r="AB131" s="62"/>
      <c r="AC131" s="62"/>
      <c r="AD131" s="65" t="s">
        <v>110</v>
      </c>
      <c r="AE131" s="73">
        <v>244145</v>
      </c>
      <c r="AF131" s="65" t="str">
        <f t="shared" si="101"/>
        <v>Complete</v>
      </c>
      <c r="AG131" s="73">
        <v>244206</v>
      </c>
      <c r="AH131" s="73" t="s">
        <v>399</v>
      </c>
      <c r="AI131" s="62" t="str">
        <f t="shared" si="102"/>
        <v>Complete</v>
      </c>
      <c r="AJ131" s="62" t="s">
        <v>469</v>
      </c>
      <c r="AK131" s="62"/>
      <c r="AL131" s="62" t="str">
        <f t="shared" si="103"/>
        <v>In progress</v>
      </c>
      <c r="AM131" s="62"/>
      <c r="AN131" s="62"/>
      <c r="AO131" s="62"/>
      <c r="AP131" s="62"/>
      <c r="AQ131" s="62"/>
      <c r="AR131" s="62"/>
      <c r="AS131" s="62"/>
      <c r="AT131" s="62" t="str">
        <f t="shared" si="104"/>
        <v/>
      </c>
      <c r="AU131" s="62"/>
      <c r="AV131" s="62"/>
      <c r="AW131" s="62"/>
      <c r="AX131" s="73">
        <v>244382</v>
      </c>
      <c r="AY131" s="73">
        <v>244420</v>
      </c>
      <c r="AZ131" s="99" t="str">
        <f t="shared" si="105"/>
        <v>Complete</v>
      </c>
      <c r="BA131" s="62"/>
      <c r="BB131" s="62"/>
      <c r="BC131" s="62"/>
      <c r="BD131" s="62"/>
      <c r="BE131" s="62"/>
      <c r="BF131" s="62" t="str">
        <f t="shared" si="106"/>
        <v/>
      </c>
      <c r="BG131" s="65"/>
      <c r="BH131" s="65"/>
      <c r="BI131" s="65" t="str">
        <f t="shared" si="107"/>
        <v/>
      </c>
      <c r="BJ131" s="66"/>
      <c r="BK131" s="66"/>
      <c r="BL131" s="69"/>
      <c r="BM131" s="69"/>
    </row>
    <row r="132" spans="1:65" s="18" customFormat="1" ht="32.450000000000003" hidden="1" customHeight="1" x14ac:dyDescent="0.45">
      <c r="A132" s="62">
        <v>160</v>
      </c>
      <c r="B132" s="81" t="s">
        <v>235</v>
      </c>
      <c r="C132" s="60" t="s">
        <v>68</v>
      </c>
      <c r="D132" s="60" t="s">
        <v>69</v>
      </c>
      <c r="E132" s="60" t="s">
        <v>70</v>
      </c>
      <c r="F132" s="60" t="s">
        <v>100</v>
      </c>
      <c r="G132" s="68" t="s">
        <v>103</v>
      </c>
      <c r="H132" s="68" t="s">
        <v>411</v>
      </c>
      <c r="I132" s="68"/>
      <c r="J132" s="68" t="s">
        <v>342</v>
      </c>
      <c r="K132" s="59" t="s">
        <v>112</v>
      </c>
      <c r="L132" s="59" t="s">
        <v>123</v>
      </c>
      <c r="M132" s="59">
        <v>9</v>
      </c>
      <c r="N132" s="63">
        <v>117</v>
      </c>
      <c r="O132" s="64">
        <v>16.024311999999998</v>
      </c>
      <c r="P132" s="64">
        <v>100.884216</v>
      </c>
      <c r="Q132" s="65" t="s">
        <v>110</v>
      </c>
      <c r="R132" s="65" t="s">
        <v>377</v>
      </c>
      <c r="S132" s="62" t="str">
        <f t="shared" si="98"/>
        <v>Complete</v>
      </c>
      <c r="T132" s="62" t="s">
        <v>124</v>
      </c>
      <c r="U132" s="65" t="s">
        <v>380</v>
      </c>
      <c r="V132" s="65" t="s">
        <v>380</v>
      </c>
      <c r="W132" s="65" t="str">
        <f t="shared" si="99"/>
        <v>Complete</v>
      </c>
      <c r="X132" s="51" t="s">
        <v>448</v>
      </c>
      <c r="Y132" s="65" t="s">
        <v>415</v>
      </c>
      <c r="Z132" s="65"/>
      <c r="AA132" s="62" t="str">
        <f t="shared" si="100"/>
        <v>In progress</v>
      </c>
      <c r="AB132" s="62"/>
      <c r="AC132" s="62"/>
      <c r="AD132" s="65" t="s">
        <v>110</v>
      </c>
      <c r="AE132" s="73">
        <v>244145</v>
      </c>
      <c r="AF132" s="65" t="str">
        <f t="shared" si="101"/>
        <v>Complete</v>
      </c>
      <c r="AG132" s="73">
        <v>244206</v>
      </c>
      <c r="AH132" s="73" t="s">
        <v>399</v>
      </c>
      <c r="AI132" s="62" t="str">
        <f t="shared" si="102"/>
        <v>Complete</v>
      </c>
      <c r="AJ132" s="62" t="s">
        <v>469</v>
      </c>
      <c r="AK132" s="62"/>
      <c r="AL132" s="62" t="str">
        <f t="shared" si="103"/>
        <v>In progress</v>
      </c>
      <c r="AM132" s="62"/>
      <c r="AN132" s="62"/>
      <c r="AO132" s="62"/>
      <c r="AP132" s="62"/>
      <c r="AQ132" s="62"/>
      <c r="AR132" s="62"/>
      <c r="AS132" s="62"/>
      <c r="AT132" s="62" t="str">
        <f t="shared" si="104"/>
        <v/>
      </c>
      <c r="AU132" s="62"/>
      <c r="AV132" s="62"/>
      <c r="AW132" s="62"/>
      <c r="AX132" s="73">
        <v>244396</v>
      </c>
      <c r="AY132" s="73">
        <v>244420</v>
      </c>
      <c r="AZ132" s="99" t="str">
        <f t="shared" si="105"/>
        <v>Complete</v>
      </c>
      <c r="BA132" s="62"/>
      <c r="BB132" s="62"/>
      <c r="BC132" s="62"/>
      <c r="BD132" s="62"/>
      <c r="BE132" s="62"/>
      <c r="BF132" s="62" t="str">
        <f t="shared" si="106"/>
        <v/>
      </c>
      <c r="BG132" s="65"/>
      <c r="BH132" s="65"/>
      <c r="BI132" s="65" t="str">
        <f t="shared" si="107"/>
        <v/>
      </c>
      <c r="BJ132" s="66"/>
      <c r="BK132" s="66"/>
      <c r="BL132" s="69"/>
      <c r="BM132" s="69"/>
    </row>
    <row r="133" spans="1:65" s="18" customFormat="1" ht="32.450000000000003" hidden="1" customHeight="1" x14ac:dyDescent="0.45">
      <c r="A133" s="124">
        <v>161</v>
      </c>
      <c r="B133" s="81" t="s">
        <v>201</v>
      </c>
      <c r="C133" s="60" t="s">
        <v>71</v>
      </c>
      <c r="D133" s="60" t="s">
        <v>69</v>
      </c>
      <c r="E133" s="60" t="s">
        <v>70</v>
      </c>
      <c r="F133" s="60" t="s">
        <v>100</v>
      </c>
      <c r="G133" s="68" t="s">
        <v>103</v>
      </c>
      <c r="H133" s="123" t="s">
        <v>301</v>
      </c>
      <c r="I133" s="125" t="s">
        <v>304</v>
      </c>
      <c r="J133" s="68" t="s">
        <v>317</v>
      </c>
      <c r="K133" s="59" t="s">
        <v>112</v>
      </c>
      <c r="L133" s="59" t="s">
        <v>123</v>
      </c>
      <c r="M133" s="59">
        <v>9</v>
      </c>
      <c r="N133" s="63">
        <v>80</v>
      </c>
      <c r="O133" s="64">
        <v>16.01294</v>
      </c>
      <c r="P133" s="64">
        <v>100.77369</v>
      </c>
      <c r="Q133" s="65" t="s">
        <v>110</v>
      </c>
      <c r="R133" s="65" t="s">
        <v>135</v>
      </c>
      <c r="S133" s="62" t="str">
        <f t="shared" si="98"/>
        <v>Complete</v>
      </c>
      <c r="T133" s="62" t="s">
        <v>124</v>
      </c>
      <c r="U133" s="65" t="s">
        <v>380</v>
      </c>
      <c r="V133" s="65" t="s">
        <v>380</v>
      </c>
      <c r="W133" s="65" t="str">
        <f t="shared" si="99"/>
        <v>Complete</v>
      </c>
      <c r="X133" s="51" t="s">
        <v>448</v>
      </c>
      <c r="Y133" s="65" t="s">
        <v>416</v>
      </c>
      <c r="Z133" s="65"/>
      <c r="AA133" s="62" t="str">
        <f t="shared" si="100"/>
        <v>In progress</v>
      </c>
      <c r="AB133" s="62"/>
      <c r="AC133" s="62"/>
      <c r="AD133" s="65" t="s">
        <v>110</v>
      </c>
      <c r="AE133" s="73">
        <v>244145</v>
      </c>
      <c r="AF133" s="65" t="str">
        <f t="shared" si="101"/>
        <v>Complete</v>
      </c>
      <c r="AG133" s="73">
        <v>244206</v>
      </c>
      <c r="AH133" s="73" t="s">
        <v>399</v>
      </c>
      <c r="AI133" s="62" t="str">
        <f t="shared" si="102"/>
        <v>Complete</v>
      </c>
      <c r="AJ133" s="62" t="s">
        <v>469</v>
      </c>
      <c r="AK133" s="62"/>
      <c r="AL133" s="62" t="str">
        <f t="shared" si="103"/>
        <v>In progress</v>
      </c>
      <c r="AM133" s="62"/>
      <c r="AN133" s="62"/>
      <c r="AO133" s="62"/>
      <c r="AP133" s="62"/>
      <c r="AQ133" s="62"/>
      <c r="AR133" s="62"/>
      <c r="AS133" s="62"/>
      <c r="AT133" s="62" t="str">
        <f t="shared" si="104"/>
        <v/>
      </c>
      <c r="AU133" s="62"/>
      <c r="AV133" s="106" t="s">
        <v>486</v>
      </c>
      <c r="AW133" s="62"/>
      <c r="AX133" s="73">
        <v>244433</v>
      </c>
      <c r="AY133" s="73">
        <v>244438</v>
      </c>
      <c r="AZ133" s="99" t="str">
        <f t="shared" si="105"/>
        <v>Complete</v>
      </c>
      <c r="BA133" s="62"/>
      <c r="BB133" s="62"/>
      <c r="BC133" s="62"/>
      <c r="BD133" s="62"/>
      <c r="BE133" s="62"/>
      <c r="BF133" s="62" t="str">
        <f t="shared" si="106"/>
        <v/>
      </c>
      <c r="BG133" s="65"/>
      <c r="BH133" s="65"/>
      <c r="BI133" s="65" t="str">
        <f t="shared" si="107"/>
        <v/>
      </c>
      <c r="BJ133" s="66"/>
      <c r="BK133" s="66"/>
      <c r="BL133" s="69"/>
      <c r="BM133" s="69"/>
    </row>
    <row r="134" spans="1:65" s="18" customFormat="1" ht="32.450000000000003" hidden="1" customHeight="1" x14ac:dyDescent="0.45">
      <c r="A134" s="59">
        <v>162</v>
      </c>
      <c r="B134" s="81" t="s">
        <v>202</v>
      </c>
      <c r="C134" s="60" t="s">
        <v>71</v>
      </c>
      <c r="D134" s="60" t="s">
        <v>69</v>
      </c>
      <c r="E134" s="60" t="s">
        <v>70</v>
      </c>
      <c r="F134" s="60" t="s">
        <v>100</v>
      </c>
      <c r="G134" s="68" t="s">
        <v>103</v>
      </c>
      <c r="H134" s="68" t="s">
        <v>301</v>
      </c>
      <c r="I134" s="68"/>
      <c r="J134" s="68" t="s">
        <v>366</v>
      </c>
      <c r="K134" s="59" t="s">
        <v>112</v>
      </c>
      <c r="L134" s="59" t="s">
        <v>123</v>
      </c>
      <c r="M134" s="59">
        <v>9</v>
      </c>
      <c r="N134" s="63">
        <v>78</v>
      </c>
      <c r="O134" s="64">
        <v>16.001085</v>
      </c>
      <c r="P134" s="64">
        <v>100.778578</v>
      </c>
      <c r="Q134" s="65" t="s">
        <v>110</v>
      </c>
      <c r="R134" s="65" t="s">
        <v>135</v>
      </c>
      <c r="S134" s="62" t="str">
        <f t="shared" si="98"/>
        <v>Complete</v>
      </c>
      <c r="T134" s="62" t="s">
        <v>124</v>
      </c>
      <c r="U134" s="65" t="s">
        <v>380</v>
      </c>
      <c r="V134" s="65" t="s">
        <v>380</v>
      </c>
      <c r="W134" s="65" t="str">
        <f t="shared" si="99"/>
        <v>Complete</v>
      </c>
      <c r="X134" s="51" t="s">
        <v>448</v>
      </c>
      <c r="Y134" s="65" t="s">
        <v>416</v>
      </c>
      <c r="Z134" s="65"/>
      <c r="AA134" s="62" t="str">
        <f t="shared" si="100"/>
        <v>In progress</v>
      </c>
      <c r="AB134" s="62"/>
      <c r="AC134" s="62"/>
      <c r="AD134" s="65" t="s">
        <v>110</v>
      </c>
      <c r="AE134" s="73">
        <v>244145</v>
      </c>
      <c r="AF134" s="65" t="str">
        <f t="shared" si="101"/>
        <v>Complete</v>
      </c>
      <c r="AG134" s="73">
        <v>244206</v>
      </c>
      <c r="AH134" s="73" t="s">
        <v>399</v>
      </c>
      <c r="AI134" s="62" t="str">
        <f t="shared" si="102"/>
        <v>Complete</v>
      </c>
      <c r="AJ134" s="62" t="s">
        <v>469</v>
      </c>
      <c r="AK134" s="62"/>
      <c r="AL134" s="62" t="str">
        <f t="shared" si="103"/>
        <v>In progress</v>
      </c>
      <c r="AM134" s="62"/>
      <c r="AN134" s="62"/>
      <c r="AO134" s="62"/>
      <c r="AP134" s="62"/>
      <c r="AQ134" s="62"/>
      <c r="AR134" s="62"/>
      <c r="AS134" s="62"/>
      <c r="AT134" s="62" t="str">
        <f t="shared" si="104"/>
        <v/>
      </c>
      <c r="AU134" s="62"/>
      <c r="AV134" s="62"/>
      <c r="AW134" s="62"/>
      <c r="AX134" s="73">
        <v>244403</v>
      </c>
      <c r="AY134" s="73">
        <v>244426</v>
      </c>
      <c r="AZ134" s="99" t="str">
        <f t="shared" si="105"/>
        <v>Complete</v>
      </c>
      <c r="BA134" s="62"/>
      <c r="BB134" s="62"/>
      <c r="BC134" s="62"/>
      <c r="BD134" s="62"/>
      <c r="BE134" s="62"/>
      <c r="BF134" s="62" t="str">
        <f t="shared" si="106"/>
        <v/>
      </c>
      <c r="BG134" s="65"/>
      <c r="BH134" s="65"/>
      <c r="BI134" s="65" t="str">
        <f t="shared" si="107"/>
        <v/>
      </c>
      <c r="BJ134" s="66"/>
      <c r="BK134" s="66"/>
      <c r="BL134" s="69"/>
      <c r="BM134" s="69"/>
    </row>
    <row r="135" spans="1:65" s="18" customFormat="1" ht="32.450000000000003" hidden="1" customHeight="1" x14ac:dyDescent="0.45">
      <c r="A135" s="59">
        <v>163</v>
      </c>
      <c r="B135" s="81" t="s">
        <v>422</v>
      </c>
      <c r="C135" s="60" t="s">
        <v>72</v>
      </c>
      <c r="D135" s="60" t="s">
        <v>69</v>
      </c>
      <c r="E135" s="60" t="s">
        <v>70</v>
      </c>
      <c r="F135" s="60" t="s">
        <v>100</v>
      </c>
      <c r="G135" s="68" t="s">
        <v>103</v>
      </c>
      <c r="H135" s="68" t="s">
        <v>301</v>
      </c>
      <c r="I135" s="68"/>
      <c r="J135" s="68" t="s">
        <v>347</v>
      </c>
      <c r="K135" s="59" t="s">
        <v>112</v>
      </c>
      <c r="L135" s="59" t="s">
        <v>123</v>
      </c>
      <c r="M135" s="59">
        <v>9</v>
      </c>
      <c r="N135" s="63">
        <v>103</v>
      </c>
      <c r="O135" s="64">
        <v>16.035798</v>
      </c>
      <c r="P135" s="64">
        <v>100.825433</v>
      </c>
      <c r="Q135" s="65" t="s">
        <v>110</v>
      </c>
      <c r="R135" s="65" t="s">
        <v>377</v>
      </c>
      <c r="S135" s="62" t="str">
        <f t="shared" si="98"/>
        <v>Complete</v>
      </c>
      <c r="T135" s="62" t="s">
        <v>124</v>
      </c>
      <c r="U135" s="65" t="s">
        <v>380</v>
      </c>
      <c r="V135" s="65" t="s">
        <v>380</v>
      </c>
      <c r="W135" s="65" t="str">
        <f t="shared" si="99"/>
        <v>Complete</v>
      </c>
      <c r="X135" s="51" t="s">
        <v>448</v>
      </c>
      <c r="Y135" s="65" t="s">
        <v>415</v>
      </c>
      <c r="Z135" s="65"/>
      <c r="AA135" s="62" t="str">
        <f t="shared" si="100"/>
        <v>In progress</v>
      </c>
      <c r="AB135" s="62"/>
      <c r="AC135" s="62"/>
      <c r="AD135" s="65" t="s">
        <v>110</v>
      </c>
      <c r="AE135" s="73">
        <v>244145</v>
      </c>
      <c r="AF135" s="65" t="str">
        <f t="shared" si="101"/>
        <v>Complete</v>
      </c>
      <c r="AG135" s="73">
        <v>244206</v>
      </c>
      <c r="AH135" s="73" t="s">
        <v>399</v>
      </c>
      <c r="AI135" s="62" t="str">
        <f t="shared" si="102"/>
        <v>Complete</v>
      </c>
      <c r="AJ135" s="62" t="s">
        <v>469</v>
      </c>
      <c r="AK135" s="62"/>
      <c r="AL135" s="62" t="str">
        <f t="shared" si="103"/>
        <v>In progress</v>
      </c>
      <c r="AM135" s="62"/>
      <c r="AN135" s="62"/>
      <c r="AO135" s="62"/>
      <c r="AP135" s="62"/>
      <c r="AQ135" s="62"/>
      <c r="AR135" s="62"/>
      <c r="AS135" s="62"/>
      <c r="AT135" s="62" t="str">
        <f t="shared" si="104"/>
        <v/>
      </c>
      <c r="AU135" s="62"/>
      <c r="AV135" s="62"/>
      <c r="AW135" s="62"/>
      <c r="AX135" s="73">
        <v>244382</v>
      </c>
      <c r="AY135" s="73">
        <v>244428</v>
      </c>
      <c r="AZ135" s="99" t="str">
        <f t="shared" si="105"/>
        <v>Complete</v>
      </c>
      <c r="BA135" s="62"/>
      <c r="BB135" s="62"/>
      <c r="BC135" s="62"/>
      <c r="BD135" s="62"/>
      <c r="BE135" s="62"/>
      <c r="BF135" s="62" t="str">
        <f t="shared" si="106"/>
        <v/>
      </c>
      <c r="BG135" s="65"/>
      <c r="BH135" s="65"/>
      <c r="BI135" s="65" t="str">
        <f t="shared" si="107"/>
        <v/>
      </c>
      <c r="BJ135" s="66"/>
      <c r="BK135" s="66"/>
      <c r="BL135" s="69"/>
      <c r="BM135" s="69"/>
    </row>
    <row r="136" spans="1:65" s="18" customFormat="1" ht="32.450000000000003" hidden="1" customHeight="1" x14ac:dyDescent="0.45">
      <c r="A136" s="62">
        <v>164</v>
      </c>
      <c r="B136" s="81" t="s">
        <v>299</v>
      </c>
      <c r="C136" s="60" t="s">
        <v>72</v>
      </c>
      <c r="D136" s="60" t="s">
        <v>69</v>
      </c>
      <c r="E136" s="60" t="s">
        <v>70</v>
      </c>
      <c r="F136" s="60" t="s">
        <v>100</v>
      </c>
      <c r="G136" s="68" t="s">
        <v>103</v>
      </c>
      <c r="H136" s="68" t="s">
        <v>301</v>
      </c>
      <c r="I136" s="68"/>
      <c r="J136" s="68" t="s">
        <v>353</v>
      </c>
      <c r="K136" s="59" t="s">
        <v>112</v>
      </c>
      <c r="L136" s="59" t="s">
        <v>123</v>
      </c>
      <c r="M136" s="59">
        <v>9</v>
      </c>
      <c r="N136" s="63">
        <v>91</v>
      </c>
      <c r="O136" s="64">
        <v>15.995167</v>
      </c>
      <c r="P136" s="64">
        <v>100.802454</v>
      </c>
      <c r="Q136" s="65" t="s">
        <v>110</v>
      </c>
      <c r="R136" s="65" t="s">
        <v>135</v>
      </c>
      <c r="S136" s="62" t="str">
        <f t="shared" si="98"/>
        <v>Complete</v>
      </c>
      <c r="T136" s="62" t="s">
        <v>124</v>
      </c>
      <c r="U136" s="65" t="s">
        <v>380</v>
      </c>
      <c r="V136" s="65" t="s">
        <v>380</v>
      </c>
      <c r="W136" s="65" t="str">
        <f t="shared" si="99"/>
        <v>Complete</v>
      </c>
      <c r="X136" s="51" t="s">
        <v>448</v>
      </c>
      <c r="Y136" s="65" t="s">
        <v>416</v>
      </c>
      <c r="Z136" s="65"/>
      <c r="AA136" s="62" t="str">
        <f t="shared" si="100"/>
        <v>In progress</v>
      </c>
      <c r="AB136" s="62"/>
      <c r="AC136" s="62"/>
      <c r="AD136" s="65" t="s">
        <v>110</v>
      </c>
      <c r="AE136" s="73">
        <v>244145</v>
      </c>
      <c r="AF136" s="65" t="str">
        <f t="shared" si="101"/>
        <v>Complete</v>
      </c>
      <c r="AG136" s="73">
        <v>244206</v>
      </c>
      <c r="AH136" s="73" t="s">
        <v>399</v>
      </c>
      <c r="AI136" s="62" t="str">
        <f t="shared" si="102"/>
        <v>Complete</v>
      </c>
      <c r="AJ136" s="62" t="s">
        <v>469</v>
      </c>
      <c r="AK136" s="62"/>
      <c r="AL136" s="62" t="str">
        <f t="shared" si="103"/>
        <v>In progress</v>
      </c>
      <c r="AM136" s="62"/>
      <c r="AN136" s="62"/>
      <c r="AO136" s="62"/>
      <c r="AP136" s="62"/>
      <c r="AQ136" s="62"/>
      <c r="AR136" s="62"/>
      <c r="AS136" s="62"/>
      <c r="AT136" s="62" t="str">
        <f t="shared" si="104"/>
        <v/>
      </c>
      <c r="AU136" s="62"/>
      <c r="AV136" s="62"/>
      <c r="AW136" s="62"/>
      <c r="AX136" s="73">
        <v>244397</v>
      </c>
      <c r="AY136" s="73">
        <v>244426</v>
      </c>
      <c r="AZ136" s="99" t="str">
        <f t="shared" si="105"/>
        <v>Complete</v>
      </c>
      <c r="BA136" s="62"/>
      <c r="BB136" s="62"/>
      <c r="BC136" s="62"/>
      <c r="BD136" s="62"/>
      <c r="BE136" s="62"/>
      <c r="BF136" s="62" t="str">
        <f t="shared" si="106"/>
        <v/>
      </c>
      <c r="BG136" s="65"/>
      <c r="BH136" s="65"/>
      <c r="BI136" s="65" t="str">
        <f t="shared" si="107"/>
        <v/>
      </c>
      <c r="BJ136" s="66"/>
      <c r="BK136" s="66"/>
      <c r="BL136" s="69"/>
      <c r="BM136" s="69"/>
    </row>
    <row r="137" spans="1:65" s="18" customFormat="1" ht="32.450000000000003" hidden="1" customHeight="1" x14ac:dyDescent="0.45">
      <c r="A137" s="62">
        <v>165</v>
      </c>
      <c r="B137" s="81" t="s">
        <v>160</v>
      </c>
      <c r="C137" s="60" t="s">
        <v>72</v>
      </c>
      <c r="D137" s="60" t="s">
        <v>69</v>
      </c>
      <c r="E137" s="60" t="s">
        <v>70</v>
      </c>
      <c r="F137" s="60" t="s">
        <v>100</v>
      </c>
      <c r="G137" s="68" t="s">
        <v>103</v>
      </c>
      <c r="H137" s="68" t="s">
        <v>301</v>
      </c>
      <c r="I137" s="68"/>
      <c r="J137" s="68" t="s">
        <v>349</v>
      </c>
      <c r="K137" s="59" t="s">
        <v>112</v>
      </c>
      <c r="L137" s="59" t="s">
        <v>123</v>
      </c>
      <c r="M137" s="59">
        <v>9</v>
      </c>
      <c r="N137" s="63">
        <v>109</v>
      </c>
      <c r="O137" s="64">
        <v>15.930781</v>
      </c>
      <c r="P137" s="64">
        <v>100.828569</v>
      </c>
      <c r="Q137" s="65" t="s">
        <v>110</v>
      </c>
      <c r="R137" s="65" t="s">
        <v>111</v>
      </c>
      <c r="S137" s="62" t="str">
        <f t="shared" si="98"/>
        <v>Complete</v>
      </c>
      <c r="T137" s="62" t="s">
        <v>124</v>
      </c>
      <c r="U137" s="65" t="s">
        <v>380</v>
      </c>
      <c r="V137" s="65" t="s">
        <v>380</v>
      </c>
      <c r="W137" s="65" t="str">
        <f t="shared" si="99"/>
        <v>Complete</v>
      </c>
      <c r="X137" s="51" t="s">
        <v>448</v>
      </c>
      <c r="Y137" s="65" t="s">
        <v>417</v>
      </c>
      <c r="Z137" s="65"/>
      <c r="AA137" s="62" t="str">
        <f t="shared" si="100"/>
        <v>In progress</v>
      </c>
      <c r="AB137" s="62"/>
      <c r="AC137" s="62"/>
      <c r="AD137" s="65" t="s">
        <v>110</v>
      </c>
      <c r="AE137" s="73">
        <v>244145</v>
      </c>
      <c r="AF137" s="65" t="str">
        <f t="shared" si="101"/>
        <v>Complete</v>
      </c>
      <c r="AG137" s="73">
        <v>244206</v>
      </c>
      <c r="AH137" s="73" t="s">
        <v>399</v>
      </c>
      <c r="AI137" s="62" t="str">
        <f t="shared" si="102"/>
        <v>Complete</v>
      </c>
      <c r="AJ137" s="62" t="s">
        <v>469</v>
      </c>
      <c r="AK137" s="62"/>
      <c r="AL137" s="62" t="str">
        <f t="shared" si="103"/>
        <v>In progress</v>
      </c>
      <c r="AM137" s="62"/>
      <c r="AN137" s="62"/>
      <c r="AO137" s="62"/>
      <c r="AP137" s="62"/>
      <c r="AQ137" s="62"/>
      <c r="AR137" s="62"/>
      <c r="AS137" s="62"/>
      <c r="AT137" s="62" t="str">
        <f t="shared" si="104"/>
        <v/>
      </c>
      <c r="AU137" s="62"/>
      <c r="AV137" s="62"/>
      <c r="AW137" s="62"/>
      <c r="AX137" s="73">
        <v>244406</v>
      </c>
      <c r="AY137" s="73">
        <v>244430</v>
      </c>
      <c r="AZ137" s="99" t="str">
        <f t="shared" si="105"/>
        <v>Complete</v>
      </c>
      <c r="BA137" s="62"/>
      <c r="BB137" s="62"/>
      <c r="BC137" s="62"/>
      <c r="BD137" s="62"/>
      <c r="BE137" s="62"/>
      <c r="BF137" s="62" t="str">
        <f t="shared" si="106"/>
        <v/>
      </c>
      <c r="BG137" s="65"/>
      <c r="BH137" s="65"/>
      <c r="BI137" s="65" t="str">
        <f t="shared" si="107"/>
        <v/>
      </c>
      <c r="BJ137" s="66"/>
      <c r="BK137" s="66"/>
      <c r="BL137" s="69"/>
      <c r="BM137" s="69"/>
    </row>
    <row r="138" spans="1:65" s="18" customFormat="1" ht="32.450000000000003" hidden="1" customHeight="1" x14ac:dyDescent="0.45">
      <c r="A138" s="59">
        <v>166</v>
      </c>
      <c r="B138" s="81" t="s">
        <v>179</v>
      </c>
      <c r="C138" s="60" t="s">
        <v>72</v>
      </c>
      <c r="D138" s="60" t="s">
        <v>69</v>
      </c>
      <c r="E138" s="60" t="s">
        <v>70</v>
      </c>
      <c r="F138" s="60" t="s">
        <v>100</v>
      </c>
      <c r="G138" s="68" t="s">
        <v>103</v>
      </c>
      <c r="H138" s="68" t="s">
        <v>301</v>
      </c>
      <c r="I138" s="68"/>
      <c r="J138" s="68" t="s">
        <v>345</v>
      </c>
      <c r="K138" s="59" t="s">
        <v>112</v>
      </c>
      <c r="L138" s="59" t="s">
        <v>123</v>
      </c>
      <c r="M138" s="59">
        <v>9</v>
      </c>
      <c r="N138" s="63">
        <v>129</v>
      </c>
      <c r="O138" s="64">
        <v>15.941622000000001</v>
      </c>
      <c r="P138" s="64">
        <v>100.854821</v>
      </c>
      <c r="Q138" s="65" t="s">
        <v>110</v>
      </c>
      <c r="R138" s="65" t="s">
        <v>111</v>
      </c>
      <c r="S138" s="62" t="str">
        <f t="shared" si="98"/>
        <v>Complete</v>
      </c>
      <c r="T138" s="62" t="s">
        <v>124</v>
      </c>
      <c r="U138" s="65" t="s">
        <v>380</v>
      </c>
      <c r="V138" s="65" t="s">
        <v>380</v>
      </c>
      <c r="W138" s="65" t="str">
        <f t="shared" si="99"/>
        <v>Complete</v>
      </c>
      <c r="X138" s="51" t="s">
        <v>448</v>
      </c>
      <c r="Y138" s="65" t="s">
        <v>417</v>
      </c>
      <c r="Z138" s="65"/>
      <c r="AA138" s="62" t="str">
        <f t="shared" si="100"/>
        <v>In progress</v>
      </c>
      <c r="AB138" s="62"/>
      <c r="AC138" s="62"/>
      <c r="AD138" s="65" t="s">
        <v>110</v>
      </c>
      <c r="AE138" s="73">
        <v>244145</v>
      </c>
      <c r="AF138" s="65" t="str">
        <f t="shared" si="101"/>
        <v>Complete</v>
      </c>
      <c r="AG138" s="73">
        <v>244206</v>
      </c>
      <c r="AH138" s="73" t="s">
        <v>399</v>
      </c>
      <c r="AI138" s="62" t="str">
        <f t="shared" si="102"/>
        <v>Complete</v>
      </c>
      <c r="AJ138" s="62" t="s">
        <v>469</v>
      </c>
      <c r="AK138" s="62"/>
      <c r="AL138" s="62" t="str">
        <f t="shared" si="103"/>
        <v>In progress</v>
      </c>
      <c r="AM138" s="62"/>
      <c r="AN138" s="62"/>
      <c r="AO138" s="62"/>
      <c r="AP138" s="62"/>
      <c r="AQ138" s="62"/>
      <c r="AR138" s="62"/>
      <c r="AS138" s="62"/>
      <c r="AT138" s="62" t="str">
        <f t="shared" si="104"/>
        <v/>
      </c>
      <c r="AU138" s="62"/>
      <c r="AV138" s="62"/>
      <c r="AW138" s="62"/>
      <c r="AX138" s="73">
        <v>244406</v>
      </c>
      <c r="AY138" s="73">
        <v>244430</v>
      </c>
      <c r="AZ138" s="99" t="str">
        <f t="shared" si="105"/>
        <v>Complete</v>
      </c>
      <c r="BA138" s="62"/>
      <c r="BB138" s="62"/>
      <c r="BC138" s="62"/>
      <c r="BD138" s="62"/>
      <c r="BE138" s="62"/>
      <c r="BF138" s="62" t="str">
        <f t="shared" si="106"/>
        <v/>
      </c>
      <c r="BG138" s="65"/>
      <c r="BH138" s="65"/>
      <c r="BI138" s="65" t="str">
        <f t="shared" si="107"/>
        <v/>
      </c>
      <c r="BJ138" s="66"/>
      <c r="BK138" s="66"/>
      <c r="BL138" s="69"/>
      <c r="BM138" s="69"/>
    </row>
    <row r="139" spans="1:65" s="18" customFormat="1" ht="32.450000000000003" hidden="1" customHeight="1" x14ac:dyDescent="0.45">
      <c r="A139" s="59">
        <v>167</v>
      </c>
      <c r="B139" s="81" t="s">
        <v>423</v>
      </c>
      <c r="C139" s="60" t="s">
        <v>72</v>
      </c>
      <c r="D139" s="60" t="s">
        <v>69</v>
      </c>
      <c r="E139" s="60" t="s">
        <v>70</v>
      </c>
      <c r="F139" s="60" t="s">
        <v>100</v>
      </c>
      <c r="G139" s="68" t="s">
        <v>103</v>
      </c>
      <c r="H139" s="68" t="s">
        <v>301</v>
      </c>
      <c r="I139" s="68"/>
      <c r="J139" s="68" t="s">
        <v>339</v>
      </c>
      <c r="K139" s="59" t="s">
        <v>112</v>
      </c>
      <c r="L139" s="59" t="s">
        <v>123</v>
      </c>
      <c r="M139" s="59">
        <v>9</v>
      </c>
      <c r="N139" s="63">
        <v>120</v>
      </c>
      <c r="O139" s="64">
        <v>15.961283</v>
      </c>
      <c r="P139" s="64">
        <v>100.85166100000001</v>
      </c>
      <c r="Q139" s="65" t="s">
        <v>110</v>
      </c>
      <c r="R139" s="65" t="s">
        <v>111</v>
      </c>
      <c r="S139" s="62" t="str">
        <f t="shared" si="98"/>
        <v>Complete</v>
      </c>
      <c r="T139" s="62" t="s">
        <v>124</v>
      </c>
      <c r="U139" s="65" t="s">
        <v>380</v>
      </c>
      <c r="V139" s="65" t="s">
        <v>380</v>
      </c>
      <c r="W139" s="65" t="str">
        <f t="shared" si="99"/>
        <v>Complete</v>
      </c>
      <c r="X139" s="51" t="s">
        <v>448</v>
      </c>
      <c r="Y139" s="65" t="s">
        <v>417</v>
      </c>
      <c r="Z139" s="65"/>
      <c r="AA139" s="62" t="str">
        <f t="shared" si="100"/>
        <v>In progress</v>
      </c>
      <c r="AB139" s="62"/>
      <c r="AC139" s="62"/>
      <c r="AD139" s="65" t="s">
        <v>110</v>
      </c>
      <c r="AE139" s="73">
        <v>244145</v>
      </c>
      <c r="AF139" s="65" t="str">
        <f t="shared" si="101"/>
        <v>Complete</v>
      </c>
      <c r="AG139" s="73">
        <v>244206</v>
      </c>
      <c r="AH139" s="73" t="s">
        <v>399</v>
      </c>
      <c r="AI139" s="62" t="str">
        <f t="shared" si="102"/>
        <v>Complete</v>
      </c>
      <c r="AJ139" s="62" t="s">
        <v>469</v>
      </c>
      <c r="AK139" s="62"/>
      <c r="AL139" s="62" t="str">
        <f t="shared" si="103"/>
        <v>In progress</v>
      </c>
      <c r="AM139" s="62"/>
      <c r="AN139" s="62"/>
      <c r="AO139" s="62"/>
      <c r="AP139" s="62"/>
      <c r="AQ139" s="62"/>
      <c r="AR139" s="62"/>
      <c r="AS139" s="62"/>
      <c r="AT139" s="62" t="str">
        <f t="shared" si="104"/>
        <v/>
      </c>
      <c r="AU139" s="62"/>
      <c r="AV139" s="62"/>
      <c r="AW139" s="62"/>
      <c r="AX139" s="73">
        <v>244403</v>
      </c>
      <c r="AY139" s="73">
        <v>244425</v>
      </c>
      <c r="AZ139" s="99" t="str">
        <f t="shared" si="105"/>
        <v>Complete</v>
      </c>
      <c r="BA139" s="62"/>
      <c r="BB139" s="62"/>
      <c r="BC139" s="62"/>
      <c r="BD139" s="62"/>
      <c r="BE139" s="62"/>
      <c r="BF139" s="62" t="str">
        <f t="shared" si="106"/>
        <v/>
      </c>
      <c r="BG139" s="65"/>
      <c r="BH139" s="65"/>
      <c r="BI139" s="65" t="str">
        <f t="shared" si="107"/>
        <v/>
      </c>
      <c r="BJ139" s="66"/>
      <c r="BK139" s="66"/>
      <c r="BL139" s="69"/>
      <c r="BM139" s="69"/>
    </row>
    <row r="140" spans="1:65" s="18" customFormat="1" ht="32.450000000000003" hidden="1" customHeight="1" x14ac:dyDescent="0.45">
      <c r="A140" s="59">
        <v>168</v>
      </c>
      <c r="B140" s="81" t="s">
        <v>424</v>
      </c>
      <c r="C140" s="60" t="s">
        <v>72</v>
      </c>
      <c r="D140" s="60" t="s">
        <v>69</v>
      </c>
      <c r="E140" s="60" t="s">
        <v>70</v>
      </c>
      <c r="F140" s="60" t="s">
        <v>100</v>
      </c>
      <c r="G140" s="68" t="s">
        <v>103</v>
      </c>
      <c r="H140" s="68" t="s">
        <v>301</v>
      </c>
      <c r="I140" s="68"/>
      <c r="J140" s="68" t="s">
        <v>339</v>
      </c>
      <c r="K140" s="59" t="s">
        <v>112</v>
      </c>
      <c r="L140" s="59" t="s">
        <v>123</v>
      </c>
      <c r="M140" s="59">
        <v>9</v>
      </c>
      <c r="N140" s="63">
        <v>118</v>
      </c>
      <c r="O140" s="64">
        <v>15.930459000000001</v>
      </c>
      <c r="P140" s="64">
        <v>100.842</v>
      </c>
      <c r="Q140" s="65" t="s">
        <v>110</v>
      </c>
      <c r="R140" s="65" t="s">
        <v>111</v>
      </c>
      <c r="S140" s="62" t="str">
        <f t="shared" si="98"/>
        <v>Complete</v>
      </c>
      <c r="T140" s="62" t="s">
        <v>124</v>
      </c>
      <c r="U140" s="65" t="s">
        <v>380</v>
      </c>
      <c r="V140" s="65" t="s">
        <v>380</v>
      </c>
      <c r="W140" s="65" t="str">
        <f t="shared" si="99"/>
        <v>Complete</v>
      </c>
      <c r="X140" s="51" t="s">
        <v>448</v>
      </c>
      <c r="Y140" s="65" t="s">
        <v>417</v>
      </c>
      <c r="Z140" s="65"/>
      <c r="AA140" s="62" t="str">
        <f t="shared" si="100"/>
        <v>In progress</v>
      </c>
      <c r="AB140" s="62"/>
      <c r="AC140" s="62"/>
      <c r="AD140" s="65" t="s">
        <v>110</v>
      </c>
      <c r="AE140" s="73">
        <v>244145</v>
      </c>
      <c r="AF140" s="65" t="str">
        <f t="shared" si="101"/>
        <v>Complete</v>
      </c>
      <c r="AG140" s="73">
        <v>244206</v>
      </c>
      <c r="AH140" s="73" t="s">
        <v>399</v>
      </c>
      <c r="AI140" s="62" t="str">
        <f t="shared" si="102"/>
        <v>Complete</v>
      </c>
      <c r="AJ140" s="62" t="s">
        <v>469</v>
      </c>
      <c r="AK140" s="62"/>
      <c r="AL140" s="62" t="str">
        <f t="shared" si="103"/>
        <v>In progress</v>
      </c>
      <c r="AM140" s="62"/>
      <c r="AN140" s="62"/>
      <c r="AO140" s="62"/>
      <c r="AP140" s="62"/>
      <c r="AQ140" s="62"/>
      <c r="AR140" s="62"/>
      <c r="AS140" s="62"/>
      <c r="AT140" s="62" t="str">
        <f t="shared" si="104"/>
        <v/>
      </c>
      <c r="AU140" s="62"/>
      <c r="AV140" s="62"/>
      <c r="AW140" s="62"/>
      <c r="AX140" s="73">
        <v>244406</v>
      </c>
      <c r="AY140" s="73">
        <v>244425</v>
      </c>
      <c r="AZ140" s="99" t="str">
        <f t="shared" si="105"/>
        <v>Complete</v>
      </c>
      <c r="BA140" s="62"/>
      <c r="BB140" s="62"/>
      <c r="BC140" s="62"/>
      <c r="BD140" s="62"/>
      <c r="BE140" s="62"/>
      <c r="BF140" s="62" t="str">
        <f t="shared" si="106"/>
        <v/>
      </c>
      <c r="BG140" s="65"/>
      <c r="BH140" s="65"/>
      <c r="BI140" s="65" t="str">
        <f t="shared" si="107"/>
        <v/>
      </c>
      <c r="BJ140" s="66"/>
      <c r="BK140" s="66"/>
      <c r="BL140" s="69"/>
      <c r="BM140" s="69"/>
    </row>
    <row r="141" spans="1:65" s="18" customFormat="1" ht="32.450000000000003" hidden="1" customHeight="1" x14ac:dyDescent="0.45">
      <c r="A141" s="62">
        <v>169</v>
      </c>
      <c r="B141" s="81" t="s">
        <v>425</v>
      </c>
      <c r="C141" s="60" t="s">
        <v>72</v>
      </c>
      <c r="D141" s="60" t="s">
        <v>69</v>
      </c>
      <c r="E141" s="60" t="s">
        <v>70</v>
      </c>
      <c r="F141" s="60" t="s">
        <v>100</v>
      </c>
      <c r="G141" s="68" t="s">
        <v>103</v>
      </c>
      <c r="H141" s="68" t="s">
        <v>301</v>
      </c>
      <c r="I141" s="68"/>
      <c r="J141" s="68" t="s">
        <v>366</v>
      </c>
      <c r="K141" s="59" t="s">
        <v>112</v>
      </c>
      <c r="L141" s="59" t="s">
        <v>123</v>
      </c>
      <c r="M141" s="59">
        <v>9</v>
      </c>
      <c r="N141" s="63">
        <v>92</v>
      </c>
      <c r="O141" s="64">
        <v>15.960767000000001</v>
      </c>
      <c r="P141" s="64">
        <v>100.78924600000001</v>
      </c>
      <c r="Q141" s="65" t="s">
        <v>110</v>
      </c>
      <c r="R141" s="65" t="s">
        <v>135</v>
      </c>
      <c r="S141" s="62" t="str">
        <f t="shared" si="98"/>
        <v>Complete</v>
      </c>
      <c r="T141" s="62" t="s">
        <v>124</v>
      </c>
      <c r="U141" s="65" t="s">
        <v>380</v>
      </c>
      <c r="V141" s="65" t="s">
        <v>380</v>
      </c>
      <c r="W141" s="65" t="str">
        <f t="shared" si="99"/>
        <v>Complete</v>
      </c>
      <c r="X141" s="51" t="s">
        <v>448</v>
      </c>
      <c r="Y141" s="65" t="s">
        <v>416</v>
      </c>
      <c r="Z141" s="65"/>
      <c r="AA141" s="62" t="str">
        <f t="shared" si="100"/>
        <v>In progress</v>
      </c>
      <c r="AB141" s="62"/>
      <c r="AC141" s="62"/>
      <c r="AD141" s="65" t="s">
        <v>110</v>
      </c>
      <c r="AE141" s="73">
        <v>244145</v>
      </c>
      <c r="AF141" s="65" t="str">
        <f t="shared" si="101"/>
        <v>Complete</v>
      </c>
      <c r="AG141" s="73">
        <v>244206</v>
      </c>
      <c r="AH141" s="73" t="s">
        <v>399</v>
      </c>
      <c r="AI141" s="62" t="str">
        <f t="shared" si="102"/>
        <v>Complete</v>
      </c>
      <c r="AJ141" s="62" t="s">
        <v>469</v>
      </c>
      <c r="AK141" s="62"/>
      <c r="AL141" s="62" t="str">
        <f t="shared" si="103"/>
        <v>In progress</v>
      </c>
      <c r="AM141" s="62"/>
      <c r="AN141" s="62"/>
      <c r="AO141" s="62"/>
      <c r="AP141" s="62"/>
      <c r="AQ141" s="62"/>
      <c r="AR141" s="62"/>
      <c r="AS141" s="62"/>
      <c r="AT141" s="62" t="str">
        <f t="shared" si="104"/>
        <v/>
      </c>
      <c r="AU141" s="62"/>
      <c r="AV141" s="62"/>
      <c r="AW141" s="62"/>
      <c r="AX141" s="73">
        <v>244410</v>
      </c>
      <c r="AY141" s="73">
        <v>244425</v>
      </c>
      <c r="AZ141" s="99" t="str">
        <f t="shared" si="105"/>
        <v>Complete</v>
      </c>
      <c r="BA141" s="62"/>
      <c r="BB141" s="62"/>
      <c r="BC141" s="62"/>
      <c r="BD141" s="62"/>
      <c r="BE141" s="62"/>
      <c r="BF141" s="62" t="str">
        <f t="shared" si="106"/>
        <v/>
      </c>
      <c r="BG141" s="65"/>
      <c r="BH141" s="65"/>
      <c r="BI141" s="65" t="str">
        <f t="shared" si="107"/>
        <v/>
      </c>
      <c r="BJ141" s="66"/>
      <c r="BK141" s="66"/>
      <c r="BL141" s="69"/>
      <c r="BM141" s="69"/>
    </row>
    <row r="142" spans="1:65" s="18" customFormat="1" ht="32.450000000000003" hidden="1" customHeight="1" x14ac:dyDescent="0.45">
      <c r="A142" s="62">
        <v>170</v>
      </c>
      <c r="B142" s="81" t="s">
        <v>426</v>
      </c>
      <c r="C142" s="60" t="s">
        <v>72</v>
      </c>
      <c r="D142" s="60" t="s">
        <v>69</v>
      </c>
      <c r="E142" s="60" t="s">
        <v>70</v>
      </c>
      <c r="F142" s="60" t="s">
        <v>100</v>
      </c>
      <c r="G142" s="68" t="s">
        <v>103</v>
      </c>
      <c r="H142" s="68" t="s">
        <v>301</v>
      </c>
      <c r="I142" s="68"/>
      <c r="J142" s="68" t="s">
        <v>339</v>
      </c>
      <c r="K142" s="59" t="s">
        <v>112</v>
      </c>
      <c r="L142" s="59" t="s">
        <v>123</v>
      </c>
      <c r="M142" s="59">
        <v>9</v>
      </c>
      <c r="N142" s="63">
        <v>107</v>
      </c>
      <c r="O142" s="64">
        <v>16.018118000000001</v>
      </c>
      <c r="P142" s="64">
        <v>100.85587</v>
      </c>
      <c r="Q142" s="65" t="s">
        <v>110</v>
      </c>
      <c r="R142" s="65" t="s">
        <v>377</v>
      </c>
      <c r="S142" s="62" t="str">
        <f t="shared" si="98"/>
        <v>Complete</v>
      </c>
      <c r="T142" s="62" t="s">
        <v>124</v>
      </c>
      <c r="U142" s="65" t="s">
        <v>380</v>
      </c>
      <c r="V142" s="65" t="s">
        <v>380</v>
      </c>
      <c r="W142" s="65" t="str">
        <f t="shared" si="99"/>
        <v>Complete</v>
      </c>
      <c r="X142" s="51" t="s">
        <v>448</v>
      </c>
      <c r="Y142" s="65" t="s">
        <v>415</v>
      </c>
      <c r="Z142" s="65"/>
      <c r="AA142" s="62" t="str">
        <f t="shared" si="100"/>
        <v>In progress</v>
      </c>
      <c r="AB142" s="62"/>
      <c r="AC142" s="62"/>
      <c r="AD142" s="65" t="s">
        <v>110</v>
      </c>
      <c r="AE142" s="73">
        <v>244145</v>
      </c>
      <c r="AF142" s="65" t="str">
        <f t="shared" si="101"/>
        <v>Complete</v>
      </c>
      <c r="AG142" s="73">
        <v>244206</v>
      </c>
      <c r="AH142" s="73" t="s">
        <v>399</v>
      </c>
      <c r="AI142" s="62" t="str">
        <f t="shared" si="102"/>
        <v>Complete</v>
      </c>
      <c r="AJ142" s="62" t="s">
        <v>469</v>
      </c>
      <c r="AK142" s="62"/>
      <c r="AL142" s="62" t="str">
        <f t="shared" si="103"/>
        <v>In progress</v>
      </c>
      <c r="AM142" s="62"/>
      <c r="AN142" s="62"/>
      <c r="AO142" s="62"/>
      <c r="AP142" s="62"/>
      <c r="AQ142" s="62"/>
      <c r="AR142" s="62"/>
      <c r="AS142" s="62"/>
      <c r="AT142" s="62" t="str">
        <f t="shared" si="104"/>
        <v/>
      </c>
      <c r="AU142" s="62"/>
      <c r="AV142" s="62"/>
      <c r="AW142" s="62"/>
      <c r="AX142" s="73">
        <v>244397</v>
      </c>
      <c r="AY142" s="73">
        <v>244421</v>
      </c>
      <c r="AZ142" s="99" t="str">
        <f t="shared" si="105"/>
        <v>Complete</v>
      </c>
      <c r="BA142" s="62"/>
      <c r="BB142" s="62"/>
      <c r="BC142" s="62"/>
      <c r="BD142" s="62"/>
      <c r="BE142" s="62"/>
      <c r="BF142" s="62" t="str">
        <f t="shared" si="106"/>
        <v/>
      </c>
      <c r="BG142" s="65"/>
      <c r="BH142" s="65"/>
      <c r="BI142" s="65" t="str">
        <f t="shared" si="107"/>
        <v/>
      </c>
      <c r="BJ142" s="66"/>
      <c r="BK142" s="66"/>
      <c r="BL142" s="69"/>
      <c r="BM142" s="69"/>
    </row>
    <row r="143" spans="1:65" s="18" customFormat="1" ht="32.450000000000003" hidden="1" customHeight="1" x14ac:dyDescent="0.45">
      <c r="A143" s="59">
        <v>171</v>
      </c>
      <c r="B143" s="81" t="s">
        <v>275</v>
      </c>
      <c r="C143" s="60" t="s">
        <v>72</v>
      </c>
      <c r="D143" s="60" t="s">
        <v>69</v>
      </c>
      <c r="E143" s="60" t="s">
        <v>70</v>
      </c>
      <c r="F143" s="60" t="s">
        <v>100</v>
      </c>
      <c r="G143" s="68" t="s">
        <v>103</v>
      </c>
      <c r="H143" s="68" t="s">
        <v>301</v>
      </c>
      <c r="I143" s="68"/>
      <c r="J143" s="68" t="s">
        <v>308</v>
      </c>
      <c r="K143" s="59" t="s">
        <v>112</v>
      </c>
      <c r="L143" s="59" t="s">
        <v>123</v>
      </c>
      <c r="M143" s="59">
        <v>9</v>
      </c>
      <c r="N143" s="63">
        <v>101</v>
      </c>
      <c r="O143" s="64">
        <v>15.962597000000001</v>
      </c>
      <c r="P143" s="64">
        <v>100.823078</v>
      </c>
      <c r="Q143" s="65" t="s">
        <v>110</v>
      </c>
      <c r="R143" s="65" t="s">
        <v>111</v>
      </c>
      <c r="S143" s="62" t="str">
        <f t="shared" si="98"/>
        <v>Complete</v>
      </c>
      <c r="T143" s="62" t="s">
        <v>124</v>
      </c>
      <c r="U143" s="65" t="s">
        <v>380</v>
      </c>
      <c r="V143" s="65" t="s">
        <v>380</v>
      </c>
      <c r="W143" s="65" t="str">
        <f t="shared" si="99"/>
        <v>Complete</v>
      </c>
      <c r="X143" s="51" t="s">
        <v>448</v>
      </c>
      <c r="Y143" s="65" t="s">
        <v>417</v>
      </c>
      <c r="Z143" s="65"/>
      <c r="AA143" s="62" t="str">
        <f t="shared" si="100"/>
        <v>In progress</v>
      </c>
      <c r="AB143" s="62"/>
      <c r="AC143" s="62"/>
      <c r="AD143" s="65" t="s">
        <v>110</v>
      </c>
      <c r="AE143" s="73">
        <v>244145</v>
      </c>
      <c r="AF143" s="65" t="str">
        <f t="shared" si="101"/>
        <v>Complete</v>
      </c>
      <c r="AG143" s="73">
        <v>244206</v>
      </c>
      <c r="AH143" s="73" t="s">
        <v>399</v>
      </c>
      <c r="AI143" s="62" t="str">
        <f t="shared" si="102"/>
        <v>Complete</v>
      </c>
      <c r="AJ143" s="62" t="s">
        <v>469</v>
      </c>
      <c r="AK143" s="62"/>
      <c r="AL143" s="62" t="str">
        <f t="shared" si="103"/>
        <v>In progress</v>
      </c>
      <c r="AM143" s="62"/>
      <c r="AN143" s="62"/>
      <c r="AO143" s="62"/>
      <c r="AP143" s="62"/>
      <c r="AQ143" s="62"/>
      <c r="AR143" s="62"/>
      <c r="AS143" s="62"/>
      <c r="AT143" s="62" t="str">
        <f t="shared" si="104"/>
        <v/>
      </c>
      <c r="AU143" s="62"/>
      <c r="AV143" s="62"/>
      <c r="AW143" s="62"/>
      <c r="AX143" s="73">
        <v>244410</v>
      </c>
      <c r="AY143" s="73">
        <v>244428</v>
      </c>
      <c r="AZ143" s="99" t="str">
        <f t="shared" si="105"/>
        <v>Complete</v>
      </c>
      <c r="BA143" s="62"/>
      <c r="BB143" s="62"/>
      <c r="BC143" s="62"/>
      <c r="BD143" s="62"/>
      <c r="BE143" s="62"/>
      <c r="BF143" s="62" t="str">
        <f t="shared" si="106"/>
        <v/>
      </c>
      <c r="BG143" s="65"/>
      <c r="BH143" s="65"/>
      <c r="BI143" s="65" t="str">
        <f t="shared" si="107"/>
        <v/>
      </c>
      <c r="BJ143" s="66"/>
      <c r="BK143" s="66"/>
      <c r="BL143" s="69"/>
      <c r="BM143" s="69"/>
    </row>
    <row r="144" spans="1:65" s="18" customFormat="1" ht="32.450000000000003" hidden="1" customHeight="1" x14ac:dyDescent="0.45">
      <c r="A144" s="59">
        <v>172</v>
      </c>
      <c r="B144" s="81" t="s">
        <v>287</v>
      </c>
      <c r="C144" s="60" t="s">
        <v>72</v>
      </c>
      <c r="D144" s="60" t="s">
        <v>69</v>
      </c>
      <c r="E144" s="60" t="s">
        <v>70</v>
      </c>
      <c r="F144" s="60" t="s">
        <v>100</v>
      </c>
      <c r="G144" s="68" t="s">
        <v>103</v>
      </c>
      <c r="H144" s="68" t="s">
        <v>304</v>
      </c>
      <c r="I144" s="68"/>
      <c r="J144" s="68"/>
      <c r="K144" s="59" t="s">
        <v>112</v>
      </c>
      <c r="L144" s="59" t="s">
        <v>123</v>
      </c>
      <c r="M144" s="59">
        <v>9</v>
      </c>
      <c r="N144" s="71">
        <v>97</v>
      </c>
      <c r="O144" s="64">
        <v>16.00854</v>
      </c>
      <c r="P144" s="64">
        <v>100.821383</v>
      </c>
      <c r="Q144" s="65" t="s">
        <v>110</v>
      </c>
      <c r="R144" s="65" t="s">
        <v>111</v>
      </c>
      <c r="S144" s="62" t="str">
        <f t="shared" si="98"/>
        <v>Complete</v>
      </c>
      <c r="T144" s="62" t="s">
        <v>124</v>
      </c>
      <c r="U144" s="65" t="s">
        <v>380</v>
      </c>
      <c r="V144" s="65" t="s">
        <v>380</v>
      </c>
      <c r="W144" s="65" t="str">
        <f t="shared" si="99"/>
        <v>Complete</v>
      </c>
      <c r="X144" s="51" t="s">
        <v>448</v>
      </c>
      <c r="Y144" s="65" t="s">
        <v>417</v>
      </c>
      <c r="Z144" s="65"/>
      <c r="AA144" s="62" t="str">
        <f t="shared" si="100"/>
        <v>In progress</v>
      </c>
      <c r="AB144" s="62"/>
      <c r="AC144" s="62"/>
      <c r="AD144" s="65" t="s">
        <v>110</v>
      </c>
      <c r="AE144" s="73">
        <v>244145</v>
      </c>
      <c r="AF144" s="65" t="str">
        <f t="shared" si="101"/>
        <v>Complete</v>
      </c>
      <c r="AG144" s="73">
        <v>244206</v>
      </c>
      <c r="AH144" s="73" t="s">
        <v>399</v>
      </c>
      <c r="AI144" s="62" t="str">
        <f t="shared" si="102"/>
        <v>Complete</v>
      </c>
      <c r="AJ144" s="62" t="s">
        <v>469</v>
      </c>
      <c r="AK144" s="62"/>
      <c r="AL144" s="62" t="str">
        <f t="shared" si="103"/>
        <v>In progress</v>
      </c>
      <c r="AM144" s="62"/>
      <c r="AN144" s="62"/>
      <c r="AO144" s="62"/>
      <c r="AP144" s="62"/>
      <c r="AQ144" s="62"/>
      <c r="AR144" s="62"/>
      <c r="AS144" s="62"/>
      <c r="AT144" s="62" t="str">
        <f t="shared" si="104"/>
        <v/>
      </c>
      <c r="AU144" s="62"/>
      <c r="AV144" s="62"/>
      <c r="AW144" s="62"/>
      <c r="AX144" s="73">
        <v>244403</v>
      </c>
      <c r="AY144" s="73">
        <v>244426</v>
      </c>
      <c r="AZ144" s="99" t="str">
        <f t="shared" si="105"/>
        <v>Complete</v>
      </c>
      <c r="BA144" s="62"/>
      <c r="BB144" s="62"/>
      <c r="BC144" s="62"/>
      <c r="BD144" s="62"/>
      <c r="BE144" s="62"/>
      <c r="BF144" s="62" t="str">
        <f t="shared" si="106"/>
        <v/>
      </c>
      <c r="BG144" s="65"/>
      <c r="BH144" s="65"/>
      <c r="BI144" s="65" t="str">
        <f t="shared" si="107"/>
        <v/>
      </c>
      <c r="BJ144" s="66"/>
      <c r="BK144" s="66"/>
      <c r="BL144" s="69"/>
      <c r="BM144" s="69"/>
    </row>
    <row r="145" spans="1:65" s="18" customFormat="1" ht="32.450000000000003" hidden="1" customHeight="1" x14ac:dyDescent="0.45">
      <c r="A145" s="59">
        <v>173</v>
      </c>
      <c r="B145" s="81" t="s">
        <v>180</v>
      </c>
      <c r="C145" s="60" t="s">
        <v>72</v>
      </c>
      <c r="D145" s="60" t="s">
        <v>69</v>
      </c>
      <c r="E145" s="60" t="s">
        <v>70</v>
      </c>
      <c r="F145" s="60" t="s">
        <v>100</v>
      </c>
      <c r="G145" s="68" t="s">
        <v>103</v>
      </c>
      <c r="H145" s="68" t="s">
        <v>301</v>
      </c>
      <c r="I145" s="68"/>
      <c r="J145" s="68" t="s">
        <v>336</v>
      </c>
      <c r="K145" s="59" t="s">
        <v>112</v>
      </c>
      <c r="L145" s="59" t="s">
        <v>123</v>
      </c>
      <c r="M145" s="59">
        <v>9</v>
      </c>
      <c r="N145" s="63">
        <v>103</v>
      </c>
      <c r="O145" s="64">
        <v>15.952840999999999</v>
      </c>
      <c r="P145" s="64">
        <v>100.813614</v>
      </c>
      <c r="Q145" s="65" t="s">
        <v>110</v>
      </c>
      <c r="R145" s="65" t="s">
        <v>111</v>
      </c>
      <c r="S145" s="62" t="str">
        <f t="shared" si="98"/>
        <v>Complete</v>
      </c>
      <c r="T145" s="62" t="s">
        <v>124</v>
      </c>
      <c r="U145" s="65" t="s">
        <v>380</v>
      </c>
      <c r="V145" s="65" t="s">
        <v>380</v>
      </c>
      <c r="W145" s="65" t="str">
        <f t="shared" si="99"/>
        <v>Complete</v>
      </c>
      <c r="X145" s="51" t="s">
        <v>448</v>
      </c>
      <c r="Y145" s="65" t="s">
        <v>417</v>
      </c>
      <c r="Z145" s="65"/>
      <c r="AA145" s="62" t="str">
        <f t="shared" si="100"/>
        <v>In progress</v>
      </c>
      <c r="AB145" s="62"/>
      <c r="AC145" s="62"/>
      <c r="AD145" s="65" t="s">
        <v>110</v>
      </c>
      <c r="AE145" s="73">
        <v>244145</v>
      </c>
      <c r="AF145" s="65" t="str">
        <f t="shared" si="101"/>
        <v>Complete</v>
      </c>
      <c r="AG145" s="73">
        <v>244206</v>
      </c>
      <c r="AH145" s="73" t="s">
        <v>399</v>
      </c>
      <c r="AI145" s="62" t="str">
        <f t="shared" si="102"/>
        <v>Complete</v>
      </c>
      <c r="AJ145" s="62" t="s">
        <v>469</v>
      </c>
      <c r="AK145" s="62"/>
      <c r="AL145" s="62" t="str">
        <f t="shared" si="103"/>
        <v>In progress</v>
      </c>
      <c r="AM145" s="62"/>
      <c r="AN145" s="62"/>
      <c r="AO145" s="62"/>
      <c r="AP145" s="62"/>
      <c r="AQ145" s="62"/>
      <c r="AR145" s="62"/>
      <c r="AS145" s="62"/>
      <c r="AT145" s="62" t="str">
        <f t="shared" si="104"/>
        <v/>
      </c>
      <c r="AU145" s="62"/>
      <c r="AV145" s="62"/>
      <c r="AW145" s="62"/>
      <c r="AX145" s="73">
        <v>244410</v>
      </c>
      <c r="AY145" s="73">
        <v>244429</v>
      </c>
      <c r="AZ145" s="99" t="str">
        <f t="shared" si="105"/>
        <v>Complete</v>
      </c>
      <c r="BA145" s="62"/>
      <c r="BB145" s="62"/>
      <c r="BC145" s="62"/>
      <c r="BD145" s="62"/>
      <c r="BE145" s="62"/>
      <c r="BF145" s="62" t="str">
        <f t="shared" si="106"/>
        <v/>
      </c>
      <c r="BG145" s="65"/>
      <c r="BH145" s="65"/>
      <c r="BI145" s="65" t="str">
        <f t="shared" si="107"/>
        <v/>
      </c>
      <c r="BJ145" s="66"/>
      <c r="BK145" s="66"/>
      <c r="BL145" s="69"/>
      <c r="BM145" s="69"/>
    </row>
    <row r="146" spans="1:65" s="18" customFormat="1" ht="32.450000000000003" hidden="1" customHeight="1" x14ac:dyDescent="0.45">
      <c r="A146" s="62">
        <v>174</v>
      </c>
      <c r="B146" s="81" t="s">
        <v>427</v>
      </c>
      <c r="C146" s="60" t="s">
        <v>72</v>
      </c>
      <c r="D146" s="60" t="s">
        <v>69</v>
      </c>
      <c r="E146" s="60" t="s">
        <v>70</v>
      </c>
      <c r="F146" s="60" t="s">
        <v>100</v>
      </c>
      <c r="G146" s="68" t="s">
        <v>103</v>
      </c>
      <c r="H146" s="68" t="s">
        <v>303</v>
      </c>
      <c r="I146" s="68"/>
      <c r="J146" s="68" t="s">
        <v>336</v>
      </c>
      <c r="K146" s="59" t="s">
        <v>112</v>
      </c>
      <c r="L146" s="59" t="s">
        <v>123</v>
      </c>
      <c r="M146" s="59">
        <v>9</v>
      </c>
      <c r="N146" s="63">
        <v>107</v>
      </c>
      <c r="O146" s="64">
        <v>15.933692000000001</v>
      </c>
      <c r="P146" s="64">
        <v>100.823031</v>
      </c>
      <c r="Q146" s="65" t="s">
        <v>110</v>
      </c>
      <c r="R146" s="65" t="s">
        <v>111</v>
      </c>
      <c r="S146" s="62" t="str">
        <f t="shared" si="98"/>
        <v>Complete</v>
      </c>
      <c r="T146" s="62" t="s">
        <v>124</v>
      </c>
      <c r="U146" s="65" t="s">
        <v>380</v>
      </c>
      <c r="V146" s="65" t="s">
        <v>380</v>
      </c>
      <c r="W146" s="65" t="str">
        <f t="shared" si="99"/>
        <v>Complete</v>
      </c>
      <c r="X146" s="51" t="s">
        <v>448</v>
      </c>
      <c r="Y146" s="65" t="s">
        <v>417</v>
      </c>
      <c r="Z146" s="65"/>
      <c r="AA146" s="62" t="str">
        <f t="shared" si="100"/>
        <v>In progress</v>
      </c>
      <c r="AB146" s="62"/>
      <c r="AC146" s="62"/>
      <c r="AD146" s="65" t="s">
        <v>110</v>
      </c>
      <c r="AE146" s="73">
        <v>244145</v>
      </c>
      <c r="AF146" s="65" t="str">
        <f t="shared" si="101"/>
        <v>Complete</v>
      </c>
      <c r="AG146" s="73">
        <v>244206</v>
      </c>
      <c r="AH146" s="73" t="s">
        <v>399</v>
      </c>
      <c r="AI146" s="62" t="str">
        <f t="shared" si="102"/>
        <v>Complete</v>
      </c>
      <c r="AJ146" s="62" t="s">
        <v>469</v>
      </c>
      <c r="AK146" s="62"/>
      <c r="AL146" s="62" t="str">
        <f t="shared" si="103"/>
        <v>In progress</v>
      </c>
      <c r="AM146" s="62"/>
      <c r="AN146" s="62"/>
      <c r="AO146" s="62"/>
      <c r="AP146" s="62"/>
      <c r="AQ146" s="62"/>
      <c r="AR146" s="62"/>
      <c r="AS146" s="62"/>
      <c r="AT146" s="62" t="str">
        <f t="shared" si="104"/>
        <v/>
      </c>
      <c r="AU146" s="62"/>
      <c r="AV146" s="62"/>
      <c r="AW146" s="62"/>
      <c r="AX146" s="73">
        <v>244406</v>
      </c>
      <c r="AY146" s="73">
        <v>244428</v>
      </c>
      <c r="AZ146" s="99" t="str">
        <f t="shared" si="105"/>
        <v>Complete</v>
      </c>
      <c r="BA146" s="62"/>
      <c r="BB146" s="62"/>
      <c r="BC146" s="62"/>
      <c r="BD146" s="62"/>
      <c r="BE146" s="62"/>
      <c r="BF146" s="62" t="str">
        <f t="shared" si="106"/>
        <v/>
      </c>
      <c r="BG146" s="65"/>
      <c r="BH146" s="65"/>
      <c r="BI146" s="65" t="str">
        <f t="shared" si="107"/>
        <v/>
      </c>
      <c r="BJ146" s="66"/>
      <c r="BK146" s="66"/>
      <c r="BL146" s="69"/>
      <c r="BM146" s="69"/>
    </row>
    <row r="147" spans="1:65" s="18" customFormat="1" ht="32.450000000000003" hidden="1" customHeight="1" x14ac:dyDescent="0.45">
      <c r="A147" s="62">
        <v>175</v>
      </c>
      <c r="B147" s="81" t="s">
        <v>181</v>
      </c>
      <c r="C147" s="60" t="s">
        <v>72</v>
      </c>
      <c r="D147" s="60" t="s">
        <v>69</v>
      </c>
      <c r="E147" s="60" t="s">
        <v>70</v>
      </c>
      <c r="F147" s="60" t="s">
        <v>100</v>
      </c>
      <c r="G147" s="68" t="s">
        <v>103</v>
      </c>
      <c r="H147" s="68" t="s">
        <v>304</v>
      </c>
      <c r="I147" s="68"/>
      <c r="J147" s="68" t="s">
        <v>308</v>
      </c>
      <c r="K147" s="59" t="s">
        <v>112</v>
      </c>
      <c r="L147" s="59" t="s">
        <v>472</v>
      </c>
      <c r="M147" s="59">
        <v>18</v>
      </c>
      <c r="N147" s="63">
        <v>176</v>
      </c>
      <c r="O147" s="64">
        <v>15.974875000000001</v>
      </c>
      <c r="P147" s="64">
        <v>100.871084</v>
      </c>
      <c r="Q147" s="65" t="s">
        <v>110</v>
      </c>
      <c r="R147" s="65" t="s">
        <v>111</v>
      </c>
      <c r="S147" s="62" t="str">
        <f t="shared" si="98"/>
        <v>Complete</v>
      </c>
      <c r="T147" s="62" t="s">
        <v>124</v>
      </c>
      <c r="U147" s="65" t="s">
        <v>379</v>
      </c>
      <c r="V147" s="65" t="s">
        <v>381</v>
      </c>
      <c r="W147" s="65" t="str">
        <f t="shared" si="99"/>
        <v>Complete</v>
      </c>
      <c r="X147" s="51" t="s">
        <v>448</v>
      </c>
      <c r="Y147" s="65" t="s">
        <v>417</v>
      </c>
      <c r="Z147" s="65"/>
      <c r="AA147" s="62" t="str">
        <f t="shared" si="100"/>
        <v>In progress</v>
      </c>
      <c r="AB147" s="62"/>
      <c r="AC147" s="62"/>
      <c r="AD147" s="65" t="s">
        <v>399</v>
      </c>
      <c r="AE147" s="75" t="s">
        <v>420</v>
      </c>
      <c r="AF147" s="65" t="str">
        <f t="shared" si="101"/>
        <v>Complete</v>
      </c>
      <c r="AG147" s="62" t="s">
        <v>418</v>
      </c>
      <c r="AH147" s="62" t="s">
        <v>447</v>
      </c>
      <c r="AI147" s="62" t="str">
        <f t="shared" si="102"/>
        <v>Complete</v>
      </c>
      <c r="AJ147" s="73">
        <v>244470</v>
      </c>
      <c r="AK147" s="73">
        <v>244470</v>
      </c>
      <c r="AL147" s="62" t="str">
        <f t="shared" si="103"/>
        <v>Complete</v>
      </c>
      <c r="AM147" s="62"/>
      <c r="AN147" s="62" t="s">
        <v>450</v>
      </c>
      <c r="AO147" s="73" t="s">
        <v>453</v>
      </c>
      <c r="AP147" s="62" t="s">
        <v>450</v>
      </c>
      <c r="AQ147" s="62"/>
      <c r="AR147" s="62"/>
      <c r="AS147" s="62"/>
      <c r="AT147" s="62" t="str">
        <f t="shared" si="104"/>
        <v>In progress</v>
      </c>
      <c r="AU147" s="62"/>
      <c r="AV147" s="62"/>
      <c r="AW147" s="62"/>
      <c r="AX147" s="73">
        <v>244362</v>
      </c>
      <c r="AY147" s="73">
        <v>244377</v>
      </c>
      <c r="AZ147" s="103" t="str">
        <f t="shared" si="105"/>
        <v>Complete</v>
      </c>
      <c r="BA147" s="62"/>
      <c r="BB147" s="62"/>
      <c r="BC147" s="62"/>
      <c r="BD147" s="62"/>
      <c r="BE147" s="62"/>
      <c r="BF147" s="62" t="str">
        <f t="shared" si="106"/>
        <v/>
      </c>
      <c r="BG147" s="65"/>
      <c r="BH147" s="65"/>
      <c r="BI147" s="65" t="str">
        <f t="shared" si="107"/>
        <v/>
      </c>
      <c r="BJ147" s="66"/>
      <c r="BK147" s="66"/>
      <c r="BL147" s="69"/>
      <c r="BM147" s="69" t="s">
        <v>468</v>
      </c>
    </row>
    <row r="148" spans="1:65" s="18" customFormat="1" ht="32.450000000000003" hidden="1" customHeight="1" x14ac:dyDescent="0.45">
      <c r="A148" s="59">
        <v>176</v>
      </c>
      <c r="B148" s="81" t="s">
        <v>222</v>
      </c>
      <c r="C148" s="60" t="s">
        <v>72</v>
      </c>
      <c r="D148" s="60" t="s">
        <v>69</v>
      </c>
      <c r="E148" s="60" t="s">
        <v>70</v>
      </c>
      <c r="F148" s="60" t="s">
        <v>100</v>
      </c>
      <c r="G148" s="68" t="s">
        <v>103</v>
      </c>
      <c r="H148" s="68" t="s">
        <v>301</v>
      </c>
      <c r="I148" s="68"/>
      <c r="J148" s="68" t="s">
        <v>355</v>
      </c>
      <c r="K148" s="59" t="s">
        <v>112</v>
      </c>
      <c r="L148" s="59" t="s">
        <v>123</v>
      </c>
      <c r="M148" s="59">
        <v>9</v>
      </c>
      <c r="N148" s="63">
        <v>95</v>
      </c>
      <c r="O148" s="64">
        <v>15.967283</v>
      </c>
      <c r="P148" s="64">
        <v>100.814234</v>
      </c>
      <c r="Q148" s="65" t="s">
        <v>110</v>
      </c>
      <c r="R148" s="65" t="s">
        <v>135</v>
      </c>
      <c r="S148" s="62" t="str">
        <f t="shared" si="98"/>
        <v>Complete</v>
      </c>
      <c r="T148" s="62" t="s">
        <v>124</v>
      </c>
      <c r="U148" s="65" t="s">
        <v>380</v>
      </c>
      <c r="V148" s="65" t="s">
        <v>380</v>
      </c>
      <c r="W148" s="65" t="str">
        <f t="shared" si="99"/>
        <v>Complete</v>
      </c>
      <c r="X148" s="51" t="s">
        <v>448</v>
      </c>
      <c r="Y148" s="65" t="s">
        <v>416</v>
      </c>
      <c r="Z148" s="65"/>
      <c r="AA148" s="62" t="str">
        <f t="shared" si="100"/>
        <v>In progress</v>
      </c>
      <c r="AB148" s="62"/>
      <c r="AC148" s="62"/>
      <c r="AD148" s="65" t="s">
        <v>110</v>
      </c>
      <c r="AE148" s="73">
        <v>244145</v>
      </c>
      <c r="AF148" s="65" t="str">
        <f t="shared" si="101"/>
        <v>Complete</v>
      </c>
      <c r="AG148" s="73">
        <v>244206</v>
      </c>
      <c r="AH148" s="73" t="s">
        <v>399</v>
      </c>
      <c r="AI148" s="62" t="str">
        <f t="shared" si="102"/>
        <v>Complete</v>
      </c>
      <c r="AJ148" s="62" t="s">
        <v>469</v>
      </c>
      <c r="AK148" s="62"/>
      <c r="AL148" s="62" t="str">
        <f t="shared" si="103"/>
        <v>In progress</v>
      </c>
      <c r="AM148" s="62"/>
      <c r="AN148" s="62"/>
      <c r="AO148" s="62"/>
      <c r="AP148" s="62"/>
      <c r="AQ148" s="62"/>
      <c r="AR148" s="62"/>
      <c r="AS148" s="62"/>
      <c r="AT148" s="62" t="str">
        <f t="shared" si="104"/>
        <v/>
      </c>
      <c r="AU148" s="62"/>
      <c r="AV148" s="62"/>
      <c r="AW148" s="62"/>
      <c r="AX148" s="73">
        <v>244410</v>
      </c>
      <c r="AY148" s="73">
        <v>244428</v>
      </c>
      <c r="AZ148" s="99" t="str">
        <f t="shared" si="105"/>
        <v>Complete</v>
      </c>
      <c r="BA148" s="62"/>
      <c r="BB148" s="62"/>
      <c r="BC148" s="62"/>
      <c r="BD148" s="62"/>
      <c r="BE148" s="62"/>
      <c r="BF148" s="62" t="str">
        <f t="shared" si="106"/>
        <v/>
      </c>
      <c r="BG148" s="65"/>
      <c r="BH148" s="65"/>
      <c r="BI148" s="65" t="str">
        <f t="shared" si="107"/>
        <v/>
      </c>
      <c r="BJ148" s="66"/>
      <c r="BK148" s="66"/>
      <c r="BL148" s="69"/>
      <c r="BM148" s="69"/>
    </row>
    <row r="149" spans="1:65" s="18" customFormat="1" ht="32.450000000000003" hidden="1" customHeight="1" x14ac:dyDescent="0.45">
      <c r="A149" s="59">
        <v>177</v>
      </c>
      <c r="B149" s="81" t="s">
        <v>250</v>
      </c>
      <c r="C149" s="60" t="s">
        <v>72</v>
      </c>
      <c r="D149" s="60" t="s">
        <v>69</v>
      </c>
      <c r="E149" s="60" t="s">
        <v>70</v>
      </c>
      <c r="F149" s="60" t="s">
        <v>100</v>
      </c>
      <c r="G149" s="68" t="s">
        <v>103</v>
      </c>
      <c r="H149" s="68" t="s">
        <v>301</v>
      </c>
      <c r="I149" s="68"/>
      <c r="J149" s="68" t="s">
        <v>334</v>
      </c>
      <c r="K149" s="59" t="s">
        <v>112</v>
      </c>
      <c r="L149" s="59" t="s">
        <v>123</v>
      </c>
      <c r="M149" s="59">
        <v>9</v>
      </c>
      <c r="N149" s="63">
        <v>105</v>
      </c>
      <c r="O149" s="64">
        <v>16.036973</v>
      </c>
      <c r="P149" s="64">
        <v>100.85665</v>
      </c>
      <c r="Q149" s="65" t="s">
        <v>110</v>
      </c>
      <c r="R149" s="65" t="s">
        <v>135</v>
      </c>
      <c r="S149" s="62" t="str">
        <f t="shared" si="98"/>
        <v>Complete</v>
      </c>
      <c r="T149" s="62" t="s">
        <v>124</v>
      </c>
      <c r="U149" s="65" t="s">
        <v>380</v>
      </c>
      <c r="V149" s="65" t="s">
        <v>380</v>
      </c>
      <c r="W149" s="65" t="str">
        <f t="shared" si="99"/>
        <v>Complete</v>
      </c>
      <c r="X149" s="51" t="s">
        <v>448</v>
      </c>
      <c r="Y149" s="65" t="s">
        <v>416</v>
      </c>
      <c r="Z149" s="65"/>
      <c r="AA149" s="62" t="str">
        <f t="shared" si="100"/>
        <v>In progress</v>
      </c>
      <c r="AB149" s="62"/>
      <c r="AC149" s="62"/>
      <c r="AD149" s="65" t="s">
        <v>110</v>
      </c>
      <c r="AE149" s="73">
        <v>244145</v>
      </c>
      <c r="AF149" s="65" t="str">
        <f t="shared" si="101"/>
        <v>Complete</v>
      </c>
      <c r="AG149" s="73">
        <v>244206</v>
      </c>
      <c r="AH149" s="73" t="s">
        <v>399</v>
      </c>
      <c r="AI149" s="62" t="str">
        <f t="shared" si="102"/>
        <v>Complete</v>
      </c>
      <c r="AJ149" s="62" t="s">
        <v>469</v>
      </c>
      <c r="AK149" s="62"/>
      <c r="AL149" s="62" t="str">
        <f t="shared" si="103"/>
        <v>In progress</v>
      </c>
      <c r="AM149" s="62"/>
      <c r="AN149" s="62"/>
      <c r="AO149" s="62"/>
      <c r="AP149" s="62"/>
      <c r="AQ149" s="62"/>
      <c r="AR149" s="62"/>
      <c r="AS149" s="62"/>
      <c r="AT149" s="62" t="str">
        <f t="shared" si="104"/>
        <v/>
      </c>
      <c r="AU149" s="62"/>
      <c r="AV149" s="62"/>
      <c r="AW149" s="62"/>
      <c r="AX149" s="73">
        <v>244396</v>
      </c>
      <c r="AY149" s="73">
        <v>244421</v>
      </c>
      <c r="AZ149" s="99" t="str">
        <f t="shared" si="105"/>
        <v>Complete</v>
      </c>
      <c r="BA149" s="62"/>
      <c r="BB149" s="62"/>
      <c r="BC149" s="62"/>
      <c r="BD149" s="62"/>
      <c r="BE149" s="62"/>
      <c r="BF149" s="62" t="str">
        <f t="shared" si="106"/>
        <v/>
      </c>
      <c r="BG149" s="65"/>
      <c r="BH149" s="65"/>
      <c r="BI149" s="65" t="str">
        <f t="shared" si="107"/>
        <v/>
      </c>
      <c r="BJ149" s="66"/>
      <c r="BK149" s="66"/>
      <c r="BL149" s="69"/>
      <c r="BM149" s="69"/>
    </row>
    <row r="150" spans="1:65" s="18" customFormat="1" ht="32.450000000000003" hidden="1" customHeight="1" x14ac:dyDescent="0.45">
      <c r="A150" s="59">
        <v>178</v>
      </c>
      <c r="B150" s="81" t="s">
        <v>265</v>
      </c>
      <c r="C150" s="60" t="s">
        <v>72</v>
      </c>
      <c r="D150" s="60" t="s">
        <v>69</v>
      </c>
      <c r="E150" s="60" t="s">
        <v>70</v>
      </c>
      <c r="F150" s="60" t="s">
        <v>100</v>
      </c>
      <c r="G150" s="68" t="s">
        <v>103</v>
      </c>
      <c r="H150" s="68" t="s">
        <v>302</v>
      </c>
      <c r="I150" s="68"/>
      <c r="J150" s="68" t="s">
        <v>337</v>
      </c>
      <c r="K150" s="59" t="s">
        <v>112</v>
      </c>
      <c r="L150" s="59" t="s">
        <v>123</v>
      </c>
      <c r="M150" s="59">
        <v>9</v>
      </c>
      <c r="N150" s="63">
        <v>114</v>
      </c>
      <c r="O150" s="64">
        <v>15.979996999999999</v>
      </c>
      <c r="P150" s="64">
        <v>100.842645</v>
      </c>
      <c r="Q150" s="65" t="s">
        <v>110</v>
      </c>
      <c r="R150" s="65" t="s">
        <v>135</v>
      </c>
      <c r="S150" s="62" t="str">
        <f t="shared" si="98"/>
        <v>Complete</v>
      </c>
      <c r="T150" s="62" t="s">
        <v>124</v>
      </c>
      <c r="U150" s="65" t="s">
        <v>380</v>
      </c>
      <c r="V150" s="65" t="s">
        <v>380</v>
      </c>
      <c r="W150" s="65" t="str">
        <f t="shared" si="99"/>
        <v>Complete</v>
      </c>
      <c r="X150" s="51" t="s">
        <v>448</v>
      </c>
      <c r="Y150" s="65" t="s">
        <v>416</v>
      </c>
      <c r="Z150" s="65"/>
      <c r="AA150" s="62" t="str">
        <f t="shared" si="100"/>
        <v>In progress</v>
      </c>
      <c r="AB150" s="62"/>
      <c r="AC150" s="62"/>
      <c r="AD150" s="65" t="s">
        <v>110</v>
      </c>
      <c r="AE150" s="73">
        <v>244145</v>
      </c>
      <c r="AF150" s="65" t="str">
        <f t="shared" si="101"/>
        <v>Complete</v>
      </c>
      <c r="AG150" s="73">
        <v>244206</v>
      </c>
      <c r="AH150" s="73" t="s">
        <v>399</v>
      </c>
      <c r="AI150" s="62" t="str">
        <f t="shared" si="102"/>
        <v>Complete</v>
      </c>
      <c r="AJ150" s="62" t="s">
        <v>469</v>
      </c>
      <c r="AK150" s="62"/>
      <c r="AL150" s="62" t="str">
        <f t="shared" si="103"/>
        <v>In progress</v>
      </c>
      <c r="AM150" s="62"/>
      <c r="AN150" s="62"/>
      <c r="AO150" s="62"/>
      <c r="AP150" s="62"/>
      <c r="AQ150" s="62"/>
      <c r="AR150" s="62"/>
      <c r="AS150" s="62"/>
      <c r="AT150" s="62" t="str">
        <f t="shared" si="104"/>
        <v/>
      </c>
      <c r="AU150" s="62"/>
      <c r="AV150" s="62"/>
      <c r="AW150" s="62"/>
      <c r="AX150" s="73">
        <v>244397</v>
      </c>
      <c r="AY150" s="73">
        <v>244425</v>
      </c>
      <c r="AZ150" s="99" t="str">
        <f t="shared" si="105"/>
        <v>Complete</v>
      </c>
      <c r="BA150" s="62"/>
      <c r="BB150" s="62"/>
      <c r="BC150" s="62"/>
      <c r="BD150" s="62"/>
      <c r="BE150" s="62"/>
      <c r="BF150" s="62" t="str">
        <f t="shared" si="106"/>
        <v/>
      </c>
      <c r="BG150" s="65"/>
      <c r="BH150" s="65"/>
      <c r="BI150" s="65" t="str">
        <f t="shared" si="107"/>
        <v/>
      </c>
      <c r="BJ150" s="66"/>
      <c r="BK150" s="66"/>
      <c r="BL150" s="69"/>
      <c r="BM150" s="69"/>
    </row>
    <row r="151" spans="1:65" s="18" customFormat="1" ht="32.450000000000003" hidden="1" customHeight="1" x14ac:dyDescent="0.45">
      <c r="A151" s="62">
        <v>179</v>
      </c>
      <c r="B151" s="81" t="s">
        <v>276</v>
      </c>
      <c r="C151" s="60" t="s">
        <v>72</v>
      </c>
      <c r="D151" s="60" t="s">
        <v>69</v>
      </c>
      <c r="E151" s="60" t="s">
        <v>70</v>
      </c>
      <c r="F151" s="60" t="s">
        <v>100</v>
      </c>
      <c r="G151" s="68" t="s">
        <v>103</v>
      </c>
      <c r="H151" s="68" t="s">
        <v>301</v>
      </c>
      <c r="I151" s="68"/>
      <c r="J151" s="68" t="s">
        <v>340</v>
      </c>
      <c r="K151" s="59" t="s">
        <v>112</v>
      </c>
      <c r="L151" s="59" t="s">
        <v>123</v>
      </c>
      <c r="M151" s="59">
        <v>9</v>
      </c>
      <c r="N151" s="63">
        <v>123</v>
      </c>
      <c r="O151" s="64">
        <v>15.943946</v>
      </c>
      <c r="P151" s="64">
        <v>100.844291</v>
      </c>
      <c r="Q151" s="65" t="s">
        <v>110</v>
      </c>
      <c r="R151" s="65" t="s">
        <v>111</v>
      </c>
      <c r="S151" s="62" t="str">
        <f t="shared" si="98"/>
        <v>Complete</v>
      </c>
      <c r="T151" s="62" t="s">
        <v>124</v>
      </c>
      <c r="U151" s="65" t="s">
        <v>380</v>
      </c>
      <c r="V151" s="65" t="s">
        <v>380</v>
      </c>
      <c r="W151" s="65" t="str">
        <f t="shared" si="99"/>
        <v>Complete</v>
      </c>
      <c r="X151" s="51" t="s">
        <v>448</v>
      </c>
      <c r="Y151" s="65" t="s">
        <v>417</v>
      </c>
      <c r="Z151" s="65"/>
      <c r="AA151" s="62" t="str">
        <f t="shared" si="100"/>
        <v>In progress</v>
      </c>
      <c r="AB151" s="62"/>
      <c r="AC151" s="62"/>
      <c r="AD151" s="65" t="s">
        <v>110</v>
      </c>
      <c r="AE151" s="73">
        <v>244145</v>
      </c>
      <c r="AF151" s="65" t="str">
        <f t="shared" si="101"/>
        <v>Complete</v>
      </c>
      <c r="AG151" s="73">
        <v>244206</v>
      </c>
      <c r="AH151" s="73" t="s">
        <v>399</v>
      </c>
      <c r="AI151" s="62" t="str">
        <f t="shared" si="102"/>
        <v>Complete</v>
      </c>
      <c r="AJ151" s="62" t="s">
        <v>469</v>
      </c>
      <c r="AK151" s="62"/>
      <c r="AL151" s="62" t="str">
        <f t="shared" si="103"/>
        <v>In progress</v>
      </c>
      <c r="AM151" s="62"/>
      <c r="AN151" s="62"/>
      <c r="AO151" s="62"/>
      <c r="AP151" s="62"/>
      <c r="AQ151" s="62"/>
      <c r="AR151" s="62"/>
      <c r="AS151" s="62"/>
      <c r="AT151" s="62" t="str">
        <f t="shared" si="104"/>
        <v/>
      </c>
      <c r="AU151" s="62"/>
      <c r="AV151" s="62"/>
      <c r="AW151" s="62"/>
      <c r="AX151" s="73">
        <v>244406</v>
      </c>
      <c r="AY151" s="73">
        <v>244425</v>
      </c>
      <c r="AZ151" s="99" t="str">
        <f t="shared" si="105"/>
        <v>Complete</v>
      </c>
      <c r="BA151" s="62"/>
      <c r="BB151" s="62"/>
      <c r="BC151" s="62"/>
      <c r="BD151" s="62"/>
      <c r="BE151" s="62"/>
      <c r="BF151" s="62" t="str">
        <f t="shared" si="106"/>
        <v/>
      </c>
      <c r="BG151" s="65"/>
      <c r="BH151" s="65"/>
      <c r="BI151" s="65" t="str">
        <f t="shared" si="107"/>
        <v/>
      </c>
      <c r="BJ151" s="66"/>
      <c r="BK151" s="66"/>
      <c r="BL151" s="69"/>
      <c r="BM151" s="69"/>
    </row>
    <row r="152" spans="1:65" s="18" customFormat="1" ht="32.450000000000003" hidden="1" customHeight="1" x14ac:dyDescent="0.45">
      <c r="A152" s="62">
        <v>180</v>
      </c>
      <c r="B152" s="81" t="s">
        <v>428</v>
      </c>
      <c r="C152" s="60" t="s">
        <v>72</v>
      </c>
      <c r="D152" s="60" t="s">
        <v>69</v>
      </c>
      <c r="E152" s="60" t="s">
        <v>70</v>
      </c>
      <c r="F152" s="60" t="s">
        <v>100</v>
      </c>
      <c r="G152" s="68" t="s">
        <v>103</v>
      </c>
      <c r="H152" s="68" t="s">
        <v>303</v>
      </c>
      <c r="I152" s="68"/>
      <c r="J152" s="68" t="s">
        <v>344</v>
      </c>
      <c r="K152" s="59" t="s">
        <v>112</v>
      </c>
      <c r="L152" s="59" t="s">
        <v>123</v>
      </c>
      <c r="M152" s="59">
        <v>9</v>
      </c>
      <c r="N152" s="63">
        <v>103</v>
      </c>
      <c r="O152" s="64">
        <v>16.045030000000001</v>
      </c>
      <c r="P152" s="64">
        <v>100.84064499999999</v>
      </c>
      <c r="Q152" s="65" t="s">
        <v>110</v>
      </c>
      <c r="R152" s="65" t="s">
        <v>377</v>
      </c>
      <c r="S152" s="62" t="str">
        <f t="shared" si="98"/>
        <v>Complete</v>
      </c>
      <c r="T152" s="62" t="s">
        <v>124</v>
      </c>
      <c r="U152" s="65" t="s">
        <v>380</v>
      </c>
      <c r="V152" s="65" t="s">
        <v>380</v>
      </c>
      <c r="W152" s="65" t="str">
        <f t="shared" si="99"/>
        <v>Complete</v>
      </c>
      <c r="X152" s="51" t="s">
        <v>448</v>
      </c>
      <c r="Y152" s="65" t="s">
        <v>415</v>
      </c>
      <c r="Z152" s="65"/>
      <c r="AA152" s="62" t="str">
        <f t="shared" si="100"/>
        <v>In progress</v>
      </c>
      <c r="AB152" s="62"/>
      <c r="AC152" s="62"/>
      <c r="AD152" s="65" t="s">
        <v>110</v>
      </c>
      <c r="AE152" s="73">
        <v>244145</v>
      </c>
      <c r="AF152" s="65" t="str">
        <f t="shared" si="101"/>
        <v>Complete</v>
      </c>
      <c r="AG152" s="73">
        <v>244206</v>
      </c>
      <c r="AH152" s="73" t="s">
        <v>399</v>
      </c>
      <c r="AI152" s="62" t="str">
        <f t="shared" si="102"/>
        <v>Complete</v>
      </c>
      <c r="AJ152" s="62" t="s">
        <v>469</v>
      </c>
      <c r="AK152" s="62"/>
      <c r="AL152" s="62" t="str">
        <f t="shared" si="103"/>
        <v>In progress</v>
      </c>
      <c r="AM152" s="62"/>
      <c r="AN152" s="62"/>
      <c r="AO152" s="62"/>
      <c r="AP152" s="62"/>
      <c r="AQ152" s="62"/>
      <c r="AR152" s="62"/>
      <c r="AS152" s="62"/>
      <c r="AT152" s="62" t="str">
        <f t="shared" si="104"/>
        <v/>
      </c>
      <c r="AU152" s="62"/>
      <c r="AV152" s="62"/>
      <c r="AW152" s="62"/>
      <c r="AX152" s="73">
        <v>244397</v>
      </c>
      <c r="AY152" s="73">
        <v>244424</v>
      </c>
      <c r="AZ152" s="99" t="str">
        <f t="shared" si="105"/>
        <v>Complete</v>
      </c>
      <c r="BA152" s="62"/>
      <c r="BB152" s="62"/>
      <c r="BC152" s="62"/>
      <c r="BD152" s="62"/>
      <c r="BE152" s="62"/>
      <c r="BF152" s="62" t="str">
        <f t="shared" si="106"/>
        <v/>
      </c>
      <c r="BG152" s="65"/>
      <c r="BH152" s="65"/>
      <c r="BI152" s="65" t="str">
        <f t="shared" si="107"/>
        <v/>
      </c>
      <c r="BJ152" s="66"/>
      <c r="BK152" s="66"/>
      <c r="BL152" s="69"/>
      <c r="BM152" s="69"/>
    </row>
    <row r="153" spans="1:65" s="18" customFormat="1" ht="32.450000000000003" hidden="1" customHeight="1" x14ac:dyDescent="0.45">
      <c r="A153" s="59">
        <v>181</v>
      </c>
      <c r="B153" s="81" t="s">
        <v>277</v>
      </c>
      <c r="C153" s="60" t="s">
        <v>73</v>
      </c>
      <c r="D153" s="60" t="s">
        <v>74</v>
      </c>
      <c r="E153" s="60" t="s">
        <v>70</v>
      </c>
      <c r="F153" s="60" t="s">
        <v>100</v>
      </c>
      <c r="G153" s="68" t="s">
        <v>103</v>
      </c>
      <c r="H153" s="68" t="s">
        <v>301</v>
      </c>
      <c r="I153" s="68"/>
      <c r="J153" s="68" t="s">
        <v>317</v>
      </c>
      <c r="K153" s="59" t="s">
        <v>112</v>
      </c>
      <c r="L153" s="59" t="s">
        <v>472</v>
      </c>
      <c r="M153" s="59">
        <v>30</v>
      </c>
      <c r="N153" s="63">
        <v>156</v>
      </c>
      <c r="O153" s="64">
        <v>15.977772</v>
      </c>
      <c r="P153" s="64">
        <v>100.8967</v>
      </c>
      <c r="Q153" s="65" t="s">
        <v>110</v>
      </c>
      <c r="R153" s="65" t="s">
        <v>111</v>
      </c>
      <c r="S153" s="62" t="str">
        <f t="shared" si="98"/>
        <v>Complete</v>
      </c>
      <c r="T153" s="62" t="s">
        <v>124</v>
      </c>
      <c r="U153" s="65" t="s">
        <v>381</v>
      </c>
      <c r="V153" s="65" t="s">
        <v>381</v>
      </c>
      <c r="W153" s="65" t="str">
        <f t="shared" si="99"/>
        <v>Complete</v>
      </c>
      <c r="X153" s="51" t="s">
        <v>448</v>
      </c>
      <c r="Y153" s="65" t="s">
        <v>417</v>
      </c>
      <c r="Z153" s="65"/>
      <c r="AA153" s="62" t="str">
        <f t="shared" si="100"/>
        <v>In progress</v>
      </c>
      <c r="AB153" s="62"/>
      <c r="AC153" s="62"/>
      <c r="AD153" s="65" t="s">
        <v>399</v>
      </c>
      <c r="AE153" s="75" t="s">
        <v>420</v>
      </c>
      <c r="AF153" s="65" t="str">
        <f t="shared" si="101"/>
        <v>Complete</v>
      </c>
      <c r="AG153" s="62" t="s">
        <v>418</v>
      </c>
      <c r="AH153" s="62" t="s">
        <v>447</v>
      </c>
      <c r="AI153" s="62" t="str">
        <f t="shared" si="102"/>
        <v>Complete</v>
      </c>
      <c r="AJ153" s="73">
        <v>244470</v>
      </c>
      <c r="AK153" s="73">
        <v>244470</v>
      </c>
      <c r="AL153" s="62" t="str">
        <f t="shared" si="103"/>
        <v>Complete</v>
      </c>
      <c r="AM153" s="62"/>
      <c r="AN153" s="62" t="s">
        <v>450</v>
      </c>
      <c r="AO153" s="73" t="s">
        <v>453</v>
      </c>
      <c r="AP153" s="62" t="s">
        <v>450</v>
      </c>
      <c r="AQ153" s="62"/>
      <c r="AR153" s="62"/>
      <c r="AS153" s="62"/>
      <c r="AT153" s="62" t="str">
        <f t="shared" si="104"/>
        <v>In progress</v>
      </c>
      <c r="AU153" s="62"/>
      <c r="AV153" s="62"/>
      <c r="AW153" s="62"/>
      <c r="AX153" s="73">
        <v>244362</v>
      </c>
      <c r="AY153" s="73">
        <v>244378</v>
      </c>
      <c r="AZ153" s="103" t="str">
        <f t="shared" si="105"/>
        <v>Complete</v>
      </c>
      <c r="BA153" s="62"/>
      <c r="BB153" s="62"/>
      <c r="BC153" s="62"/>
      <c r="BD153" s="62"/>
      <c r="BE153" s="62"/>
      <c r="BF153" s="62" t="str">
        <f t="shared" si="106"/>
        <v/>
      </c>
      <c r="BG153" s="65"/>
      <c r="BH153" s="65"/>
      <c r="BI153" s="65" t="str">
        <f t="shared" si="107"/>
        <v/>
      </c>
      <c r="BJ153" s="66"/>
      <c r="BK153" s="66"/>
      <c r="BL153" s="69"/>
      <c r="BM153" s="69" t="s">
        <v>468</v>
      </c>
    </row>
    <row r="154" spans="1:65" s="18" customFormat="1" ht="32.450000000000003" hidden="1" customHeight="1" x14ac:dyDescent="0.45">
      <c r="A154" s="113">
        <v>93</v>
      </c>
      <c r="B154" s="116" t="s">
        <v>193</v>
      </c>
      <c r="C154" s="60" t="s">
        <v>41</v>
      </c>
      <c r="D154" s="60" t="s">
        <v>39</v>
      </c>
      <c r="E154" s="60" t="s">
        <v>40</v>
      </c>
      <c r="F154" s="60" t="s">
        <v>98</v>
      </c>
      <c r="G154" s="60" t="s">
        <v>107</v>
      </c>
      <c r="H154" s="108" t="s">
        <v>301</v>
      </c>
      <c r="I154" s="116" t="s">
        <v>490</v>
      </c>
      <c r="J154" s="60" t="s">
        <v>352</v>
      </c>
      <c r="K154" s="59" t="s">
        <v>112</v>
      </c>
      <c r="L154" s="59" t="s">
        <v>123</v>
      </c>
      <c r="M154" s="59">
        <v>9</v>
      </c>
      <c r="N154" s="63">
        <v>54</v>
      </c>
      <c r="O154" s="64">
        <v>7.5360959999999997</v>
      </c>
      <c r="P154" s="64">
        <v>99.757560999999995</v>
      </c>
      <c r="Q154" s="65" t="s">
        <v>109</v>
      </c>
      <c r="R154" s="65" t="s">
        <v>109</v>
      </c>
      <c r="S154" s="62" t="str">
        <f t="shared" si="98"/>
        <v>Complete</v>
      </c>
      <c r="T154" s="62" t="s">
        <v>124</v>
      </c>
      <c r="U154" s="65" t="s">
        <v>380</v>
      </c>
      <c r="V154" s="65" t="s">
        <v>380</v>
      </c>
      <c r="W154" s="65" t="str">
        <f t="shared" si="99"/>
        <v>Complete</v>
      </c>
      <c r="X154" s="51" t="s">
        <v>448</v>
      </c>
      <c r="Y154" s="65" t="s">
        <v>414</v>
      </c>
      <c r="Z154" s="65"/>
      <c r="AA154" s="62" t="str">
        <f t="shared" si="100"/>
        <v>In progress</v>
      </c>
      <c r="AB154" s="62"/>
      <c r="AC154" s="62"/>
      <c r="AD154" s="65" t="s">
        <v>110</v>
      </c>
      <c r="AE154" s="73">
        <v>244145</v>
      </c>
      <c r="AF154" s="65" t="str">
        <f t="shared" si="101"/>
        <v>Complete</v>
      </c>
      <c r="AG154" s="73">
        <v>244206</v>
      </c>
      <c r="AH154" s="73" t="s">
        <v>399</v>
      </c>
      <c r="AI154" s="62" t="str">
        <f t="shared" si="102"/>
        <v>Complete</v>
      </c>
      <c r="AJ154" s="62" t="s">
        <v>469</v>
      </c>
      <c r="AK154" s="62"/>
      <c r="AL154" s="62" t="str">
        <f t="shared" si="103"/>
        <v>In progress</v>
      </c>
      <c r="AM154" s="62"/>
      <c r="AN154" s="62"/>
      <c r="AO154" s="62"/>
      <c r="AP154" s="62"/>
      <c r="AQ154" s="62"/>
      <c r="AR154" s="62"/>
      <c r="AS154" s="62"/>
      <c r="AT154" s="62" t="str">
        <f t="shared" si="104"/>
        <v/>
      </c>
      <c r="AU154" s="104" t="s">
        <v>481</v>
      </c>
      <c r="AV154" s="107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 t="str">
        <f t="shared" si="106"/>
        <v/>
      </c>
      <c r="BG154" s="65"/>
      <c r="BH154" s="65"/>
      <c r="BI154" s="65" t="str">
        <f t="shared" si="107"/>
        <v/>
      </c>
      <c r="BJ154" s="66"/>
      <c r="BK154" s="66"/>
      <c r="BL154" s="69"/>
      <c r="BM154" s="69"/>
    </row>
    <row r="155" spans="1:65" s="18" customFormat="1" ht="32.450000000000003" customHeight="1" x14ac:dyDescent="0.45">
      <c r="A155" s="62">
        <v>135</v>
      </c>
      <c r="B155" s="96" t="s">
        <v>233</v>
      </c>
      <c r="C155" s="60" t="s">
        <v>55</v>
      </c>
      <c r="D155" s="60" t="s">
        <v>56</v>
      </c>
      <c r="E155" s="60" t="s">
        <v>54</v>
      </c>
      <c r="F155" s="60" t="s">
        <v>98</v>
      </c>
      <c r="G155" s="60" t="s">
        <v>107</v>
      </c>
      <c r="H155" s="108" t="s">
        <v>301</v>
      </c>
      <c r="I155" s="60" t="s">
        <v>303</v>
      </c>
      <c r="J155" s="60" t="s">
        <v>339</v>
      </c>
      <c r="K155" s="59" t="s">
        <v>112</v>
      </c>
      <c r="L155" s="59" t="s">
        <v>123</v>
      </c>
      <c r="M155" s="59">
        <v>9</v>
      </c>
      <c r="N155" s="63">
        <v>5</v>
      </c>
      <c r="O155" s="64">
        <v>8.2083600000000008</v>
      </c>
      <c r="P155" s="64">
        <v>100.25141000000001</v>
      </c>
      <c r="Q155" s="65" t="s">
        <v>110</v>
      </c>
      <c r="R155" s="65" t="s">
        <v>110</v>
      </c>
      <c r="S155" s="62" t="str">
        <f t="shared" si="98"/>
        <v>Complete</v>
      </c>
      <c r="T155" s="62" t="s">
        <v>124</v>
      </c>
      <c r="U155" s="65" t="s">
        <v>380</v>
      </c>
      <c r="V155" s="65" t="s">
        <v>380</v>
      </c>
      <c r="W155" s="65" t="str">
        <f t="shared" si="99"/>
        <v>Complete</v>
      </c>
      <c r="X155" s="51" t="s">
        <v>448</v>
      </c>
      <c r="Y155" s="65" t="s">
        <v>399</v>
      </c>
      <c r="Z155" s="65"/>
      <c r="AA155" s="62" t="str">
        <f t="shared" si="100"/>
        <v>In progress</v>
      </c>
      <c r="AB155" s="62"/>
      <c r="AC155" s="62"/>
      <c r="AD155" s="65" t="s">
        <v>110</v>
      </c>
      <c r="AE155" s="73">
        <v>244145</v>
      </c>
      <c r="AF155" s="65" t="str">
        <f t="shared" si="101"/>
        <v>Complete</v>
      </c>
      <c r="AG155" s="73">
        <v>244206</v>
      </c>
      <c r="AH155" s="73" t="s">
        <v>399</v>
      </c>
      <c r="AI155" s="62" t="str">
        <f t="shared" si="102"/>
        <v>Complete</v>
      </c>
      <c r="AJ155" s="62" t="s">
        <v>469</v>
      </c>
      <c r="AK155" s="62"/>
      <c r="AL155" s="62" t="str">
        <f t="shared" si="103"/>
        <v>In progress</v>
      </c>
      <c r="AM155" s="62"/>
      <c r="AN155" s="62"/>
      <c r="AO155" s="62"/>
      <c r="AP155" s="62"/>
      <c r="AQ155" s="62"/>
      <c r="AR155" s="62"/>
      <c r="AS155" s="62"/>
      <c r="AT155" s="62" t="str">
        <f t="shared" si="104"/>
        <v/>
      </c>
      <c r="AU155" s="62"/>
      <c r="AV155" s="62"/>
      <c r="AW155" s="107"/>
      <c r="AX155" s="73">
        <v>244397</v>
      </c>
      <c r="AY155" s="62"/>
      <c r="AZ155" s="100" t="str">
        <f t="shared" ref="AZ155:AZ170" si="108">IF(AY155&lt;&gt;"", "Complete", IF(AX155&lt;&gt;"", "In progress", ""))</f>
        <v>In progress</v>
      </c>
      <c r="BA155" s="62"/>
      <c r="BB155" s="62"/>
      <c r="BC155" s="62"/>
      <c r="BD155" s="62"/>
      <c r="BE155" s="62"/>
      <c r="BF155" s="62" t="str">
        <f t="shared" si="106"/>
        <v/>
      </c>
      <c r="BG155" s="65"/>
      <c r="BH155" s="65"/>
      <c r="BI155" s="65" t="str">
        <f t="shared" si="107"/>
        <v/>
      </c>
      <c r="BJ155" s="66"/>
      <c r="BK155" s="66"/>
      <c r="BL155" s="69"/>
      <c r="BM155" s="69"/>
    </row>
    <row r="156" spans="1:65" s="18" customFormat="1" ht="32.450000000000003" customHeight="1" x14ac:dyDescent="0.45">
      <c r="A156" s="59">
        <v>136</v>
      </c>
      <c r="B156" s="96" t="s">
        <v>218</v>
      </c>
      <c r="C156" s="108" t="s">
        <v>55</v>
      </c>
      <c r="D156" s="60" t="s">
        <v>56</v>
      </c>
      <c r="E156" s="60" t="s">
        <v>54</v>
      </c>
      <c r="F156" s="60" t="s">
        <v>98</v>
      </c>
      <c r="G156" s="60" t="s">
        <v>107</v>
      </c>
      <c r="H156" s="60" t="s">
        <v>301</v>
      </c>
      <c r="I156" s="60"/>
      <c r="J156" s="60" t="s">
        <v>337</v>
      </c>
      <c r="K156" s="59" t="s">
        <v>112</v>
      </c>
      <c r="L156" s="59" t="s">
        <v>123</v>
      </c>
      <c r="M156" s="59">
        <v>9</v>
      </c>
      <c r="N156" s="63">
        <v>6</v>
      </c>
      <c r="O156" s="64">
        <v>8.2229030000000005</v>
      </c>
      <c r="P156" s="64">
        <v>100.245957</v>
      </c>
      <c r="Q156" s="65" t="s">
        <v>110</v>
      </c>
      <c r="R156" s="65" t="s">
        <v>108</v>
      </c>
      <c r="S156" s="62" t="str">
        <f t="shared" si="98"/>
        <v>Complete</v>
      </c>
      <c r="T156" s="62" t="s">
        <v>124</v>
      </c>
      <c r="U156" s="65" t="s">
        <v>380</v>
      </c>
      <c r="V156" s="65" t="s">
        <v>380</v>
      </c>
      <c r="W156" s="65" t="str">
        <f t="shared" si="99"/>
        <v>Complete</v>
      </c>
      <c r="X156" s="51" t="s">
        <v>448</v>
      </c>
      <c r="Y156" s="65" t="s">
        <v>413</v>
      </c>
      <c r="Z156" s="65"/>
      <c r="AA156" s="62" t="str">
        <f t="shared" si="100"/>
        <v>In progress</v>
      </c>
      <c r="AB156" s="62"/>
      <c r="AC156" s="62"/>
      <c r="AD156" s="65" t="s">
        <v>110</v>
      </c>
      <c r="AE156" s="73">
        <v>244145</v>
      </c>
      <c r="AF156" s="65" t="str">
        <f t="shared" si="101"/>
        <v>Complete</v>
      </c>
      <c r="AG156" s="73">
        <v>244206</v>
      </c>
      <c r="AH156" s="73" t="s">
        <v>399</v>
      </c>
      <c r="AI156" s="62" t="str">
        <f t="shared" si="102"/>
        <v>Complete</v>
      </c>
      <c r="AJ156" s="62" t="s">
        <v>469</v>
      </c>
      <c r="AK156" s="62"/>
      <c r="AL156" s="62" t="str">
        <f t="shared" si="103"/>
        <v>In progress</v>
      </c>
      <c r="AM156" s="62"/>
      <c r="AN156" s="62"/>
      <c r="AO156" s="62"/>
      <c r="AP156" s="62"/>
      <c r="AQ156" s="62"/>
      <c r="AR156" s="62"/>
      <c r="AS156" s="62"/>
      <c r="AT156" s="62" t="str">
        <f t="shared" si="104"/>
        <v/>
      </c>
      <c r="AU156" s="62"/>
      <c r="AV156" s="62"/>
      <c r="AW156" s="107"/>
      <c r="AX156" s="73">
        <v>244397</v>
      </c>
      <c r="AY156" s="62"/>
      <c r="AZ156" s="100" t="str">
        <f t="shared" si="108"/>
        <v>In progress</v>
      </c>
      <c r="BA156" s="62"/>
      <c r="BB156" s="62"/>
      <c r="BC156" s="62"/>
      <c r="BD156" s="62"/>
      <c r="BE156" s="62"/>
      <c r="BF156" s="62" t="str">
        <f t="shared" si="106"/>
        <v/>
      </c>
      <c r="BG156" s="65"/>
      <c r="BH156" s="65"/>
      <c r="BI156" s="65" t="str">
        <f t="shared" si="107"/>
        <v/>
      </c>
      <c r="BJ156" s="66"/>
      <c r="BK156" s="66"/>
      <c r="BL156" s="69"/>
      <c r="BM156" s="69"/>
    </row>
    <row r="157" spans="1:65" s="18" customFormat="1" ht="32.450000000000003" customHeight="1" x14ac:dyDescent="0.45">
      <c r="A157" s="59">
        <v>137</v>
      </c>
      <c r="B157" s="96" t="s">
        <v>263</v>
      </c>
      <c r="C157" s="60" t="s">
        <v>55</v>
      </c>
      <c r="D157" s="60" t="s">
        <v>56</v>
      </c>
      <c r="E157" s="60" t="s">
        <v>54</v>
      </c>
      <c r="F157" s="60" t="s">
        <v>98</v>
      </c>
      <c r="G157" s="60" t="s">
        <v>107</v>
      </c>
      <c r="H157" s="60" t="s">
        <v>301</v>
      </c>
      <c r="I157" s="60"/>
      <c r="J157" s="60" t="s">
        <v>343</v>
      </c>
      <c r="K157" s="59" t="s">
        <v>112</v>
      </c>
      <c r="L157" s="59" t="s">
        <v>123</v>
      </c>
      <c r="M157" s="59">
        <v>9</v>
      </c>
      <c r="N157" s="63">
        <v>8</v>
      </c>
      <c r="O157" s="64">
        <v>8.2236980000000006</v>
      </c>
      <c r="P157" s="64">
        <v>100.260198</v>
      </c>
      <c r="Q157" s="65" t="s">
        <v>110</v>
      </c>
      <c r="R157" s="65" t="s">
        <v>110</v>
      </c>
      <c r="S157" s="62" t="str">
        <f t="shared" si="98"/>
        <v>Complete</v>
      </c>
      <c r="T157" s="62" t="s">
        <v>124</v>
      </c>
      <c r="U157" s="65" t="s">
        <v>380</v>
      </c>
      <c r="V157" s="65" t="s">
        <v>380</v>
      </c>
      <c r="W157" s="65" t="str">
        <f t="shared" si="99"/>
        <v>Complete</v>
      </c>
      <c r="X157" s="51" t="s">
        <v>448</v>
      </c>
      <c r="Y157" s="65" t="s">
        <v>399</v>
      </c>
      <c r="Z157" s="65"/>
      <c r="AA157" s="62" t="str">
        <f t="shared" si="100"/>
        <v>In progress</v>
      </c>
      <c r="AB157" s="62"/>
      <c r="AC157" s="62"/>
      <c r="AD157" s="65" t="s">
        <v>110</v>
      </c>
      <c r="AE157" s="73">
        <v>244145</v>
      </c>
      <c r="AF157" s="65" t="str">
        <f t="shared" si="101"/>
        <v>Complete</v>
      </c>
      <c r="AG157" s="73">
        <v>244206</v>
      </c>
      <c r="AH157" s="73" t="s">
        <v>399</v>
      </c>
      <c r="AI157" s="62" t="str">
        <f t="shared" si="102"/>
        <v>Complete</v>
      </c>
      <c r="AJ157" s="62" t="s">
        <v>469</v>
      </c>
      <c r="AK157" s="62"/>
      <c r="AL157" s="62" t="str">
        <f t="shared" si="103"/>
        <v>In progress</v>
      </c>
      <c r="AM157" s="62"/>
      <c r="AN157" s="62"/>
      <c r="AO157" s="62"/>
      <c r="AP157" s="62"/>
      <c r="AQ157" s="62"/>
      <c r="AR157" s="62"/>
      <c r="AS157" s="62"/>
      <c r="AT157" s="62" t="str">
        <f t="shared" si="104"/>
        <v/>
      </c>
      <c r="AU157" s="62"/>
      <c r="AV157" s="62"/>
      <c r="AW157" s="107"/>
      <c r="AX157" s="73">
        <v>244397</v>
      </c>
      <c r="AY157" s="62"/>
      <c r="AZ157" s="100" t="str">
        <f t="shared" si="108"/>
        <v>In progress</v>
      </c>
      <c r="BA157" s="62"/>
      <c r="BB157" s="62"/>
      <c r="BC157" s="62"/>
      <c r="BD157" s="62"/>
      <c r="BE157" s="62"/>
      <c r="BF157" s="62" t="str">
        <f t="shared" si="106"/>
        <v/>
      </c>
      <c r="BG157" s="65"/>
      <c r="BH157" s="65"/>
      <c r="BI157" s="65" t="str">
        <f t="shared" si="107"/>
        <v/>
      </c>
      <c r="BJ157" s="66"/>
      <c r="BK157" s="66"/>
      <c r="BL157" s="69"/>
      <c r="BM157" s="69"/>
    </row>
    <row r="158" spans="1:65" s="18" customFormat="1" ht="32.450000000000003" customHeight="1" x14ac:dyDescent="0.45">
      <c r="A158" s="59">
        <v>138</v>
      </c>
      <c r="B158" s="96" t="s">
        <v>446</v>
      </c>
      <c r="C158" s="60" t="s">
        <v>55</v>
      </c>
      <c r="D158" s="60" t="s">
        <v>56</v>
      </c>
      <c r="E158" s="60" t="s">
        <v>54</v>
      </c>
      <c r="F158" s="60" t="s">
        <v>98</v>
      </c>
      <c r="G158" s="60" t="s">
        <v>107</v>
      </c>
      <c r="H158" s="60" t="s">
        <v>301</v>
      </c>
      <c r="I158" s="60"/>
      <c r="J158" s="60" t="s">
        <v>366</v>
      </c>
      <c r="K158" s="59" t="s">
        <v>112</v>
      </c>
      <c r="L158" s="59" t="s">
        <v>123</v>
      </c>
      <c r="M158" s="59">
        <v>9</v>
      </c>
      <c r="N158" s="63">
        <v>9</v>
      </c>
      <c r="O158" s="64">
        <v>8.2351810000000008</v>
      </c>
      <c r="P158" s="64" t="s">
        <v>372</v>
      </c>
      <c r="Q158" s="65" t="s">
        <v>110</v>
      </c>
      <c r="R158" s="65" t="s">
        <v>110</v>
      </c>
      <c r="S158" s="62" t="str">
        <f t="shared" si="98"/>
        <v>Complete</v>
      </c>
      <c r="T158" s="62" t="s">
        <v>124</v>
      </c>
      <c r="U158" s="65" t="s">
        <v>380</v>
      </c>
      <c r="V158" s="65" t="s">
        <v>380</v>
      </c>
      <c r="W158" s="65" t="str">
        <f t="shared" si="99"/>
        <v>Complete</v>
      </c>
      <c r="X158" s="51" t="s">
        <v>448</v>
      </c>
      <c r="Y158" s="65" t="s">
        <v>399</v>
      </c>
      <c r="Z158" s="65"/>
      <c r="AA158" s="62" t="str">
        <f t="shared" si="100"/>
        <v>In progress</v>
      </c>
      <c r="AB158" s="62"/>
      <c r="AC158" s="62"/>
      <c r="AD158" s="65" t="s">
        <v>110</v>
      </c>
      <c r="AE158" s="73">
        <v>244145</v>
      </c>
      <c r="AF158" s="65" t="str">
        <f t="shared" si="101"/>
        <v>Complete</v>
      </c>
      <c r="AG158" s="73">
        <v>244206</v>
      </c>
      <c r="AH158" s="73" t="s">
        <v>399</v>
      </c>
      <c r="AI158" s="62" t="str">
        <f t="shared" si="102"/>
        <v>Complete</v>
      </c>
      <c r="AJ158" s="62" t="s">
        <v>469</v>
      </c>
      <c r="AK158" s="62"/>
      <c r="AL158" s="62" t="str">
        <f t="shared" si="103"/>
        <v>In progress</v>
      </c>
      <c r="AM158" s="62"/>
      <c r="AN158" s="62"/>
      <c r="AO158" s="62"/>
      <c r="AP158" s="62"/>
      <c r="AQ158" s="62"/>
      <c r="AR158" s="62"/>
      <c r="AS158" s="62"/>
      <c r="AT158" s="62" t="str">
        <f t="shared" si="104"/>
        <v/>
      </c>
      <c r="AU158" s="62"/>
      <c r="AV158" s="62"/>
      <c r="AW158" s="107"/>
      <c r="AX158" s="73">
        <v>244398</v>
      </c>
      <c r="AY158" s="62"/>
      <c r="AZ158" s="100" t="str">
        <f t="shared" si="108"/>
        <v>In progress</v>
      </c>
      <c r="BA158" s="62"/>
      <c r="BB158" s="62"/>
      <c r="BC158" s="62"/>
      <c r="BD158" s="62"/>
      <c r="BE158" s="62"/>
      <c r="BF158" s="62" t="str">
        <f t="shared" si="106"/>
        <v/>
      </c>
      <c r="BG158" s="65"/>
      <c r="BH158" s="65"/>
      <c r="BI158" s="65" t="str">
        <f t="shared" si="107"/>
        <v/>
      </c>
      <c r="BJ158" s="66"/>
      <c r="BK158" s="66"/>
      <c r="BL158" s="69"/>
      <c r="BM158" s="69"/>
    </row>
    <row r="159" spans="1:65" s="18" customFormat="1" ht="32.450000000000003" customHeight="1" x14ac:dyDescent="0.45">
      <c r="A159" s="62">
        <v>139</v>
      </c>
      <c r="B159" s="96" t="s">
        <v>437</v>
      </c>
      <c r="C159" s="60" t="s">
        <v>55</v>
      </c>
      <c r="D159" s="60" t="s">
        <v>56</v>
      </c>
      <c r="E159" s="60" t="s">
        <v>54</v>
      </c>
      <c r="F159" s="60" t="s">
        <v>98</v>
      </c>
      <c r="G159" s="60" t="s">
        <v>107</v>
      </c>
      <c r="H159" s="60" t="s">
        <v>301</v>
      </c>
      <c r="I159" s="60"/>
      <c r="J159" s="60" t="s">
        <v>353</v>
      </c>
      <c r="K159" s="59" t="s">
        <v>112</v>
      </c>
      <c r="L159" s="59" t="s">
        <v>123</v>
      </c>
      <c r="M159" s="59">
        <v>9</v>
      </c>
      <c r="N159" s="63">
        <v>6</v>
      </c>
      <c r="O159" s="64">
        <v>8.2064819999999994</v>
      </c>
      <c r="P159" s="64">
        <v>100.26325300000001</v>
      </c>
      <c r="Q159" s="65" t="s">
        <v>110</v>
      </c>
      <c r="R159" s="65" t="s">
        <v>110</v>
      </c>
      <c r="S159" s="62" t="str">
        <f t="shared" si="98"/>
        <v>Complete</v>
      </c>
      <c r="T159" s="62" t="s">
        <v>124</v>
      </c>
      <c r="U159" s="65" t="s">
        <v>380</v>
      </c>
      <c r="V159" s="65" t="s">
        <v>380</v>
      </c>
      <c r="W159" s="65" t="str">
        <f t="shared" si="99"/>
        <v>Complete</v>
      </c>
      <c r="X159" s="51" t="s">
        <v>448</v>
      </c>
      <c r="Y159" s="65" t="s">
        <v>399</v>
      </c>
      <c r="Z159" s="65"/>
      <c r="AA159" s="62" t="str">
        <f t="shared" si="100"/>
        <v>In progress</v>
      </c>
      <c r="AB159" s="62"/>
      <c r="AC159" s="62"/>
      <c r="AD159" s="65" t="s">
        <v>110</v>
      </c>
      <c r="AE159" s="73">
        <v>244145</v>
      </c>
      <c r="AF159" s="65" t="str">
        <f t="shared" si="101"/>
        <v>Complete</v>
      </c>
      <c r="AG159" s="73">
        <v>244206</v>
      </c>
      <c r="AH159" s="73" t="s">
        <v>399</v>
      </c>
      <c r="AI159" s="62" t="str">
        <f t="shared" si="102"/>
        <v>Complete</v>
      </c>
      <c r="AJ159" s="62" t="s">
        <v>469</v>
      </c>
      <c r="AK159" s="62"/>
      <c r="AL159" s="62" t="str">
        <f t="shared" si="103"/>
        <v>In progress</v>
      </c>
      <c r="AM159" s="62"/>
      <c r="AN159" s="62"/>
      <c r="AO159" s="62"/>
      <c r="AP159" s="62"/>
      <c r="AQ159" s="62"/>
      <c r="AR159" s="62"/>
      <c r="AS159" s="62"/>
      <c r="AT159" s="62" t="str">
        <f t="shared" si="104"/>
        <v/>
      </c>
      <c r="AU159" s="62"/>
      <c r="AV159" s="62"/>
      <c r="AW159" s="107"/>
      <c r="AX159" s="73">
        <v>244397</v>
      </c>
      <c r="AY159" s="62"/>
      <c r="AZ159" s="100" t="str">
        <f t="shared" si="108"/>
        <v>In progress</v>
      </c>
      <c r="BA159" s="62"/>
      <c r="BB159" s="62"/>
      <c r="BC159" s="62"/>
      <c r="BD159" s="62"/>
      <c r="BE159" s="62"/>
      <c r="BF159" s="62" t="str">
        <f t="shared" si="106"/>
        <v/>
      </c>
      <c r="BG159" s="65"/>
      <c r="BH159" s="65"/>
      <c r="BI159" s="65" t="str">
        <f t="shared" si="107"/>
        <v/>
      </c>
      <c r="BJ159" s="66"/>
      <c r="BK159" s="66"/>
      <c r="BL159" s="69"/>
      <c r="BM159" s="69"/>
    </row>
    <row r="160" spans="1:65" s="18" customFormat="1" ht="32.450000000000003" customHeight="1" x14ac:dyDescent="0.45">
      <c r="A160" s="62">
        <v>140</v>
      </c>
      <c r="B160" s="81" t="s">
        <v>273</v>
      </c>
      <c r="C160" s="60" t="s">
        <v>55</v>
      </c>
      <c r="D160" s="60" t="s">
        <v>56</v>
      </c>
      <c r="E160" s="60" t="s">
        <v>54</v>
      </c>
      <c r="F160" s="60" t="s">
        <v>98</v>
      </c>
      <c r="G160" s="60" t="s">
        <v>107</v>
      </c>
      <c r="H160" s="60" t="s">
        <v>301</v>
      </c>
      <c r="I160" s="60"/>
      <c r="J160" s="60" t="s">
        <v>308</v>
      </c>
      <c r="K160" s="59" t="s">
        <v>112</v>
      </c>
      <c r="L160" s="59" t="s">
        <v>123</v>
      </c>
      <c r="M160" s="59">
        <v>9</v>
      </c>
      <c r="N160" s="63">
        <v>7</v>
      </c>
      <c r="O160" s="64">
        <v>8.1945789999999992</v>
      </c>
      <c r="P160" s="64">
        <v>100.25788900000001</v>
      </c>
      <c r="Q160" s="65" t="s">
        <v>110</v>
      </c>
      <c r="R160" s="65" t="s">
        <v>110</v>
      </c>
      <c r="S160" s="62" t="str">
        <f t="shared" si="98"/>
        <v>Complete</v>
      </c>
      <c r="T160" s="62" t="s">
        <v>124</v>
      </c>
      <c r="U160" s="65" t="s">
        <v>380</v>
      </c>
      <c r="V160" s="65" t="s">
        <v>380</v>
      </c>
      <c r="W160" s="65" t="str">
        <f t="shared" si="99"/>
        <v>Complete</v>
      </c>
      <c r="X160" s="51" t="s">
        <v>448</v>
      </c>
      <c r="Y160" s="65" t="s">
        <v>399</v>
      </c>
      <c r="Z160" s="65"/>
      <c r="AA160" s="62" t="str">
        <f t="shared" si="100"/>
        <v>In progress</v>
      </c>
      <c r="AB160" s="62"/>
      <c r="AC160" s="62"/>
      <c r="AD160" s="65" t="s">
        <v>110</v>
      </c>
      <c r="AE160" s="73">
        <v>244145</v>
      </c>
      <c r="AF160" s="65" t="str">
        <f t="shared" si="101"/>
        <v>Complete</v>
      </c>
      <c r="AG160" s="73">
        <v>244206</v>
      </c>
      <c r="AH160" s="73" t="s">
        <v>399</v>
      </c>
      <c r="AI160" s="62" t="str">
        <f t="shared" si="102"/>
        <v>Complete</v>
      </c>
      <c r="AJ160" s="62" t="s">
        <v>469</v>
      </c>
      <c r="AK160" s="62"/>
      <c r="AL160" s="62" t="str">
        <f t="shared" si="103"/>
        <v>In progress</v>
      </c>
      <c r="AM160" s="62"/>
      <c r="AN160" s="62"/>
      <c r="AO160" s="62"/>
      <c r="AP160" s="62"/>
      <c r="AQ160" s="62"/>
      <c r="AR160" s="62"/>
      <c r="AS160" s="62"/>
      <c r="AT160" s="62" t="str">
        <f t="shared" si="104"/>
        <v/>
      </c>
      <c r="AU160" s="62"/>
      <c r="AV160" s="62"/>
      <c r="AW160" s="107"/>
      <c r="AX160" s="73">
        <v>244397</v>
      </c>
      <c r="AY160" s="73">
        <v>244438</v>
      </c>
      <c r="AZ160" s="99" t="str">
        <f t="shared" si="108"/>
        <v>Complete</v>
      </c>
      <c r="BA160" s="62"/>
      <c r="BB160" s="62"/>
      <c r="BC160" s="62"/>
      <c r="BD160" s="62"/>
      <c r="BE160" s="62"/>
      <c r="BF160" s="62" t="str">
        <f t="shared" si="106"/>
        <v/>
      </c>
      <c r="BG160" s="65"/>
      <c r="BH160" s="65"/>
      <c r="BI160" s="65" t="str">
        <f t="shared" si="107"/>
        <v/>
      </c>
      <c r="BJ160" s="66"/>
      <c r="BK160" s="66"/>
      <c r="BL160" s="69"/>
      <c r="BM160" s="69"/>
    </row>
    <row r="161" spans="1:65" s="18" customFormat="1" ht="32.450000000000003" customHeight="1" x14ac:dyDescent="0.45">
      <c r="A161" s="59">
        <v>141</v>
      </c>
      <c r="B161" s="81" t="s">
        <v>444</v>
      </c>
      <c r="C161" s="60" t="s">
        <v>55</v>
      </c>
      <c r="D161" s="60" t="s">
        <v>56</v>
      </c>
      <c r="E161" s="60" t="s">
        <v>54</v>
      </c>
      <c r="F161" s="60" t="s">
        <v>98</v>
      </c>
      <c r="G161" s="60" t="s">
        <v>107</v>
      </c>
      <c r="H161" s="60" t="s">
        <v>301</v>
      </c>
      <c r="I161" s="60"/>
      <c r="J161" s="60" t="s">
        <v>317</v>
      </c>
      <c r="K161" s="59" t="s">
        <v>112</v>
      </c>
      <c r="L161" s="59" t="s">
        <v>123</v>
      </c>
      <c r="M161" s="59">
        <v>9</v>
      </c>
      <c r="N161" s="63">
        <v>8</v>
      </c>
      <c r="O161" s="64">
        <v>8.1851520000000004</v>
      </c>
      <c r="P161" s="64" t="s">
        <v>373</v>
      </c>
      <c r="Q161" s="65" t="s">
        <v>110</v>
      </c>
      <c r="R161" s="65" t="s">
        <v>110</v>
      </c>
      <c r="S161" s="62" t="str">
        <f t="shared" si="98"/>
        <v>Complete</v>
      </c>
      <c r="T161" s="62" t="s">
        <v>124</v>
      </c>
      <c r="U161" s="65" t="s">
        <v>380</v>
      </c>
      <c r="V161" s="65" t="s">
        <v>380</v>
      </c>
      <c r="W161" s="65" t="str">
        <f t="shared" si="99"/>
        <v>Complete</v>
      </c>
      <c r="X161" s="51" t="s">
        <v>448</v>
      </c>
      <c r="Y161" s="65" t="s">
        <v>399</v>
      </c>
      <c r="Z161" s="65"/>
      <c r="AA161" s="62" t="str">
        <f t="shared" si="100"/>
        <v>In progress</v>
      </c>
      <c r="AB161" s="62"/>
      <c r="AC161" s="62"/>
      <c r="AD161" s="65" t="s">
        <v>110</v>
      </c>
      <c r="AE161" s="73">
        <v>244145</v>
      </c>
      <c r="AF161" s="65" t="str">
        <f t="shared" si="101"/>
        <v>Complete</v>
      </c>
      <c r="AG161" s="73">
        <v>244206</v>
      </c>
      <c r="AH161" s="73" t="s">
        <v>399</v>
      </c>
      <c r="AI161" s="62" t="str">
        <f t="shared" si="102"/>
        <v>Complete</v>
      </c>
      <c r="AJ161" s="62" t="s">
        <v>469</v>
      </c>
      <c r="AK161" s="62"/>
      <c r="AL161" s="62" t="str">
        <f t="shared" si="103"/>
        <v>In progress</v>
      </c>
      <c r="AM161" s="62"/>
      <c r="AN161" s="62"/>
      <c r="AO161" s="62"/>
      <c r="AP161" s="62"/>
      <c r="AQ161" s="62"/>
      <c r="AR161" s="62"/>
      <c r="AS161" s="62"/>
      <c r="AT161" s="62" t="str">
        <f t="shared" si="104"/>
        <v/>
      </c>
      <c r="AU161" s="62"/>
      <c r="AV161" s="62"/>
      <c r="AW161" s="107"/>
      <c r="AX161" s="73">
        <v>244397</v>
      </c>
      <c r="AY161" s="73">
        <v>244438</v>
      </c>
      <c r="AZ161" s="99" t="str">
        <f t="shared" si="108"/>
        <v>Complete</v>
      </c>
      <c r="BA161" s="62"/>
      <c r="BB161" s="62"/>
      <c r="BC161" s="62"/>
      <c r="BD161" s="62"/>
      <c r="BE161" s="62"/>
      <c r="BF161" s="62" t="str">
        <f t="shared" si="106"/>
        <v/>
      </c>
      <c r="BG161" s="65"/>
      <c r="BH161" s="65"/>
      <c r="BI161" s="65" t="str">
        <f t="shared" si="107"/>
        <v/>
      </c>
      <c r="BJ161" s="66"/>
      <c r="BK161" s="66"/>
      <c r="BL161" s="69"/>
      <c r="BM161" s="69"/>
    </row>
    <row r="162" spans="1:65" s="18" customFormat="1" ht="32.450000000000003" customHeight="1" x14ac:dyDescent="0.45">
      <c r="A162" s="59">
        <v>142</v>
      </c>
      <c r="B162" s="96" t="s">
        <v>264</v>
      </c>
      <c r="C162" s="108" t="s">
        <v>57</v>
      </c>
      <c r="D162" s="60" t="s">
        <v>56</v>
      </c>
      <c r="E162" s="60" t="s">
        <v>54</v>
      </c>
      <c r="F162" s="60" t="s">
        <v>98</v>
      </c>
      <c r="G162" s="60" t="s">
        <v>107</v>
      </c>
      <c r="H162" s="108" t="s">
        <v>301</v>
      </c>
      <c r="I162" s="108" t="s">
        <v>303</v>
      </c>
      <c r="J162" s="60" t="s">
        <v>341</v>
      </c>
      <c r="K162" s="59" t="s">
        <v>112</v>
      </c>
      <c r="L162" s="59" t="s">
        <v>123</v>
      </c>
      <c r="M162" s="59">
        <v>9</v>
      </c>
      <c r="N162" s="63">
        <v>8</v>
      </c>
      <c r="O162" s="64">
        <v>8.2594480000000008</v>
      </c>
      <c r="P162" s="64">
        <v>100.263515</v>
      </c>
      <c r="Q162" s="65" t="s">
        <v>110</v>
      </c>
      <c r="R162" s="65" t="s">
        <v>110</v>
      </c>
      <c r="S162" s="62" t="str">
        <f t="shared" si="98"/>
        <v>Complete</v>
      </c>
      <c r="T162" s="62" t="s">
        <v>124</v>
      </c>
      <c r="U162" s="65" t="s">
        <v>380</v>
      </c>
      <c r="V162" s="65" t="s">
        <v>380</v>
      </c>
      <c r="W162" s="65" t="str">
        <f t="shared" si="99"/>
        <v>Complete</v>
      </c>
      <c r="X162" s="51" t="s">
        <v>448</v>
      </c>
      <c r="Y162" s="65" t="s">
        <v>399</v>
      </c>
      <c r="Z162" s="65"/>
      <c r="AA162" s="62" t="str">
        <f t="shared" si="100"/>
        <v>In progress</v>
      </c>
      <c r="AB162" s="62"/>
      <c r="AC162" s="62"/>
      <c r="AD162" s="65" t="s">
        <v>110</v>
      </c>
      <c r="AE162" s="73">
        <v>244145</v>
      </c>
      <c r="AF162" s="65" t="str">
        <f t="shared" si="101"/>
        <v>Complete</v>
      </c>
      <c r="AG162" s="73">
        <v>244206</v>
      </c>
      <c r="AH162" s="73" t="s">
        <v>399</v>
      </c>
      <c r="AI162" s="62" t="str">
        <f t="shared" si="102"/>
        <v>Complete</v>
      </c>
      <c r="AJ162" s="62" t="s">
        <v>469</v>
      </c>
      <c r="AK162" s="62"/>
      <c r="AL162" s="62" t="str">
        <f t="shared" si="103"/>
        <v>In progress</v>
      </c>
      <c r="AM162" s="62"/>
      <c r="AN162" s="62"/>
      <c r="AO162" s="62"/>
      <c r="AP162" s="62"/>
      <c r="AQ162" s="62"/>
      <c r="AR162" s="62"/>
      <c r="AS162" s="62"/>
      <c r="AT162" s="62" t="str">
        <f t="shared" si="104"/>
        <v/>
      </c>
      <c r="AU162" s="62"/>
      <c r="AV162" s="62"/>
      <c r="AW162" s="107"/>
      <c r="AX162" s="73">
        <v>244398</v>
      </c>
      <c r="AY162" s="62"/>
      <c r="AZ162" s="100" t="str">
        <f t="shared" si="108"/>
        <v>In progress</v>
      </c>
      <c r="BA162" s="62"/>
      <c r="BB162" s="62"/>
      <c r="BC162" s="62"/>
      <c r="BD162" s="62"/>
      <c r="BE162" s="62"/>
      <c r="BF162" s="62" t="str">
        <f t="shared" si="106"/>
        <v/>
      </c>
      <c r="BG162" s="65"/>
      <c r="BH162" s="65"/>
      <c r="BI162" s="65" t="str">
        <f t="shared" si="107"/>
        <v/>
      </c>
      <c r="BJ162" s="66"/>
      <c r="BK162" s="66"/>
      <c r="BL162" s="69"/>
      <c r="BM162" s="69"/>
    </row>
    <row r="163" spans="1:65" s="18" customFormat="1" ht="32.450000000000003" customHeight="1" x14ac:dyDescent="0.45">
      <c r="A163" s="59">
        <v>143</v>
      </c>
      <c r="B163" s="96" t="s">
        <v>298</v>
      </c>
      <c r="C163" s="60" t="s">
        <v>57</v>
      </c>
      <c r="D163" s="60" t="s">
        <v>56</v>
      </c>
      <c r="E163" s="60" t="s">
        <v>54</v>
      </c>
      <c r="F163" s="60" t="s">
        <v>98</v>
      </c>
      <c r="G163" s="60" t="s">
        <v>107</v>
      </c>
      <c r="H163" s="60" t="s">
        <v>301</v>
      </c>
      <c r="I163" s="60"/>
      <c r="J163" s="60" t="s">
        <v>351</v>
      </c>
      <c r="K163" s="59" t="s">
        <v>112</v>
      </c>
      <c r="L163" s="59" t="s">
        <v>123</v>
      </c>
      <c r="M163" s="59">
        <v>9</v>
      </c>
      <c r="N163" s="63">
        <v>8</v>
      </c>
      <c r="O163" s="64">
        <v>8.2408059999999992</v>
      </c>
      <c r="P163" s="64">
        <v>100.268612</v>
      </c>
      <c r="Q163" s="65" t="s">
        <v>110</v>
      </c>
      <c r="R163" s="65" t="s">
        <v>110</v>
      </c>
      <c r="S163" s="62" t="str">
        <f t="shared" si="98"/>
        <v>Complete</v>
      </c>
      <c r="T163" s="62" t="s">
        <v>124</v>
      </c>
      <c r="U163" s="65" t="s">
        <v>380</v>
      </c>
      <c r="V163" s="65" t="s">
        <v>380</v>
      </c>
      <c r="W163" s="65" t="str">
        <f t="shared" si="99"/>
        <v>Complete</v>
      </c>
      <c r="X163" s="51" t="s">
        <v>448</v>
      </c>
      <c r="Y163" s="65" t="s">
        <v>399</v>
      </c>
      <c r="Z163" s="65"/>
      <c r="AA163" s="62" t="str">
        <f t="shared" si="100"/>
        <v>In progress</v>
      </c>
      <c r="AB163" s="62"/>
      <c r="AC163" s="62"/>
      <c r="AD163" s="65" t="s">
        <v>110</v>
      </c>
      <c r="AE163" s="73">
        <v>244145</v>
      </c>
      <c r="AF163" s="65" t="str">
        <f t="shared" si="101"/>
        <v>Complete</v>
      </c>
      <c r="AG163" s="73">
        <v>244206</v>
      </c>
      <c r="AH163" s="73" t="s">
        <v>399</v>
      </c>
      <c r="AI163" s="62" t="str">
        <f t="shared" si="102"/>
        <v>Complete</v>
      </c>
      <c r="AJ163" s="62" t="s">
        <v>469</v>
      </c>
      <c r="AK163" s="62"/>
      <c r="AL163" s="62" t="str">
        <f t="shared" si="103"/>
        <v>In progress</v>
      </c>
      <c r="AM163" s="62"/>
      <c r="AN163" s="62"/>
      <c r="AO163" s="62"/>
      <c r="AP163" s="62"/>
      <c r="AQ163" s="62"/>
      <c r="AR163" s="62"/>
      <c r="AS163" s="62"/>
      <c r="AT163" s="62" t="str">
        <f t="shared" si="104"/>
        <v/>
      </c>
      <c r="AU163" s="62"/>
      <c r="AV163" s="62"/>
      <c r="AW163" s="107"/>
      <c r="AX163" s="73">
        <v>244398</v>
      </c>
      <c r="AY163" s="62"/>
      <c r="AZ163" s="100" t="str">
        <f t="shared" si="108"/>
        <v>In progress</v>
      </c>
      <c r="BA163" s="62"/>
      <c r="BB163" s="62"/>
      <c r="BC163" s="62"/>
      <c r="BD163" s="62"/>
      <c r="BE163" s="62"/>
      <c r="BF163" s="62" t="str">
        <f t="shared" si="106"/>
        <v/>
      </c>
      <c r="BG163" s="65"/>
      <c r="BH163" s="65"/>
      <c r="BI163" s="65" t="str">
        <f t="shared" si="107"/>
        <v/>
      </c>
      <c r="BJ163" s="66"/>
      <c r="BK163" s="66"/>
      <c r="BL163" s="69"/>
      <c r="BM163" s="69"/>
    </row>
    <row r="164" spans="1:65" s="18" customFormat="1" ht="32.450000000000003" customHeight="1" x14ac:dyDescent="0.45">
      <c r="A164" s="62">
        <v>144</v>
      </c>
      <c r="B164" s="96" t="s">
        <v>219</v>
      </c>
      <c r="C164" s="108" t="s">
        <v>58</v>
      </c>
      <c r="D164" s="60" t="s">
        <v>56</v>
      </c>
      <c r="E164" s="60" t="s">
        <v>54</v>
      </c>
      <c r="F164" s="60" t="s">
        <v>98</v>
      </c>
      <c r="G164" s="60" t="s">
        <v>107</v>
      </c>
      <c r="H164" s="60" t="s">
        <v>301</v>
      </c>
      <c r="I164" s="60"/>
      <c r="J164" s="60" t="s">
        <v>336</v>
      </c>
      <c r="K164" s="59" t="s">
        <v>112</v>
      </c>
      <c r="L164" s="59" t="s">
        <v>123</v>
      </c>
      <c r="M164" s="59">
        <v>9</v>
      </c>
      <c r="N164" s="63">
        <v>4</v>
      </c>
      <c r="O164" s="64" t="s">
        <v>374</v>
      </c>
      <c r="P164" s="64">
        <v>100.211305</v>
      </c>
      <c r="Q164" s="65" t="s">
        <v>110</v>
      </c>
      <c r="R164" s="65" t="s">
        <v>110</v>
      </c>
      <c r="S164" s="62" t="str">
        <f t="shared" si="98"/>
        <v>Complete</v>
      </c>
      <c r="T164" s="62" t="s">
        <v>124</v>
      </c>
      <c r="U164" s="65" t="s">
        <v>380</v>
      </c>
      <c r="V164" s="65" t="s">
        <v>380</v>
      </c>
      <c r="W164" s="65" t="str">
        <f t="shared" si="99"/>
        <v>Complete</v>
      </c>
      <c r="X164" s="51" t="s">
        <v>448</v>
      </c>
      <c r="Y164" s="65" t="s">
        <v>399</v>
      </c>
      <c r="Z164" s="65"/>
      <c r="AA164" s="62" t="str">
        <f t="shared" si="100"/>
        <v>In progress</v>
      </c>
      <c r="AB164" s="62"/>
      <c r="AC164" s="62"/>
      <c r="AD164" s="65" t="s">
        <v>110</v>
      </c>
      <c r="AE164" s="73">
        <v>244145</v>
      </c>
      <c r="AF164" s="65" t="str">
        <f t="shared" si="101"/>
        <v>Complete</v>
      </c>
      <c r="AG164" s="73">
        <v>244206</v>
      </c>
      <c r="AH164" s="73" t="s">
        <v>399</v>
      </c>
      <c r="AI164" s="62" t="str">
        <f t="shared" si="102"/>
        <v>Complete</v>
      </c>
      <c r="AJ164" s="62" t="s">
        <v>469</v>
      </c>
      <c r="AK164" s="62"/>
      <c r="AL164" s="62" t="str">
        <f t="shared" si="103"/>
        <v>In progress</v>
      </c>
      <c r="AM164" s="62"/>
      <c r="AN164" s="62"/>
      <c r="AO164" s="62"/>
      <c r="AP164" s="62"/>
      <c r="AQ164" s="62"/>
      <c r="AR164" s="62"/>
      <c r="AS164" s="62"/>
      <c r="AT164" s="62" t="str">
        <f t="shared" si="104"/>
        <v/>
      </c>
      <c r="AU164" s="62"/>
      <c r="AV164" s="62"/>
      <c r="AW164" s="107"/>
      <c r="AX164" s="73">
        <v>244399</v>
      </c>
      <c r="AY164" s="62"/>
      <c r="AZ164" s="100" t="str">
        <f t="shared" si="108"/>
        <v>In progress</v>
      </c>
      <c r="BA164" s="62"/>
      <c r="BB164" s="62"/>
      <c r="BC164" s="62"/>
      <c r="BD164" s="62"/>
      <c r="BE164" s="62"/>
      <c r="BF164" s="62" t="str">
        <f t="shared" si="106"/>
        <v/>
      </c>
      <c r="BG164" s="65"/>
      <c r="BH164" s="65"/>
      <c r="BI164" s="65" t="str">
        <f t="shared" si="107"/>
        <v/>
      </c>
      <c r="BJ164" s="66"/>
      <c r="BK164" s="66"/>
      <c r="BL164" s="69"/>
      <c r="BM164" s="69"/>
    </row>
    <row r="165" spans="1:65" s="18" customFormat="1" ht="32.450000000000003" customHeight="1" x14ac:dyDescent="0.45">
      <c r="A165" s="62">
        <v>145</v>
      </c>
      <c r="B165" s="96" t="s">
        <v>198</v>
      </c>
      <c r="C165" s="60" t="s">
        <v>58</v>
      </c>
      <c r="D165" s="60" t="s">
        <v>56</v>
      </c>
      <c r="E165" s="60" t="s">
        <v>54</v>
      </c>
      <c r="F165" s="60" t="s">
        <v>98</v>
      </c>
      <c r="G165" s="60" t="s">
        <v>107</v>
      </c>
      <c r="H165" s="60" t="s">
        <v>301</v>
      </c>
      <c r="I165" s="60"/>
      <c r="J165" s="60" t="s">
        <v>339</v>
      </c>
      <c r="K165" s="59" t="s">
        <v>112</v>
      </c>
      <c r="L165" s="59" t="s">
        <v>123</v>
      </c>
      <c r="M165" s="59">
        <v>9</v>
      </c>
      <c r="N165" s="63">
        <v>11</v>
      </c>
      <c r="O165" s="64">
        <v>8.2014720000000008</v>
      </c>
      <c r="P165" s="64">
        <v>100.217994</v>
      </c>
      <c r="Q165" s="65" t="s">
        <v>110</v>
      </c>
      <c r="R165" s="65" t="s">
        <v>110</v>
      </c>
      <c r="S165" s="62" t="str">
        <f t="shared" si="98"/>
        <v>Complete</v>
      </c>
      <c r="T165" s="62" t="s">
        <v>124</v>
      </c>
      <c r="U165" s="65" t="s">
        <v>380</v>
      </c>
      <c r="V165" s="65" t="s">
        <v>380</v>
      </c>
      <c r="W165" s="65" t="str">
        <f t="shared" si="99"/>
        <v>Complete</v>
      </c>
      <c r="X165" s="51" t="s">
        <v>448</v>
      </c>
      <c r="Y165" s="65" t="s">
        <v>399</v>
      </c>
      <c r="Z165" s="65"/>
      <c r="AA165" s="62" t="str">
        <f t="shared" si="100"/>
        <v>In progress</v>
      </c>
      <c r="AB165" s="62"/>
      <c r="AC165" s="62"/>
      <c r="AD165" s="65" t="s">
        <v>110</v>
      </c>
      <c r="AE165" s="73">
        <v>244145</v>
      </c>
      <c r="AF165" s="65" t="str">
        <f t="shared" si="101"/>
        <v>Complete</v>
      </c>
      <c r="AG165" s="73">
        <v>244206</v>
      </c>
      <c r="AH165" s="73" t="s">
        <v>399</v>
      </c>
      <c r="AI165" s="62" t="str">
        <f t="shared" si="102"/>
        <v>Complete</v>
      </c>
      <c r="AJ165" s="62" t="s">
        <v>469</v>
      </c>
      <c r="AK165" s="62"/>
      <c r="AL165" s="62" t="str">
        <f t="shared" si="103"/>
        <v>In progress</v>
      </c>
      <c r="AM165" s="62"/>
      <c r="AN165" s="62"/>
      <c r="AO165" s="62"/>
      <c r="AP165" s="62"/>
      <c r="AQ165" s="62"/>
      <c r="AR165" s="62"/>
      <c r="AS165" s="62"/>
      <c r="AT165" s="62" t="str">
        <f t="shared" si="104"/>
        <v/>
      </c>
      <c r="AU165" s="62"/>
      <c r="AV165" s="62"/>
      <c r="AW165" s="62"/>
      <c r="AX165" s="73">
        <v>244398</v>
      </c>
      <c r="AY165" s="62"/>
      <c r="AZ165" s="100" t="str">
        <f t="shared" si="108"/>
        <v>In progress</v>
      </c>
      <c r="BA165" s="62"/>
      <c r="BB165" s="62"/>
      <c r="BC165" s="62"/>
      <c r="BD165" s="62"/>
      <c r="BE165" s="62"/>
      <c r="BF165" s="62" t="str">
        <f t="shared" si="106"/>
        <v/>
      </c>
      <c r="BG165" s="65"/>
      <c r="BH165" s="65"/>
      <c r="BI165" s="65" t="str">
        <f t="shared" si="107"/>
        <v/>
      </c>
      <c r="BJ165" s="66"/>
      <c r="BK165" s="66"/>
      <c r="BL165" s="69"/>
      <c r="BM165" s="69"/>
    </row>
    <row r="166" spans="1:65" s="18" customFormat="1" ht="32.450000000000003" customHeight="1" x14ac:dyDescent="0.45">
      <c r="A166" s="59">
        <v>146</v>
      </c>
      <c r="B166" s="96" t="s">
        <v>178</v>
      </c>
      <c r="C166" s="60" t="s">
        <v>58</v>
      </c>
      <c r="D166" s="60" t="s">
        <v>56</v>
      </c>
      <c r="E166" s="60" t="s">
        <v>54</v>
      </c>
      <c r="F166" s="60" t="s">
        <v>98</v>
      </c>
      <c r="G166" s="60" t="s">
        <v>107</v>
      </c>
      <c r="H166" s="60" t="s">
        <v>301</v>
      </c>
      <c r="I166" s="60"/>
      <c r="J166" s="60" t="s">
        <v>350</v>
      </c>
      <c r="K166" s="59" t="s">
        <v>112</v>
      </c>
      <c r="L166" s="59" t="s">
        <v>123</v>
      </c>
      <c r="M166" s="59">
        <v>9</v>
      </c>
      <c r="N166" s="63">
        <v>5</v>
      </c>
      <c r="O166" s="64">
        <v>8.2200430000000004</v>
      </c>
      <c r="P166" s="64">
        <v>100.21899500000001</v>
      </c>
      <c r="Q166" s="65" t="s">
        <v>110</v>
      </c>
      <c r="R166" s="65" t="s">
        <v>110</v>
      </c>
      <c r="S166" s="62" t="str">
        <f t="shared" si="98"/>
        <v>Complete</v>
      </c>
      <c r="T166" s="62" t="s">
        <v>124</v>
      </c>
      <c r="U166" s="65" t="s">
        <v>380</v>
      </c>
      <c r="V166" s="65" t="s">
        <v>380</v>
      </c>
      <c r="W166" s="65" t="str">
        <f t="shared" si="99"/>
        <v>Complete</v>
      </c>
      <c r="X166" s="51" t="s">
        <v>448</v>
      </c>
      <c r="Y166" s="65" t="s">
        <v>399</v>
      </c>
      <c r="Z166" s="65"/>
      <c r="AA166" s="62" t="str">
        <f t="shared" si="100"/>
        <v>In progress</v>
      </c>
      <c r="AB166" s="62"/>
      <c r="AC166" s="62"/>
      <c r="AD166" s="65" t="s">
        <v>110</v>
      </c>
      <c r="AE166" s="73">
        <v>244145</v>
      </c>
      <c r="AF166" s="65" t="str">
        <f t="shared" si="101"/>
        <v>Complete</v>
      </c>
      <c r="AG166" s="73">
        <v>244206</v>
      </c>
      <c r="AH166" s="73" t="s">
        <v>399</v>
      </c>
      <c r="AI166" s="62" t="str">
        <f t="shared" si="102"/>
        <v>Complete</v>
      </c>
      <c r="AJ166" s="62" t="s">
        <v>469</v>
      </c>
      <c r="AK166" s="62"/>
      <c r="AL166" s="62" t="str">
        <f t="shared" si="103"/>
        <v>In progress</v>
      </c>
      <c r="AM166" s="62"/>
      <c r="AN166" s="62"/>
      <c r="AO166" s="62"/>
      <c r="AP166" s="62"/>
      <c r="AQ166" s="62"/>
      <c r="AR166" s="62"/>
      <c r="AS166" s="62"/>
      <c r="AT166" s="62" t="str">
        <f t="shared" si="104"/>
        <v/>
      </c>
      <c r="AU166" s="62"/>
      <c r="AV166" s="62"/>
      <c r="AW166" s="62"/>
      <c r="AX166" s="73">
        <v>244397</v>
      </c>
      <c r="AY166" s="62"/>
      <c r="AZ166" s="100" t="str">
        <f t="shared" si="108"/>
        <v>In progress</v>
      </c>
      <c r="BA166" s="62"/>
      <c r="BB166" s="62"/>
      <c r="BC166" s="62"/>
      <c r="BD166" s="62"/>
      <c r="BE166" s="62"/>
      <c r="BF166" s="62" t="str">
        <f t="shared" si="106"/>
        <v/>
      </c>
      <c r="BG166" s="65"/>
      <c r="BH166" s="65"/>
      <c r="BI166" s="65" t="str">
        <f t="shared" si="107"/>
        <v/>
      </c>
      <c r="BJ166" s="66"/>
      <c r="BK166" s="66"/>
      <c r="BL166" s="69"/>
      <c r="BM166" s="69"/>
    </row>
    <row r="167" spans="1:65" s="18" customFormat="1" ht="32.299999999999997" customHeight="1" x14ac:dyDescent="0.45">
      <c r="A167" s="59">
        <v>147</v>
      </c>
      <c r="B167" s="81" t="s">
        <v>220</v>
      </c>
      <c r="C167" s="60" t="s">
        <v>59</v>
      </c>
      <c r="D167" s="60" t="s">
        <v>60</v>
      </c>
      <c r="E167" s="60" t="s">
        <v>54</v>
      </c>
      <c r="F167" s="60" t="s">
        <v>98</v>
      </c>
      <c r="G167" s="60" t="s">
        <v>107</v>
      </c>
      <c r="H167" s="60" t="s">
        <v>301</v>
      </c>
      <c r="I167" s="60"/>
      <c r="J167" s="60" t="s">
        <v>345</v>
      </c>
      <c r="K167" s="59" t="s">
        <v>112</v>
      </c>
      <c r="L167" s="59" t="s">
        <v>123</v>
      </c>
      <c r="M167" s="59">
        <v>9</v>
      </c>
      <c r="N167" s="63">
        <v>5</v>
      </c>
      <c r="O167" s="64">
        <v>8.1719709999999992</v>
      </c>
      <c r="P167" s="64">
        <v>100.261365</v>
      </c>
      <c r="Q167" s="65" t="s">
        <v>108</v>
      </c>
      <c r="R167" s="65" t="s">
        <v>108</v>
      </c>
      <c r="S167" s="62" t="str">
        <f t="shared" si="98"/>
        <v>Complete</v>
      </c>
      <c r="T167" s="62" t="s">
        <v>124</v>
      </c>
      <c r="U167" s="65" t="s">
        <v>380</v>
      </c>
      <c r="V167" s="65" t="s">
        <v>380</v>
      </c>
      <c r="W167" s="65" t="str">
        <f t="shared" si="99"/>
        <v>Complete</v>
      </c>
      <c r="X167" s="51" t="s">
        <v>448</v>
      </c>
      <c r="Y167" s="65" t="s">
        <v>413</v>
      </c>
      <c r="Z167" s="65"/>
      <c r="AA167" s="62" t="str">
        <f t="shared" si="100"/>
        <v>In progress</v>
      </c>
      <c r="AB167" s="62"/>
      <c r="AC167" s="62"/>
      <c r="AD167" s="65" t="s">
        <v>110</v>
      </c>
      <c r="AE167" s="73">
        <v>244145</v>
      </c>
      <c r="AF167" s="65" t="str">
        <f t="shared" si="101"/>
        <v>Complete</v>
      </c>
      <c r="AG167" s="73">
        <v>244206</v>
      </c>
      <c r="AH167" s="73" t="s">
        <v>399</v>
      </c>
      <c r="AI167" s="62" t="str">
        <f t="shared" si="102"/>
        <v>Complete</v>
      </c>
      <c r="AJ167" s="62" t="s">
        <v>469</v>
      </c>
      <c r="AK167" s="62"/>
      <c r="AL167" s="62" t="str">
        <f t="shared" si="103"/>
        <v>In progress</v>
      </c>
      <c r="AM167" s="62"/>
      <c r="AN167" s="62"/>
      <c r="AO167" s="62"/>
      <c r="AP167" s="62"/>
      <c r="AQ167" s="62"/>
      <c r="AR167" s="62"/>
      <c r="AS167" s="62"/>
      <c r="AT167" s="62" t="str">
        <f t="shared" si="104"/>
        <v/>
      </c>
      <c r="AU167" s="62"/>
      <c r="AV167" s="62"/>
      <c r="AW167" s="62"/>
      <c r="AX167" s="73">
        <v>244398</v>
      </c>
      <c r="AY167" s="73">
        <v>244438</v>
      </c>
      <c r="AZ167" s="99" t="str">
        <f t="shared" si="108"/>
        <v>Complete</v>
      </c>
      <c r="BA167" s="62"/>
      <c r="BB167" s="62"/>
      <c r="BC167" s="62"/>
      <c r="BD167" s="62"/>
      <c r="BE167" s="62"/>
      <c r="BF167" s="62" t="str">
        <f t="shared" si="106"/>
        <v/>
      </c>
      <c r="BG167" s="65"/>
      <c r="BH167" s="65"/>
      <c r="BI167" s="65" t="str">
        <f t="shared" si="107"/>
        <v/>
      </c>
      <c r="BJ167" s="66"/>
      <c r="BK167" s="66"/>
      <c r="BL167" s="69"/>
      <c r="BM167" s="69"/>
    </row>
    <row r="168" spans="1:65" s="18" customFormat="1" ht="32.450000000000003" customHeight="1" x14ac:dyDescent="0.45">
      <c r="A168" s="59">
        <v>148</v>
      </c>
      <c r="B168" s="81" t="s">
        <v>274</v>
      </c>
      <c r="C168" s="60" t="s">
        <v>59</v>
      </c>
      <c r="D168" s="60" t="s">
        <v>60</v>
      </c>
      <c r="E168" s="60" t="s">
        <v>54</v>
      </c>
      <c r="F168" s="60" t="s">
        <v>98</v>
      </c>
      <c r="G168" s="60" t="s">
        <v>107</v>
      </c>
      <c r="H168" s="60" t="s">
        <v>301</v>
      </c>
      <c r="I168" s="60"/>
      <c r="J168" s="60" t="s">
        <v>367</v>
      </c>
      <c r="K168" s="59" t="s">
        <v>112</v>
      </c>
      <c r="L168" s="59" t="s">
        <v>123</v>
      </c>
      <c r="M168" s="59">
        <v>9</v>
      </c>
      <c r="N168" s="63">
        <v>5</v>
      </c>
      <c r="O168" s="64">
        <v>8.1466750000000001</v>
      </c>
      <c r="P168" s="64">
        <v>100.27117200000001</v>
      </c>
      <c r="Q168" s="65" t="s">
        <v>108</v>
      </c>
      <c r="R168" s="65" t="s">
        <v>108</v>
      </c>
      <c r="S168" s="62" t="str">
        <f t="shared" si="98"/>
        <v>Complete</v>
      </c>
      <c r="T168" s="62" t="s">
        <v>124</v>
      </c>
      <c r="U168" s="65" t="s">
        <v>380</v>
      </c>
      <c r="V168" s="65" t="s">
        <v>380</v>
      </c>
      <c r="W168" s="65" t="str">
        <f t="shared" si="99"/>
        <v>Complete</v>
      </c>
      <c r="X168" s="51" t="s">
        <v>448</v>
      </c>
      <c r="Y168" s="65" t="s">
        <v>413</v>
      </c>
      <c r="Z168" s="65"/>
      <c r="AA168" s="62" t="str">
        <f t="shared" si="100"/>
        <v>In progress</v>
      </c>
      <c r="AB168" s="62"/>
      <c r="AC168" s="62"/>
      <c r="AD168" s="65" t="s">
        <v>110</v>
      </c>
      <c r="AE168" s="73">
        <v>244145</v>
      </c>
      <c r="AF168" s="65" t="str">
        <f t="shared" si="101"/>
        <v>Complete</v>
      </c>
      <c r="AG168" s="73">
        <v>244206</v>
      </c>
      <c r="AH168" s="73" t="s">
        <v>399</v>
      </c>
      <c r="AI168" s="62" t="str">
        <f t="shared" si="102"/>
        <v>Complete</v>
      </c>
      <c r="AJ168" s="62" t="s">
        <v>469</v>
      </c>
      <c r="AK168" s="62"/>
      <c r="AL168" s="62" t="str">
        <f t="shared" si="103"/>
        <v>In progress</v>
      </c>
      <c r="AM168" s="62"/>
      <c r="AN168" s="62"/>
      <c r="AO168" s="62"/>
      <c r="AP168" s="62"/>
      <c r="AQ168" s="62"/>
      <c r="AR168" s="62"/>
      <c r="AS168" s="62"/>
      <c r="AT168" s="62" t="str">
        <f t="shared" si="104"/>
        <v/>
      </c>
      <c r="AU168" s="62"/>
      <c r="AV168" s="62"/>
      <c r="AW168" s="62"/>
      <c r="AX168" s="73">
        <v>244398</v>
      </c>
      <c r="AY168" s="73">
        <v>244438</v>
      </c>
      <c r="AZ168" s="99" t="str">
        <f t="shared" si="108"/>
        <v>Complete</v>
      </c>
      <c r="BA168" s="62"/>
      <c r="BB168" s="62"/>
      <c r="BC168" s="62"/>
      <c r="BD168" s="62"/>
      <c r="BE168" s="62"/>
      <c r="BF168" s="62" t="str">
        <f t="shared" si="106"/>
        <v/>
      </c>
      <c r="BG168" s="65"/>
      <c r="BH168" s="65"/>
      <c r="BI168" s="65" t="str">
        <f t="shared" si="107"/>
        <v/>
      </c>
      <c r="BJ168" s="66"/>
      <c r="BK168" s="66"/>
      <c r="BL168" s="69"/>
      <c r="BM168" s="69"/>
    </row>
    <row r="169" spans="1:65" s="18" customFormat="1" ht="32.450000000000003" customHeight="1" x14ac:dyDescent="0.45">
      <c r="A169" s="62">
        <v>149</v>
      </c>
      <c r="B169" s="96" t="s">
        <v>157</v>
      </c>
      <c r="C169" s="60" t="s">
        <v>61</v>
      </c>
      <c r="D169" s="60" t="s">
        <v>60</v>
      </c>
      <c r="E169" s="60" t="s">
        <v>54</v>
      </c>
      <c r="F169" s="60" t="s">
        <v>98</v>
      </c>
      <c r="G169" s="60" t="s">
        <v>107</v>
      </c>
      <c r="H169" s="60" t="s">
        <v>301</v>
      </c>
      <c r="I169" s="60"/>
      <c r="J169" s="60" t="s">
        <v>344</v>
      </c>
      <c r="K169" s="59" t="s">
        <v>112</v>
      </c>
      <c r="L169" s="59" t="s">
        <v>123</v>
      </c>
      <c r="M169" s="59">
        <v>9</v>
      </c>
      <c r="N169" s="63">
        <v>6</v>
      </c>
      <c r="O169" s="64">
        <v>8.1747569999999996</v>
      </c>
      <c r="P169" s="64">
        <v>100.249465</v>
      </c>
      <c r="Q169" s="65" t="s">
        <v>108</v>
      </c>
      <c r="R169" s="65" t="s">
        <v>108</v>
      </c>
      <c r="S169" s="62" t="str">
        <f t="shared" si="98"/>
        <v>Complete</v>
      </c>
      <c r="T169" s="62" t="s">
        <v>124</v>
      </c>
      <c r="U169" s="65" t="s">
        <v>380</v>
      </c>
      <c r="V169" s="65" t="s">
        <v>380</v>
      </c>
      <c r="W169" s="65" t="str">
        <f t="shared" si="99"/>
        <v>Complete</v>
      </c>
      <c r="X169" s="51" t="s">
        <v>448</v>
      </c>
      <c r="Y169" s="65" t="s">
        <v>413</v>
      </c>
      <c r="Z169" s="65"/>
      <c r="AA169" s="62" t="str">
        <f t="shared" si="100"/>
        <v>In progress</v>
      </c>
      <c r="AB169" s="62"/>
      <c r="AC169" s="62"/>
      <c r="AD169" s="65" t="s">
        <v>110</v>
      </c>
      <c r="AE169" s="73">
        <v>244145</v>
      </c>
      <c r="AF169" s="65" t="str">
        <f t="shared" si="101"/>
        <v>Complete</v>
      </c>
      <c r="AG169" s="73">
        <v>244206</v>
      </c>
      <c r="AH169" s="73" t="s">
        <v>399</v>
      </c>
      <c r="AI169" s="62" t="str">
        <f t="shared" si="102"/>
        <v>Complete</v>
      </c>
      <c r="AJ169" s="62" t="s">
        <v>469</v>
      </c>
      <c r="AK169" s="62"/>
      <c r="AL169" s="62" t="str">
        <f t="shared" si="103"/>
        <v>In progress</v>
      </c>
      <c r="AM169" s="62"/>
      <c r="AN169" s="62"/>
      <c r="AO169" s="62"/>
      <c r="AP169" s="62"/>
      <c r="AQ169" s="62"/>
      <c r="AR169" s="62"/>
      <c r="AS169" s="62"/>
      <c r="AT169" s="62" t="str">
        <f t="shared" si="104"/>
        <v/>
      </c>
      <c r="AU169" s="62"/>
      <c r="AV169" s="62"/>
      <c r="AW169" s="62"/>
      <c r="AX169" s="73">
        <v>244397</v>
      </c>
      <c r="AY169" s="62"/>
      <c r="AZ169" s="100" t="str">
        <f t="shared" si="108"/>
        <v>In progress</v>
      </c>
      <c r="BA169" s="62"/>
      <c r="BB169" s="62"/>
      <c r="BC169" s="62"/>
      <c r="BD169" s="62"/>
      <c r="BE169" s="62"/>
      <c r="BF169" s="62" t="str">
        <f t="shared" si="106"/>
        <v/>
      </c>
      <c r="BG169" s="65"/>
      <c r="BH169" s="65"/>
      <c r="BI169" s="65" t="str">
        <f t="shared" si="107"/>
        <v/>
      </c>
      <c r="BJ169" s="66"/>
      <c r="BK169" s="66"/>
      <c r="BL169" s="69"/>
      <c r="BM169" s="69"/>
    </row>
    <row r="170" spans="1:65" s="18" customFormat="1" ht="32.450000000000003" customHeight="1" x14ac:dyDescent="0.45">
      <c r="A170" s="62">
        <v>150</v>
      </c>
      <c r="B170" s="96" t="s">
        <v>234</v>
      </c>
      <c r="C170" s="60" t="s">
        <v>61</v>
      </c>
      <c r="D170" s="60" t="s">
        <v>60</v>
      </c>
      <c r="E170" s="60" t="s">
        <v>54</v>
      </c>
      <c r="F170" s="60" t="s">
        <v>98</v>
      </c>
      <c r="G170" s="60" t="s">
        <v>107</v>
      </c>
      <c r="H170" s="108" t="s">
        <v>302</v>
      </c>
      <c r="I170" s="60"/>
      <c r="J170" s="60" t="s">
        <v>308</v>
      </c>
      <c r="K170" s="59" t="s">
        <v>112</v>
      </c>
      <c r="L170" s="59" t="s">
        <v>123</v>
      </c>
      <c r="M170" s="59">
        <v>9</v>
      </c>
      <c r="N170" s="63">
        <v>4</v>
      </c>
      <c r="O170" s="64">
        <v>8.144342</v>
      </c>
      <c r="P170" s="64">
        <v>100.268788</v>
      </c>
      <c r="Q170" s="65" t="s">
        <v>108</v>
      </c>
      <c r="R170" s="65" t="s">
        <v>108</v>
      </c>
      <c r="S170" s="62" t="str">
        <f t="shared" si="98"/>
        <v>Complete</v>
      </c>
      <c r="T170" s="62" t="s">
        <v>124</v>
      </c>
      <c r="U170" s="65" t="s">
        <v>380</v>
      </c>
      <c r="V170" s="65" t="s">
        <v>380</v>
      </c>
      <c r="W170" s="65" t="str">
        <f t="shared" si="99"/>
        <v>Complete</v>
      </c>
      <c r="X170" s="51" t="s">
        <v>448</v>
      </c>
      <c r="Y170" s="65" t="s">
        <v>413</v>
      </c>
      <c r="Z170" s="65"/>
      <c r="AA170" s="62" t="str">
        <f t="shared" si="100"/>
        <v>In progress</v>
      </c>
      <c r="AB170" s="62"/>
      <c r="AC170" s="62"/>
      <c r="AD170" s="65" t="s">
        <v>110</v>
      </c>
      <c r="AE170" s="73">
        <v>244145</v>
      </c>
      <c r="AF170" s="65" t="str">
        <f t="shared" si="101"/>
        <v>Complete</v>
      </c>
      <c r="AG170" s="73">
        <v>244206</v>
      </c>
      <c r="AH170" s="73" t="s">
        <v>399</v>
      </c>
      <c r="AI170" s="62" t="str">
        <f t="shared" si="102"/>
        <v>Complete</v>
      </c>
      <c r="AJ170" s="62" t="s">
        <v>469</v>
      </c>
      <c r="AK170" s="62"/>
      <c r="AL170" s="62" t="str">
        <f t="shared" si="103"/>
        <v>In progress</v>
      </c>
      <c r="AM170" s="62"/>
      <c r="AN170" s="62"/>
      <c r="AO170" s="62"/>
      <c r="AP170" s="62"/>
      <c r="AQ170" s="62"/>
      <c r="AR170" s="62"/>
      <c r="AS170" s="62"/>
      <c r="AT170" s="62" t="str">
        <f t="shared" si="104"/>
        <v/>
      </c>
      <c r="AU170" s="62"/>
      <c r="AV170" s="62"/>
      <c r="AW170" s="62"/>
      <c r="AX170" s="73">
        <v>244398</v>
      </c>
      <c r="AY170" s="62"/>
      <c r="AZ170" s="100" t="str">
        <f t="shared" si="108"/>
        <v>In progress</v>
      </c>
      <c r="BA170" s="62"/>
      <c r="BB170" s="62"/>
      <c r="BC170" s="62"/>
      <c r="BD170" s="62"/>
      <c r="BE170" s="62"/>
      <c r="BF170" s="62" t="str">
        <f t="shared" si="106"/>
        <v/>
      </c>
      <c r="BG170" s="65"/>
      <c r="BH170" s="65"/>
      <c r="BI170" s="65" t="str">
        <f t="shared" si="107"/>
        <v/>
      </c>
      <c r="BJ170" s="66"/>
      <c r="BK170" s="66"/>
      <c r="BL170" s="69"/>
      <c r="BM170" s="69"/>
    </row>
    <row r="171" spans="1:65" s="18" customFormat="1" ht="32.450000000000003" hidden="1" customHeight="1" x14ac:dyDescent="0.45">
      <c r="A171" s="59">
        <v>151</v>
      </c>
      <c r="B171" s="96" t="s">
        <v>158</v>
      </c>
      <c r="C171" s="60" t="s">
        <v>62</v>
      </c>
      <c r="D171" s="60" t="s">
        <v>63</v>
      </c>
      <c r="E171" s="60" t="s">
        <v>64</v>
      </c>
      <c r="F171" s="60" t="s">
        <v>102</v>
      </c>
      <c r="G171" s="68" t="s">
        <v>103</v>
      </c>
      <c r="H171" s="68" t="s">
        <v>301</v>
      </c>
      <c r="I171" s="68"/>
      <c r="J171" s="68" t="s">
        <v>337</v>
      </c>
      <c r="K171" s="59" t="s">
        <v>112</v>
      </c>
      <c r="L171" s="59" t="s">
        <v>123</v>
      </c>
      <c r="M171" s="59">
        <v>9</v>
      </c>
      <c r="N171" s="63">
        <v>51</v>
      </c>
      <c r="O171" s="64">
        <v>15.972099999999999</v>
      </c>
      <c r="P171" s="64">
        <v>100.708423</v>
      </c>
      <c r="Q171" s="65" t="s">
        <v>110</v>
      </c>
      <c r="R171" s="65" t="s">
        <v>111</v>
      </c>
      <c r="S171" s="62" t="str">
        <f t="shared" ref="S171:S190" si="109">IF(R171&lt;&gt;"", "Complete", IF(Q171&lt;&gt;"", "In progress", ""))</f>
        <v>Complete</v>
      </c>
      <c r="T171" s="62" t="s">
        <v>124</v>
      </c>
      <c r="U171" s="65" t="s">
        <v>380</v>
      </c>
      <c r="V171" s="65" t="s">
        <v>380</v>
      </c>
      <c r="W171" s="65" t="str">
        <f t="shared" ref="W171:W190" si="110">IF(
  AND(
     OR(M171=9,M171=18,M171=30),
     OR(G171="ภาคเหนือ",G171="ภาคใต้",G171="ภาคตะวันออก",G171="ภาคตะวันตก",G171="ภาคตะวันออกเฉียงเหนือ")
  ),
  IF(V171&lt;&gt;"","Complete",IF(U171&lt;&gt;"","In progress","")),
  "-"
)</f>
        <v>Complete</v>
      </c>
      <c r="X171" s="51" t="s">
        <v>448</v>
      </c>
      <c r="Y171" s="65" t="s">
        <v>417</v>
      </c>
      <c r="Z171" s="65"/>
      <c r="AA171" s="62" t="str">
        <f t="shared" ref="AA171:AA190" si="111">IF(Z171&lt;&gt;"", "Complete", IF(Y171&lt;&gt;"", "In progress", ""))</f>
        <v>In progress</v>
      </c>
      <c r="AB171" s="62"/>
      <c r="AC171" s="62"/>
      <c r="AD171" s="65" t="s">
        <v>110</v>
      </c>
      <c r="AE171" s="73">
        <v>244145</v>
      </c>
      <c r="AF171" s="65" t="str">
        <f t="shared" ref="AF171:AF190" si="112">IF(AE171&lt;&gt;"", "Complete", IF(AD171&lt;&gt;"", "In progress", ""))</f>
        <v>Complete</v>
      </c>
      <c r="AG171" s="73">
        <v>244206</v>
      </c>
      <c r="AH171" s="73" t="s">
        <v>399</v>
      </c>
      <c r="AI171" s="62" t="str">
        <f t="shared" ref="AI171:AI190" si="113">IF(AH171&lt;&gt;"", "Complete", IF(AG171&lt;&gt;"", "In progress", ""))</f>
        <v>Complete</v>
      </c>
      <c r="AJ171" s="62" t="s">
        <v>469</v>
      </c>
      <c r="AK171" s="62"/>
      <c r="AL171" s="62" t="str">
        <f t="shared" ref="AL171:AL190" si="114">IF(AK171&lt;&gt;"", "Complete", IF(AJ171&lt;&gt;"", "In progress", ""))</f>
        <v>In progress</v>
      </c>
      <c r="AM171" s="62"/>
      <c r="AN171" s="62"/>
      <c r="AO171" s="62"/>
      <c r="AP171" s="62"/>
      <c r="AQ171" s="62"/>
      <c r="AR171" s="62"/>
      <c r="AS171" s="62"/>
      <c r="AT171" s="62" t="str">
        <f t="shared" ref="AT171:AT190" si="115">IF(AQ171&lt;&gt;"", "Complete", IF(AP171&lt;&gt;"", "In progress", ""))</f>
        <v/>
      </c>
      <c r="AU171" s="62"/>
      <c r="AV171" s="62"/>
      <c r="AW171" s="62"/>
      <c r="AX171" s="73">
        <v>244418</v>
      </c>
      <c r="AY171" s="62"/>
      <c r="AZ171" s="100" t="s">
        <v>480</v>
      </c>
      <c r="BA171" s="62"/>
      <c r="BB171" s="62"/>
      <c r="BC171" s="62"/>
      <c r="BD171" s="62"/>
      <c r="BE171" s="62"/>
      <c r="BF171" s="62" t="str">
        <f t="shared" ref="BF171:BF190" si="116">IF(BE171&lt;&gt;"", "Complete", IF(BD171&lt;&gt;"", "In progress", ""))</f>
        <v/>
      </c>
      <c r="BG171" s="65"/>
      <c r="BH171" s="65"/>
      <c r="BI171" s="65" t="str">
        <f t="shared" ref="BI171:BI190" si="117">IF(BH171&lt;&gt;"", "Complete", IF(BG171&lt;&gt;"", "In progress", ""))</f>
        <v/>
      </c>
      <c r="BJ171" s="66"/>
      <c r="BK171" s="66"/>
      <c r="BL171" s="69"/>
      <c r="BM171" s="69"/>
    </row>
    <row r="172" spans="1:65" s="18" customFormat="1" ht="32.450000000000003" hidden="1" customHeight="1" x14ac:dyDescent="0.45">
      <c r="A172" s="59">
        <v>152</v>
      </c>
      <c r="B172" s="96" t="s">
        <v>159</v>
      </c>
      <c r="C172" s="60" t="s">
        <v>62</v>
      </c>
      <c r="D172" s="60" t="s">
        <v>63</v>
      </c>
      <c r="E172" s="60" t="s">
        <v>64</v>
      </c>
      <c r="F172" s="60" t="s">
        <v>102</v>
      </c>
      <c r="G172" s="68" t="s">
        <v>103</v>
      </c>
      <c r="H172" s="68" t="s">
        <v>301</v>
      </c>
      <c r="I172" s="68"/>
      <c r="J172" s="68" t="s">
        <v>351</v>
      </c>
      <c r="K172" s="59" t="s">
        <v>112</v>
      </c>
      <c r="L172" s="59" t="s">
        <v>123</v>
      </c>
      <c r="M172" s="59">
        <v>9</v>
      </c>
      <c r="N172" s="63">
        <v>34</v>
      </c>
      <c r="O172" s="64">
        <v>15.9718</v>
      </c>
      <c r="P172" s="64">
        <v>100.6823</v>
      </c>
      <c r="Q172" s="65" t="s">
        <v>110</v>
      </c>
      <c r="R172" s="65" t="s">
        <v>111</v>
      </c>
      <c r="S172" s="62" t="str">
        <f t="shared" si="109"/>
        <v>Complete</v>
      </c>
      <c r="T172" s="62" t="s">
        <v>124</v>
      </c>
      <c r="U172" s="65" t="s">
        <v>380</v>
      </c>
      <c r="V172" s="65" t="s">
        <v>380</v>
      </c>
      <c r="W172" s="65" t="str">
        <f t="shared" si="110"/>
        <v>Complete</v>
      </c>
      <c r="X172" s="51" t="s">
        <v>448</v>
      </c>
      <c r="Y172" s="65" t="s">
        <v>417</v>
      </c>
      <c r="Z172" s="65"/>
      <c r="AA172" s="62" t="str">
        <f t="shared" si="111"/>
        <v>In progress</v>
      </c>
      <c r="AB172" s="62"/>
      <c r="AC172" s="62"/>
      <c r="AD172" s="65" t="s">
        <v>110</v>
      </c>
      <c r="AE172" s="73">
        <v>244145</v>
      </c>
      <c r="AF172" s="65" t="str">
        <f t="shared" si="112"/>
        <v>Complete</v>
      </c>
      <c r="AG172" s="73">
        <v>244206</v>
      </c>
      <c r="AH172" s="73" t="s">
        <v>399</v>
      </c>
      <c r="AI172" s="62" t="str">
        <f t="shared" si="113"/>
        <v>Complete</v>
      </c>
      <c r="AJ172" s="62" t="s">
        <v>469</v>
      </c>
      <c r="AK172" s="62"/>
      <c r="AL172" s="62" t="str">
        <f t="shared" si="114"/>
        <v>In progress</v>
      </c>
      <c r="AM172" s="62"/>
      <c r="AN172" s="62"/>
      <c r="AO172" s="62"/>
      <c r="AP172" s="62"/>
      <c r="AQ172" s="62"/>
      <c r="AR172" s="62"/>
      <c r="AS172" s="62"/>
      <c r="AT172" s="62" t="str">
        <f t="shared" si="115"/>
        <v/>
      </c>
      <c r="AU172" s="62"/>
      <c r="AV172" s="62"/>
      <c r="AW172" s="62"/>
      <c r="AX172" s="73">
        <v>244418</v>
      </c>
      <c r="AY172" s="62"/>
      <c r="AZ172" s="100" t="s">
        <v>480</v>
      </c>
      <c r="BA172" s="62"/>
      <c r="BB172" s="62"/>
      <c r="BC172" s="62"/>
      <c r="BD172" s="62"/>
      <c r="BE172" s="62"/>
      <c r="BF172" s="62" t="str">
        <f t="shared" si="116"/>
        <v/>
      </c>
      <c r="BG172" s="65"/>
      <c r="BH172" s="65"/>
      <c r="BI172" s="65" t="str">
        <f t="shared" si="117"/>
        <v/>
      </c>
      <c r="BJ172" s="66"/>
      <c r="BK172" s="66"/>
      <c r="BL172" s="69"/>
      <c r="BM172" s="69"/>
    </row>
    <row r="173" spans="1:65" s="18" customFormat="1" ht="32.450000000000003" hidden="1" customHeight="1" x14ac:dyDescent="0.45">
      <c r="A173" s="59">
        <v>153</v>
      </c>
      <c r="B173" s="96" t="s">
        <v>199</v>
      </c>
      <c r="C173" s="60" t="s">
        <v>62</v>
      </c>
      <c r="D173" s="60" t="s">
        <v>63</v>
      </c>
      <c r="E173" s="60" t="s">
        <v>64</v>
      </c>
      <c r="F173" s="60" t="s">
        <v>102</v>
      </c>
      <c r="G173" s="68" t="s">
        <v>103</v>
      </c>
      <c r="H173" s="68" t="s">
        <v>301</v>
      </c>
      <c r="I173" s="68"/>
      <c r="J173" s="68" t="s">
        <v>353</v>
      </c>
      <c r="K173" s="59" t="s">
        <v>112</v>
      </c>
      <c r="L173" s="59" t="s">
        <v>123</v>
      </c>
      <c r="M173" s="59">
        <v>9</v>
      </c>
      <c r="N173" s="63">
        <v>36</v>
      </c>
      <c r="O173" s="64">
        <v>15.987209999999999</v>
      </c>
      <c r="P173" s="64">
        <v>100.69482000000001</v>
      </c>
      <c r="Q173" s="65" t="s">
        <v>110</v>
      </c>
      <c r="R173" s="65" t="s">
        <v>111</v>
      </c>
      <c r="S173" s="62" t="str">
        <f t="shared" si="109"/>
        <v>Complete</v>
      </c>
      <c r="T173" s="62" t="s">
        <v>124</v>
      </c>
      <c r="U173" s="65" t="s">
        <v>380</v>
      </c>
      <c r="V173" s="65" t="s">
        <v>380</v>
      </c>
      <c r="W173" s="65" t="str">
        <f t="shared" si="110"/>
        <v>Complete</v>
      </c>
      <c r="X173" s="51" t="s">
        <v>448</v>
      </c>
      <c r="Y173" s="65" t="s">
        <v>417</v>
      </c>
      <c r="Z173" s="65"/>
      <c r="AA173" s="62" t="str">
        <f t="shared" si="111"/>
        <v>In progress</v>
      </c>
      <c r="AB173" s="62"/>
      <c r="AC173" s="62"/>
      <c r="AD173" s="65" t="s">
        <v>110</v>
      </c>
      <c r="AE173" s="73">
        <v>244145</v>
      </c>
      <c r="AF173" s="65" t="str">
        <f t="shared" si="112"/>
        <v>Complete</v>
      </c>
      <c r="AG173" s="73">
        <v>244206</v>
      </c>
      <c r="AH173" s="73" t="s">
        <v>399</v>
      </c>
      <c r="AI173" s="62" t="str">
        <f t="shared" si="113"/>
        <v>Complete</v>
      </c>
      <c r="AJ173" s="62" t="s">
        <v>469</v>
      </c>
      <c r="AK173" s="62"/>
      <c r="AL173" s="62" t="str">
        <f t="shared" si="114"/>
        <v>In progress</v>
      </c>
      <c r="AM173" s="62"/>
      <c r="AN173" s="62"/>
      <c r="AO173" s="62"/>
      <c r="AP173" s="62"/>
      <c r="AQ173" s="62"/>
      <c r="AR173" s="62"/>
      <c r="AS173" s="62"/>
      <c r="AT173" s="62" t="str">
        <f t="shared" si="115"/>
        <v/>
      </c>
      <c r="AU173" s="62"/>
      <c r="AV173" s="62"/>
      <c r="AW173" s="62"/>
      <c r="AX173" s="73">
        <v>244418</v>
      </c>
      <c r="AY173" s="62"/>
      <c r="AZ173" s="100" t="s">
        <v>480</v>
      </c>
      <c r="BA173" s="62"/>
      <c r="BB173" s="62"/>
      <c r="BC173" s="62"/>
      <c r="BD173" s="62"/>
      <c r="BE173" s="62"/>
      <c r="BF173" s="62" t="str">
        <f t="shared" si="116"/>
        <v/>
      </c>
      <c r="BG173" s="65"/>
      <c r="BH173" s="65"/>
      <c r="BI173" s="65" t="str">
        <f t="shared" si="117"/>
        <v/>
      </c>
      <c r="BJ173" s="66"/>
      <c r="BK173" s="66"/>
      <c r="BL173" s="69"/>
      <c r="BM173" s="69"/>
    </row>
    <row r="174" spans="1:65" s="18" customFormat="1" ht="32.450000000000003" hidden="1" customHeight="1" x14ac:dyDescent="0.45">
      <c r="A174" s="62">
        <v>154</v>
      </c>
      <c r="B174" s="96" t="s">
        <v>221</v>
      </c>
      <c r="C174" s="60" t="s">
        <v>62</v>
      </c>
      <c r="D174" s="60" t="s">
        <v>63</v>
      </c>
      <c r="E174" s="60" t="s">
        <v>64</v>
      </c>
      <c r="F174" s="60" t="s">
        <v>102</v>
      </c>
      <c r="G174" s="68" t="s">
        <v>103</v>
      </c>
      <c r="H174" s="68" t="s">
        <v>301</v>
      </c>
      <c r="I174" s="68"/>
      <c r="J174" s="68" t="s">
        <v>351</v>
      </c>
      <c r="K174" s="59" t="s">
        <v>112</v>
      </c>
      <c r="L174" s="59" t="s">
        <v>123</v>
      </c>
      <c r="M174" s="59">
        <v>9</v>
      </c>
      <c r="N174" s="63">
        <v>60</v>
      </c>
      <c r="O174" s="64">
        <v>15.96167</v>
      </c>
      <c r="P174" s="64">
        <v>100.74643</v>
      </c>
      <c r="Q174" s="65" t="s">
        <v>110</v>
      </c>
      <c r="R174" s="65" t="s">
        <v>111</v>
      </c>
      <c r="S174" s="62" t="str">
        <f t="shared" si="109"/>
        <v>Complete</v>
      </c>
      <c r="T174" s="62" t="s">
        <v>124</v>
      </c>
      <c r="U174" s="65" t="s">
        <v>380</v>
      </c>
      <c r="V174" s="65" t="s">
        <v>380</v>
      </c>
      <c r="W174" s="65" t="str">
        <f t="shared" si="110"/>
        <v>Complete</v>
      </c>
      <c r="X174" s="51" t="s">
        <v>448</v>
      </c>
      <c r="Y174" s="65" t="s">
        <v>417</v>
      </c>
      <c r="Z174" s="65"/>
      <c r="AA174" s="62" t="str">
        <f t="shared" si="111"/>
        <v>In progress</v>
      </c>
      <c r="AB174" s="62"/>
      <c r="AC174" s="62"/>
      <c r="AD174" s="65" t="s">
        <v>110</v>
      </c>
      <c r="AE174" s="73">
        <v>244145</v>
      </c>
      <c r="AF174" s="65" t="str">
        <f t="shared" si="112"/>
        <v>Complete</v>
      </c>
      <c r="AG174" s="73">
        <v>244206</v>
      </c>
      <c r="AH174" s="73" t="s">
        <v>399</v>
      </c>
      <c r="AI174" s="62" t="str">
        <f t="shared" si="113"/>
        <v>Complete</v>
      </c>
      <c r="AJ174" s="62" t="s">
        <v>469</v>
      </c>
      <c r="AK174" s="62"/>
      <c r="AL174" s="62" t="str">
        <f t="shared" si="114"/>
        <v>In progress</v>
      </c>
      <c r="AM174" s="62"/>
      <c r="AN174" s="62"/>
      <c r="AO174" s="62"/>
      <c r="AP174" s="62"/>
      <c r="AQ174" s="62"/>
      <c r="AR174" s="62"/>
      <c r="AS174" s="62"/>
      <c r="AT174" s="62" t="str">
        <f t="shared" si="115"/>
        <v/>
      </c>
      <c r="AU174" s="62"/>
      <c r="AV174" s="62"/>
      <c r="AW174" s="62"/>
      <c r="AX174" s="73">
        <v>244418</v>
      </c>
      <c r="AY174" s="62"/>
      <c r="AZ174" s="100" t="s">
        <v>480</v>
      </c>
      <c r="BA174" s="62"/>
      <c r="BB174" s="62"/>
      <c r="BC174" s="62"/>
      <c r="BD174" s="62"/>
      <c r="BE174" s="62"/>
      <c r="BF174" s="62" t="str">
        <f t="shared" si="116"/>
        <v/>
      </c>
      <c r="BG174" s="65"/>
      <c r="BH174" s="65"/>
      <c r="BI174" s="65" t="str">
        <f t="shared" si="117"/>
        <v/>
      </c>
      <c r="BJ174" s="66"/>
      <c r="BK174" s="66"/>
      <c r="BL174" s="69"/>
      <c r="BM174" s="69"/>
    </row>
    <row r="175" spans="1:65" s="18" customFormat="1" ht="32.450000000000003" hidden="1" customHeight="1" x14ac:dyDescent="0.45">
      <c r="A175" s="62">
        <v>155</v>
      </c>
      <c r="B175" s="96" t="s">
        <v>200</v>
      </c>
      <c r="C175" s="60" t="s">
        <v>62</v>
      </c>
      <c r="D175" s="60" t="s">
        <v>63</v>
      </c>
      <c r="E175" s="60" t="s">
        <v>64</v>
      </c>
      <c r="F175" s="60" t="s">
        <v>102</v>
      </c>
      <c r="G175" s="68" t="s">
        <v>103</v>
      </c>
      <c r="H175" s="68" t="s">
        <v>301</v>
      </c>
      <c r="I175" s="68"/>
      <c r="J175" s="68" t="s">
        <v>351</v>
      </c>
      <c r="K175" s="59" t="s">
        <v>112</v>
      </c>
      <c r="L175" s="59" t="s">
        <v>123</v>
      </c>
      <c r="M175" s="59">
        <v>9</v>
      </c>
      <c r="N175" s="63">
        <v>44</v>
      </c>
      <c r="O175" s="64">
        <v>15.9903</v>
      </c>
      <c r="P175" s="64">
        <v>100.72969999999999</v>
      </c>
      <c r="Q175" s="65" t="s">
        <v>110</v>
      </c>
      <c r="R175" s="65" t="s">
        <v>111</v>
      </c>
      <c r="S175" s="62" t="str">
        <f t="shared" si="109"/>
        <v>Complete</v>
      </c>
      <c r="T175" s="62" t="s">
        <v>124</v>
      </c>
      <c r="U175" s="65" t="s">
        <v>380</v>
      </c>
      <c r="V175" s="65" t="s">
        <v>380</v>
      </c>
      <c r="W175" s="65" t="str">
        <f t="shared" si="110"/>
        <v>Complete</v>
      </c>
      <c r="X175" s="51" t="s">
        <v>448</v>
      </c>
      <c r="Y175" s="65" t="s">
        <v>417</v>
      </c>
      <c r="Z175" s="65"/>
      <c r="AA175" s="62" t="str">
        <f t="shared" si="111"/>
        <v>In progress</v>
      </c>
      <c r="AB175" s="62"/>
      <c r="AC175" s="62"/>
      <c r="AD175" s="65" t="s">
        <v>110</v>
      </c>
      <c r="AE175" s="73">
        <v>244145</v>
      </c>
      <c r="AF175" s="65" t="str">
        <f t="shared" si="112"/>
        <v>Complete</v>
      </c>
      <c r="AG175" s="73">
        <v>244206</v>
      </c>
      <c r="AH175" s="73" t="s">
        <v>399</v>
      </c>
      <c r="AI175" s="62" t="str">
        <f t="shared" si="113"/>
        <v>Complete</v>
      </c>
      <c r="AJ175" s="62" t="s">
        <v>469</v>
      </c>
      <c r="AK175" s="62"/>
      <c r="AL175" s="62" t="str">
        <f t="shared" si="114"/>
        <v>In progress</v>
      </c>
      <c r="AM175" s="62"/>
      <c r="AN175" s="62"/>
      <c r="AO175" s="62"/>
      <c r="AP175" s="62"/>
      <c r="AQ175" s="62"/>
      <c r="AR175" s="62"/>
      <c r="AS175" s="62"/>
      <c r="AT175" s="62" t="str">
        <f t="shared" si="115"/>
        <v/>
      </c>
      <c r="AU175" s="62"/>
      <c r="AV175" s="62"/>
      <c r="AW175" s="62"/>
      <c r="AX175" s="73">
        <v>244418</v>
      </c>
      <c r="AY175" s="62"/>
      <c r="AZ175" s="100" t="s">
        <v>480</v>
      </c>
      <c r="BA175" s="62"/>
      <c r="BB175" s="62"/>
      <c r="BC175" s="62"/>
      <c r="BD175" s="62"/>
      <c r="BE175" s="62"/>
      <c r="BF175" s="62" t="str">
        <f t="shared" si="116"/>
        <v/>
      </c>
      <c r="BG175" s="65"/>
      <c r="BH175" s="65"/>
      <c r="BI175" s="65" t="str">
        <f t="shared" si="117"/>
        <v/>
      </c>
      <c r="BJ175" s="66"/>
      <c r="BK175" s="66"/>
      <c r="BL175" s="69"/>
      <c r="BM175" s="69"/>
    </row>
    <row r="176" spans="1:65" s="18" customFormat="1" ht="32.450000000000003" hidden="1" customHeight="1" x14ac:dyDescent="0.8">
      <c r="A176" s="59">
        <v>16</v>
      </c>
      <c r="B176" s="98" t="s">
        <v>145</v>
      </c>
      <c r="C176" s="68" t="s">
        <v>13</v>
      </c>
      <c r="D176" s="68" t="s">
        <v>14</v>
      </c>
      <c r="E176" s="68" t="s">
        <v>10</v>
      </c>
      <c r="F176" s="61" t="s">
        <v>94</v>
      </c>
      <c r="G176" s="61" t="s">
        <v>106</v>
      </c>
      <c r="H176" s="60" t="s">
        <v>301</v>
      </c>
      <c r="I176" s="60"/>
      <c r="J176" s="61" t="s">
        <v>320</v>
      </c>
      <c r="K176" s="62" t="s">
        <v>113</v>
      </c>
      <c r="L176" s="59" t="s">
        <v>472</v>
      </c>
      <c r="M176" s="62">
        <v>18</v>
      </c>
      <c r="N176" s="63">
        <v>43</v>
      </c>
      <c r="O176" s="64">
        <v>14.359956</v>
      </c>
      <c r="P176" s="64">
        <v>99.672070000000005</v>
      </c>
      <c r="Q176" s="65" t="s">
        <v>110</v>
      </c>
      <c r="R176" s="65" t="s">
        <v>110</v>
      </c>
      <c r="S176" s="62" t="str">
        <f t="shared" si="109"/>
        <v>Complete</v>
      </c>
      <c r="T176" s="62" t="s">
        <v>124</v>
      </c>
      <c r="U176" s="65" t="s">
        <v>379</v>
      </c>
      <c r="V176" s="65" t="s">
        <v>384</v>
      </c>
      <c r="W176" s="65" t="str">
        <f t="shared" si="110"/>
        <v>Complete</v>
      </c>
      <c r="X176" s="51" t="s">
        <v>448</v>
      </c>
      <c r="Y176" s="65" t="s">
        <v>399</v>
      </c>
      <c r="Z176" s="65"/>
      <c r="AA176" s="62" t="str">
        <f t="shared" si="111"/>
        <v>In progress</v>
      </c>
      <c r="AB176" s="62"/>
      <c r="AC176" s="62"/>
      <c r="AD176" s="65" t="s">
        <v>399</v>
      </c>
      <c r="AE176" s="75" t="s">
        <v>420</v>
      </c>
      <c r="AF176" s="65" t="str">
        <f t="shared" si="112"/>
        <v>Complete</v>
      </c>
      <c r="AG176" s="62" t="s">
        <v>418</v>
      </c>
      <c r="AH176" s="62" t="s">
        <v>447</v>
      </c>
      <c r="AI176" s="62" t="str">
        <f t="shared" si="113"/>
        <v>Complete</v>
      </c>
      <c r="AJ176" s="73">
        <v>244470</v>
      </c>
      <c r="AK176" s="73">
        <v>244470</v>
      </c>
      <c r="AL176" s="62" t="str">
        <f t="shared" si="114"/>
        <v>Complete</v>
      </c>
      <c r="AM176" s="62"/>
      <c r="AN176" s="62" t="s">
        <v>449</v>
      </c>
      <c r="AO176" s="62" t="s">
        <v>463</v>
      </c>
      <c r="AP176" s="73">
        <v>244684</v>
      </c>
      <c r="AQ176" s="62"/>
      <c r="AR176" s="62"/>
      <c r="AS176" s="62"/>
      <c r="AT176" s="62" t="str">
        <f t="shared" si="115"/>
        <v>In progress</v>
      </c>
      <c r="AU176" s="62"/>
      <c r="AV176" s="62"/>
      <c r="AW176" s="62"/>
      <c r="AX176" s="73">
        <v>244361</v>
      </c>
      <c r="AY176" s="73">
        <v>244390</v>
      </c>
      <c r="AZ176" s="99" t="str">
        <f t="shared" ref="AZ176:AZ190" si="118">IF(AY176&lt;&gt;"", "Complete", IF(AX176&lt;&gt;"", "In progress", ""))</f>
        <v>Complete</v>
      </c>
      <c r="BA176" s="62"/>
      <c r="BB176" s="62"/>
      <c r="BC176" s="62"/>
      <c r="BD176" s="62"/>
      <c r="BE176" s="62"/>
      <c r="BF176" s="62" t="str">
        <f t="shared" si="116"/>
        <v/>
      </c>
      <c r="BG176" s="65"/>
      <c r="BH176" s="65"/>
      <c r="BI176" s="65" t="str">
        <f t="shared" si="117"/>
        <v/>
      </c>
      <c r="BJ176" s="66"/>
      <c r="BK176" s="66"/>
      <c r="BL176" s="67"/>
      <c r="BM176" s="46" t="s">
        <v>454</v>
      </c>
    </row>
    <row r="177" spans="1:65" s="18" customFormat="1" ht="32.450000000000003" hidden="1" customHeight="1" x14ac:dyDescent="0.8">
      <c r="A177" s="59">
        <v>17</v>
      </c>
      <c r="B177" s="98" t="s">
        <v>290</v>
      </c>
      <c r="C177" s="68" t="s">
        <v>13</v>
      </c>
      <c r="D177" s="68" t="s">
        <v>14</v>
      </c>
      <c r="E177" s="68" t="s">
        <v>10</v>
      </c>
      <c r="F177" s="61" t="s">
        <v>94</v>
      </c>
      <c r="G177" s="61" t="s">
        <v>106</v>
      </c>
      <c r="H177" s="60" t="s">
        <v>301</v>
      </c>
      <c r="I177" s="60"/>
      <c r="J177" s="61" t="s">
        <v>321</v>
      </c>
      <c r="K177" s="62" t="s">
        <v>113</v>
      </c>
      <c r="L177" s="59" t="s">
        <v>123</v>
      </c>
      <c r="M177" s="62">
        <v>9</v>
      </c>
      <c r="N177" s="63">
        <v>57</v>
      </c>
      <c r="O177" s="64">
        <v>14.39692</v>
      </c>
      <c r="P177" s="64">
        <v>99.666640000000001</v>
      </c>
      <c r="Q177" s="65" t="s">
        <v>110</v>
      </c>
      <c r="R177" s="65" t="s">
        <v>110</v>
      </c>
      <c r="S177" s="62" t="str">
        <f t="shared" si="109"/>
        <v>Complete</v>
      </c>
      <c r="T177" s="62" t="s">
        <v>124</v>
      </c>
      <c r="U177" s="65" t="s">
        <v>380</v>
      </c>
      <c r="V177" s="65" t="s">
        <v>380</v>
      </c>
      <c r="W177" s="65" t="str">
        <f t="shared" si="110"/>
        <v>Complete</v>
      </c>
      <c r="X177" s="51" t="s">
        <v>448</v>
      </c>
      <c r="Y177" s="65" t="s">
        <v>399</v>
      </c>
      <c r="Z177" s="65"/>
      <c r="AA177" s="62" t="str">
        <f t="shared" si="111"/>
        <v>In progress</v>
      </c>
      <c r="AB177" s="62"/>
      <c r="AC177" s="62"/>
      <c r="AD177" s="65" t="s">
        <v>110</v>
      </c>
      <c r="AE177" s="73">
        <v>244145</v>
      </c>
      <c r="AF177" s="65" t="str">
        <f t="shared" si="112"/>
        <v>Complete</v>
      </c>
      <c r="AG177" s="73">
        <v>244206</v>
      </c>
      <c r="AH177" s="73" t="s">
        <v>399</v>
      </c>
      <c r="AI177" s="62" t="str">
        <f t="shared" si="113"/>
        <v>Complete</v>
      </c>
      <c r="AJ177" s="62" t="s">
        <v>469</v>
      </c>
      <c r="AK177" s="62"/>
      <c r="AL177" s="62" t="str">
        <f t="shared" si="114"/>
        <v>In progress</v>
      </c>
      <c r="AM177" s="62"/>
      <c r="AN177" s="62"/>
      <c r="AO177" s="62"/>
      <c r="AP177" s="62"/>
      <c r="AQ177" s="62"/>
      <c r="AR177" s="62"/>
      <c r="AS177" s="62"/>
      <c r="AT177" s="62" t="str">
        <f t="shared" si="115"/>
        <v/>
      </c>
      <c r="AU177" s="62"/>
      <c r="AV177" s="62"/>
      <c r="AW177" s="62"/>
      <c r="AX177" s="73">
        <v>244391</v>
      </c>
      <c r="AY177" s="73">
        <v>244438</v>
      </c>
      <c r="AZ177" s="99" t="str">
        <f t="shared" si="118"/>
        <v>Complete</v>
      </c>
      <c r="BA177" s="62"/>
      <c r="BB177" s="62"/>
      <c r="BC177" s="62"/>
      <c r="BD177" s="62"/>
      <c r="BE177" s="62"/>
      <c r="BF177" s="62" t="str">
        <f t="shared" si="116"/>
        <v/>
      </c>
      <c r="BG177" s="65"/>
      <c r="BH177" s="65"/>
      <c r="BI177" s="65" t="str">
        <f t="shared" si="117"/>
        <v/>
      </c>
      <c r="BJ177" s="66"/>
      <c r="BK177" s="66"/>
      <c r="BL177" s="67"/>
      <c r="BM177" s="67"/>
    </row>
    <row r="178" spans="1:65" s="18" customFormat="1" ht="32.450000000000003" hidden="1" customHeight="1" x14ac:dyDescent="0.8">
      <c r="A178" s="59">
        <v>18</v>
      </c>
      <c r="B178" s="98" t="s">
        <v>146</v>
      </c>
      <c r="C178" s="68" t="s">
        <v>13</v>
      </c>
      <c r="D178" s="68" t="s">
        <v>14</v>
      </c>
      <c r="E178" s="68" t="s">
        <v>10</v>
      </c>
      <c r="F178" s="61" t="s">
        <v>94</v>
      </c>
      <c r="G178" s="61" t="s">
        <v>106</v>
      </c>
      <c r="H178" s="60" t="s">
        <v>301</v>
      </c>
      <c r="I178" s="60"/>
      <c r="J178" s="61" t="s">
        <v>322</v>
      </c>
      <c r="K178" s="62" t="s">
        <v>113</v>
      </c>
      <c r="L178" s="59" t="s">
        <v>123</v>
      </c>
      <c r="M178" s="62">
        <v>9</v>
      </c>
      <c r="N178" s="63">
        <v>62</v>
      </c>
      <c r="O178" s="64">
        <v>14.379446</v>
      </c>
      <c r="P178" s="64">
        <v>99.647717</v>
      </c>
      <c r="Q178" s="65" t="s">
        <v>110</v>
      </c>
      <c r="R178" s="65" t="s">
        <v>110</v>
      </c>
      <c r="S178" s="62" t="str">
        <f t="shared" si="109"/>
        <v>Complete</v>
      </c>
      <c r="T178" s="62" t="s">
        <v>124</v>
      </c>
      <c r="U178" s="65" t="s">
        <v>380</v>
      </c>
      <c r="V178" s="65" t="s">
        <v>380</v>
      </c>
      <c r="W178" s="65" t="str">
        <f t="shared" si="110"/>
        <v>Complete</v>
      </c>
      <c r="X178" s="51" t="s">
        <v>448</v>
      </c>
      <c r="Y178" s="65" t="s">
        <v>399</v>
      </c>
      <c r="Z178" s="65"/>
      <c r="AA178" s="62" t="str">
        <f t="shared" si="111"/>
        <v>In progress</v>
      </c>
      <c r="AB178" s="62"/>
      <c r="AC178" s="62"/>
      <c r="AD178" s="65" t="s">
        <v>110</v>
      </c>
      <c r="AE178" s="73">
        <v>244145</v>
      </c>
      <c r="AF178" s="65" t="str">
        <f t="shared" si="112"/>
        <v>Complete</v>
      </c>
      <c r="AG178" s="73">
        <v>244206</v>
      </c>
      <c r="AH178" s="73" t="s">
        <v>399</v>
      </c>
      <c r="AI178" s="62" t="str">
        <f t="shared" si="113"/>
        <v>Complete</v>
      </c>
      <c r="AJ178" s="62" t="s">
        <v>469</v>
      </c>
      <c r="AK178" s="62"/>
      <c r="AL178" s="62" t="str">
        <f t="shared" si="114"/>
        <v>In progress</v>
      </c>
      <c r="AM178" s="62"/>
      <c r="AN178" s="62"/>
      <c r="AO178" s="62"/>
      <c r="AP178" s="62"/>
      <c r="AQ178" s="62"/>
      <c r="AR178" s="62"/>
      <c r="AS178" s="62"/>
      <c r="AT178" s="62" t="str">
        <f t="shared" si="115"/>
        <v/>
      </c>
      <c r="AU178" s="62"/>
      <c r="AV178" s="62"/>
      <c r="AW178" s="62"/>
      <c r="AX178" s="73">
        <v>244411</v>
      </c>
      <c r="AY178" s="73">
        <v>244438</v>
      </c>
      <c r="AZ178" s="99" t="str">
        <f t="shared" si="118"/>
        <v>Complete</v>
      </c>
      <c r="BA178" s="62"/>
      <c r="BB178" s="62"/>
      <c r="BC178" s="62"/>
      <c r="BD178" s="62"/>
      <c r="BE178" s="62"/>
      <c r="BF178" s="62" t="str">
        <f t="shared" si="116"/>
        <v/>
      </c>
      <c r="BG178" s="65"/>
      <c r="BH178" s="65"/>
      <c r="BI178" s="65" t="str">
        <f t="shared" si="117"/>
        <v/>
      </c>
      <c r="BJ178" s="66"/>
      <c r="BK178" s="66"/>
      <c r="BL178" s="67"/>
      <c r="BM178" s="67"/>
    </row>
    <row r="179" spans="1:65" s="18" customFormat="1" ht="32.450000000000003" hidden="1" customHeight="1" x14ac:dyDescent="0.8">
      <c r="A179" s="62">
        <v>19</v>
      </c>
      <c r="B179" s="98" t="s">
        <v>162</v>
      </c>
      <c r="C179" s="68" t="s">
        <v>13</v>
      </c>
      <c r="D179" s="68" t="s">
        <v>14</v>
      </c>
      <c r="E179" s="68" t="s">
        <v>10</v>
      </c>
      <c r="F179" s="61" t="s">
        <v>94</v>
      </c>
      <c r="G179" s="61" t="s">
        <v>106</v>
      </c>
      <c r="H179" s="60" t="s">
        <v>301</v>
      </c>
      <c r="I179" s="60"/>
      <c r="J179" s="61" t="s">
        <v>323</v>
      </c>
      <c r="K179" s="62" t="s">
        <v>113</v>
      </c>
      <c r="L179" s="59" t="s">
        <v>123</v>
      </c>
      <c r="M179" s="62">
        <v>9</v>
      </c>
      <c r="N179" s="63">
        <v>58</v>
      </c>
      <c r="O179" s="64">
        <v>14.358155999999999</v>
      </c>
      <c r="P179" s="64">
        <v>99.663729000000004</v>
      </c>
      <c r="Q179" s="65" t="s">
        <v>110</v>
      </c>
      <c r="R179" s="65" t="s">
        <v>110</v>
      </c>
      <c r="S179" s="62" t="str">
        <f t="shared" si="109"/>
        <v>Complete</v>
      </c>
      <c r="T179" s="62" t="s">
        <v>124</v>
      </c>
      <c r="U179" s="65" t="s">
        <v>380</v>
      </c>
      <c r="V179" s="65" t="s">
        <v>380</v>
      </c>
      <c r="W179" s="65" t="str">
        <f t="shared" si="110"/>
        <v>Complete</v>
      </c>
      <c r="X179" s="51" t="s">
        <v>448</v>
      </c>
      <c r="Y179" s="65" t="s">
        <v>399</v>
      </c>
      <c r="Z179" s="65"/>
      <c r="AA179" s="62" t="str">
        <f t="shared" si="111"/>
        <v>In progress</v>
      </c>
      <c r="AB179" s="62"/>
      <c r="AC179" s="62"/>
      <c r="AD179" s="65" t="s">
        <v>110</v>
      </c>
      <c r="AE179" s="73">
        <v>244145</v>
      </c>
      <c r="AF179" s="65" t="str">
        <f t="shared" si="112"/>
        <v>Complete</v>
      </c>
      <c r="AG179" s="73">
        <v>244206</v>
      </c>
      <c r="AH179" s="73" t="s">
        <v>399</v>
      </c>
      <c r="AI179" s="62" t="str">
        <f t="shared" si="113"/>
        <v>Complete</v>
      </c>
      <c r="AJ179" s="62" t="s">
        <v>469</v>
      </c>
      <c r="AK179" s="62"/>
      <c r="AL179" s="62" t="str">
        <f t="shared" si="114"/>
        <v>In progress</v>
      </c>
      <c r="AM179" s="62"/>
      <c r="AN179" s="62"/>
      <c r="AO179" s="62"/>
      <c r="AP179" s="62"/>
      <c r="AQ179" s="62"/>
      <c r="AR179" s="62"/>
      <c r="AS179" s="62"/>
      <c r="AT179" s="62" t="str">
        <f t="shared" si="115"/>
        <v/>
      </c>
      <c r="AU179" s="62"/>
      <c r="AV179" s="62"/>
      <c r="AW179" s="62"/>
      <c r="AX179" s="73">
        <v>244390</v>
      </c>
      <c r="AY179" s="73">
        <v>244438</v>
      </c>
      <c r="AZ179" s="99" t="str">
        <f t="shared" si="118"/>
        <v>Complete</v>
      </c>
      <c r="BA179" s="62"/>
      <c r="BB179" s="62"/>
      <c r="BC179" s="62"/>
      <c r="BD179" s="62"/>
      <c r="BE179" s="62"/>
      <c r="BF179" s="62" t="str">
        <f t="shared" si="116"/>
        <v/>
      </c>
      <c r="BG179" s="65"/>
      <c r="BH179" s="65"/>
      <c r="BI179" s="65" t="str">
        <f t="shared" si="117"/>
        <v/>
      </c>
      <c r="BJ179" s="66"/>
      <c r="BK179" s="66"/>
      <c r="BL179" s="67"/>
      <c r="BM179" s="67"/>
    </row>
    <row r="180" spans="1:65" s="18" customFormat="1" ht="32.450000000000003" hidden="1" customHeight="1" x14ac:dyDescent="0.8">
      <c r="A180" s="62">
        <v>20</v>
      </c>
      <c r="B180" s="98" t="s">
        <v>183</v>
      </c>
      <c r="C180" s="68" t="s">
        <v>13</v>
      </c>
      <c r="D180" s="68" t="s">
        <v>14</v>
      </c>
      <c r="E180" s="68" t="s">
        <v>10</v>
      </c>
      <c r="F180" s="61" t="s">
        <v>94</v>
      </c>
      <c r="G180" s="61" t="s">
        <v>106</v>
      </c>
      <c r="H180" s="60" t="s">
        <v>301</v>
      </c>
      <c r="I180" s="60"/>
      <c r="J180" s="61" t="s">
        <v>324</v>
      </c>
      <c r="K180" s="62" t="s">
        <v>113</v>
      </c>
      <c r="L180" s="59" t="s">
        <v>123</v>
      </c>
      <c r="M180" s="62">
        <v>9</v>
      </c>
      <c r="N180" s="63">
        <v>46</v>
      </c>
      <c r="O180" s="64">
        <v>14.376531</v>
      </c>
      <c r="P180" s="64">
        <v>99.675021999999998</v>
      </c>
      <c r="Q180" s="65" t="s">
        <v>110</v>
      </c>
      <c r="R180" s="65" t="s">
        <v>110</v>
      </c>
      <c r="S180" s="62" t="str">
        <f t="shared" si="109"/>
        <v>Complete</v>
      </c>
      <c r="T180" s="62" t="s">
        <v>124</v>
      </c>
      <c r="U180" s="65" t="s">
        <v>380</v>
      </c>
      <c r="V180" s="65" t="s">
        <v>380</v>
      </c>
      <c r="W180" s="65" t="str">
        <f t="shared" si="110"/>
        <v>Complete</v>
      </c>
      <c r="X180" s="51" t="s">
        <v>448</v>
      </c>
      <c r="Y180" s="65" t="s">
        <v>399</v>
      </c>
      <c r="Z180" s="65"/>
      <c r="AA180" s="62" t="str">
        <f t="shared" si="111"/>
        <v>In progress</v>
      </c>
      <c r="AB180" s="62"/>
      <c r="AC180" s="62"/>
      <c r="AD180" s="65" t="s">
        <v>110</v>
      </c>
      <c r="AE180" s="73">
        <v>244145</v>
      </c>
      <c r="AF180" s="65" t="str">
        <f t="shared" si="112"/>
        <v>Complete</v>
      </c>
      <c r="AG180" s="73">
        <v>244206</v>
      </c>
      <c r="AH180" s="73" t="s">
        <v>399</v>
      </c>
      <c r="AI180" s="62" t="str">
        <f t="shared" si="113"/>
        <v>Complete</v>
      </c>
      <c r="AJ180" s="62" t="s">
        <v>469</v>
      </c>
      <c r="AK180" s="62"/>
      <c r="AL180" s="62" t="str">
        <f t="shared" si="114"/>
        <v>In progress</v>
      </c>
      <c r="AM180" s="62"/>
      <c r="AN180" s="62"/>
      <c r="AO180" s="62"/>
      <c r="AP180" s="62"/>
      <c r="AQ180" s="62"/>
      <c r="AR180" s="62"/>
      <c r="AS180" s="62"/>
      <c r="AT180" s="62" t="str">
        <f t="shared" si="115"/>
        <v/>
      </c>
      <c r="AU180" s="62"/>
      <c r="AV180" s="62"/>
      <c r="AW180" s="62"/>
      <c r="AX180" s="73">
        <v>244391</v>
      </c>
      <c r="AY180" s="73">
        <v>244438</v>
      </c>
      <c r="AZ180" s="99" t="str">
        <f t="shared" si="118"/>
        <v>Complete</v>
      </c>
      <c r="BA180" s="62"/>
      <c r="BB180" s="62"/>
      <c r="BC180" s="62"/>
      <c r="BD180" s="62"/>
      <c r="BE180" s="62"/>
      <c r="BF180" s="62" t="str">
        <f t="shared" si="116"/>
        <v/>
      </c>
      <c r="BG180" s="65"/>
      <c r="BH180" s="65"/>
      <c r="BI180" s="65" t="str">
        <f t="shared" si="117"/>
        <v/>
      </c>
      <c r="BJ180" s="66"/>
      <c r="BK180" s="66"/>
      <c r="BL180" s="67"/>
      <c r="BM180" s="67"/>
    </row>
    <row r="181" spans="1:65" s="18" customFormat="1" ht="32.450000000000003" hidden="1" customHeight="1" x14ac:dyDescent="0.8">
      <c r="A181" s="59">
        <v>21</v>
      </c>
      <c r="B181" s="98" t="s">
        <v>204</v>
      </c>
      <c r="C181" s="68" t="s">
        <v>13</v>
      </c>
      <c r="D181" s="68" t="s">
        <v>14</v>
      </c>
      <c r="E181" s="68" t="s">
        <v>10</v>
      </c>
      <c r="F181" s="61" t="s">
        <v>94</v>
      </c>
      <c r="G181" s="61" t="s">
        <v>106</v>
      </c>
      <c r="H181" s="60" t="s">
        <v>303</v>
      </c>
      <c r="I181" s="60"/>
      <c r="J181" s="61" t="s">
        <v>325</v>
      </c>
      <c r="K181" s="62" t="s">
        <v>113</v>
      </c>
      <c r="L181" s="59" t="s">
        <v>123</v>
      </c>
      <c r="M181" s="62">
        <v>9</v>
      </c>
      <c r="N181" s="63">
        <v>49</v>
      </c>
      <c r="O181" s="64">
        <v>14.362259999999999</v>
      </c>
      <c r="P181" s="64">
        <v>99.668807999999999</v>
      </c>
      <c r="Q181" s="65" t="s">
        <v>110</v>
      </c>
      <c r="R181" s="65" t="s">
        <v>110</v>
      </c>
      <c r="S181" s="62" t="str">
        <f t="shared" si="109"/>
        <v>Complete</v>
      </c>
      <c r="T181" s="62" t="s">
        <v>124</v>
      </c>
      <c r="U181" s="65" t="s">
        <v>380</v>
      </c>
      <c r="V181" s="65" t="s">
        <v>380</v>
      </c>
      <c r="W181" s="65" t="str">
        <f t="shared" si="110"/>
        <v>Complete</v>
      </c>
      <c r="X181" s="51" t="s">
        <v>448</v>
      </c>
      <c r="Y181" s="65" t="s">
        <v>399</v>
      </c>
      <c r="Z181" s="65"/>
      <c r="AA181" s="62" t="str">
        <f t="shared" si="111"/>
        <v>In progress</v>
      </c>
      <c r="AB181" s="62"/>
      <c r="AC181" s="62"/>
      <c r="AD181" s="65" t="s">
        <v>110</v>
      </c>
      <c r="AE181" s="73">
        <v>244145</v>
      </c>
      <c r="AF181" s="65" t="str">
        <f t="shared" si="112"/>
        <v>Complete</v>
      </c>
      <c r="AG181" s="73">
        <v>244206</v>
      </c>
      <c r="AH181" s="73" t="s">
        <v>399</v>
      </c>
      <c r="AI181" s="62" t="str">
        <f t="shared" si="113"/>
        <v>Complete</v>
      </c>
      <c r="AJ181" s="62" t="s">
        <v>469</v>
      </c>
      <c r="AK181" s="62"/>
      <c r="AL181" s="62" t="str">
        <f t="shared" si="114"/>
        <v>In progress</v>
      </c>
      <c r="AM181" s="62"/>
      <c r="AN181" s="62"/>
      <c r="AO181" s="62"/>
      <c r="AP181" s="62"/>
      <c r="AQ181" s="62"/>
      <c r="AR181" s="62"/>
      <c r="AS181" s="62"/>
      <c r="AT181" s="62" t="str">
        <f t="shared" si="115"/>
        <v/>
      </c>
      <c r="AU181" s="62"/>
      <c r="AV181" s="62"/>
      <c r="AW181" s="62"/>
      <c r="AX181" s="73">
        <v>244390</v>
      </c>
      <c r="AY181" s="73">
        <v>244438</v>
      </c>
      <c r="AZ181" s="99" t="str">
        <f t="shared" si="118"/>
        <v>Complete</v>
      </c>
      <c r="BA181" s="62"/>
      <c r="BB181" s="62"/>
      <c r="BC181" s="62"/>
      <c r="BD181" s="62"/>
      <c r="BE181" s="62"/>
      <c r="BF181" s="62" t="str">
        <f t="shared" si="116"/>
        <v/>
      </c>
      <c r="BG181" s="65"/>
      <c r="BH181" s="65"/>
      <c r="BI181" s="65" t="str">
        <f t="shared" si="117"/>
        <v/>
      </c>
      <c r="BJ181" s="66"/>
      <c r="BK181" s="66"/>
      <c r="BL181" s="67"/>
      <c r="BM181" s="67"/>
    </row>
    <row r="182" spans="1:65" s="18" customFormat="1" ht="32.450000000000003" hidden="1" customHeight="1" x14ac:dyDescent="0.8">
      <c r="A182" s="59">
        <v>22</v>
      </c>
      <c r="B182" s="98" t="s">
        <v>225</v>
      </c>
      <c r="C182" s="131" t="s">
        <v>13</v>
      </c>
      <c r="D182" s="68" t="s">
        <v>14</v>
      </c>
      <c r="E182" s="68" t="s">
        <v>10</v>
      </c>
      <c r="F182" s="61" t="s">
        <v>94</v>
      </c>
      <c r="G182" s="61" t="s">
        <v>106</v>
      </c>
      <c r="H182" s="60" t="s">
        <v>302</v>
      </c>
      <c r="I182" s="60"/>
      <c r="J182" s="61" t="s">
        <v>326</v>
      </c>
      <c r="K182" s="62" t="s">
        <v>113</v>
      </c>
      <c r="L182" s="59" t="s">
        <v>123</v>
      </c>
      <c r="M182" s="62">
        <v>9</v>
      </c>
      <c r="N182" s="63">
        <v>42</v>
      </c>
      <c r="O182" s="64">
        <v>14.391266999999999</v>
      </c>
      <c r="P182" s="64">
        <v>99.692070999999999</v>
      </c>
      <c r="Q182" s="65" t="s">
        <v>110</v>
      </c>
      <c r="R182" s="65" t="s">
        <v>110</v>
      </c>
      <c r="S182" s="62" t="str">
        <f t="shared" si="109"/>
        <v>Complete</v>
      </c>
      <c r="T182" s="62" t="s">
        <v>124</v>
      </c>
      <c r="U182" s="65" t="s">
        <v>380</v>
      </c>
      <c r="V182" s="65" t="s">
        <v>380</v>
      </c>
      <c r="W182" s="65" t="str">
        <f t="shared" si="110"/>
        <v>Complete</v>
      </c>
      <c r="X182" s="51" t="s">
        <v>448</v>
      </c>
      <c r="Y182" s="65" t="s">
        <v>399</v>
      </c>
      <c r="Z182" s="65"/>
      <c r="AA182" s="62" t="str">
        <f t="shared" si="111"/>
        <v>In progress</v>
      </c>
      <c r="AB182" s="62"/>
      <c r="AC182" s="62"/>
      <c r="AD182" s="65" t="s">
        <v>110</v>
      </c>
      <c r="AE182" s="73">
        <v>244145</v>
      </c>
      <c r="AF182" s="65" t="str">
        <f t="shared" si="112"/>
        <v>Complete</v>
      </c>
      <c r="AG182" s="73">
        <v>244206</v>
      </c>
      <c r="AH182" s="73" t="s">
        <v>399</v>
      </c>
      <c r="AI182" s="62" t="str">
        <f t="shared" si="113"/>
        <v>Complete</v>
      </c>
      <c r="AJ182" s="62" t="s">
        <v>469</v>
      </c>
      <c r="AK182" s="62"/>
      <c r="AL182" s="62" t="str">
        <f t="shared" si="114"/>
        <v>In progress</v>
      </c>
      <c r="AM182" s="62"/>
      <c r="AN182" s="62"/>
      <c r="AO182" s="62"/>
      <c r="AP182" s="62"/>
      <c r="AQ182" s="62"/>
      <c r="AR182" s="62"/>
      <c r="AS182" s="62"/>
      <c r="AT182" s="62" t="str">
        <f t="shared" si="115"/>
        <v/>
      </c>
      <c r="AU182" s="62"/>
      <c r="AV182" s="62"/>
      <c r="AW182" s="105" t="s">
        <v>484</v>
      </c>
      <c r="AX182" s="73">
        <v>244409</v>
      </c>
      <c r="AY182" s="73">
        <v>244437</v>
      </c>
      <c r="AZ182" s="99" t="str">
        <f t="shared" si="118"/>
        <v>Complete</v>
      </c>
      <c r="BA182" s="62"/>
      <c r="BB182" s="62"/>
      <c r="BC182" s="62"/>
      <c r="BD182" s="62"/>
      <c r="BE182" s="62"/>
      <c r="BF182" s="62" t="str">
        <f t="shared" si="116"/>
        <v/>
      </c>
      <c r="BG182" s="65"/>
      <c r="BH182" s="65"/>
      <c r="BI182" s="65" t="str">
        <f t="shared" si="117"/>
        <v/>
      </c>
      <c r="BJ182" s="66"/>
      <c r="BK182" s="66"/>
      <c r="BL182" s="67"/>
      <c r="BM182" s="67"/>
    </row>
    <row r="183" spans="1:65" s="18" customFormat="1" ht="32.450000000000003" hidden="1" customHeight="1" x14ac:dyDescent="0.8">
      <c r="A183" s="59">
        <v>23</v>
      </c>
      <c r="B183" s="98" t="s">
        <v>238</v>
      </c>
      <c r="C183" s="123" t="s">
        <v>13</v>
      </c>
      <c r="D183" s="68" t="s">
        <v>14</v>
      </c>
      <c r="E183" s="68" t="s">
        <v>10</v>
      </c>
      <c r="F183" s="61" t="s">
        <v>94</v>
      </c>
      <c r="G183" s="61" t="s">
        <v>106</v>
      </c>
      <c r="H183" s="60" t="s">
        <v>301</v>
      </c>
      <c r="I183" s="60"/>
      <c r="J183" s="61" t="s">
        <v>327</v>
      </c>
      <c r="K183" s="62" t="s">
        <v>113</v>
      </c>
      <c r="L183" s="59" t="s">
        <v>123</v>
      </c>
      <c r="M183" s="62">
        <v>9</v>
      </c>
      <c r="N183" s="63">
        <v>59</v>
      </c>
      <c r="O183" s="64">
        <v>14.373447000000001</v>
      </c>
      <c r="P183" s="64">
        <v>99.644687000000005</v>
      </c>
      <c r="Q183" s="65" t="s">
        <v>110</v>
      </c>
      <c r="R183" s="65" t="s">
        <v>110</v>
      </c>
      <c r="S183" s="62" t="str">
        <f t="shared" si="109"/>
        <v>Complete</v>
      </c>
      <c r="T183" s="62" t="s">
        <v>124</v>
      </c>
      <c r="U183" s="65" t="s">
        <v>380</v>
      </c>
      <c r="V183" s="65" t="s">
        <v>380</v>
      </c>
      <c r="W183" s="65" t="str">
        <f t="shared" si="110"/>
        <v>Complete</v>
      </c>
      <c r="X183" s="51" t="s">
        <v>448</v>
      </c>
      <c r="Y183" s="65" t="s">
        <v>399</v>
      </c>
      <c r="Z183" s="65"/>
      <c r="AA183" s="62" t="str">
        <f t="shared" si="111"/>
        <v>In progress</v>
      </c>
      <c r="AB183" s="62"/>
      <c r="AC183" s="62"/>
      <c r="AD183" s="65" t="s">
        <v>110</v>
      </c>
      <c r="AE183" s="73">
        <v>244145</v>
      </c>
      <c r="AF183" s="65" t="str">
        <f t="shared" si="112"/>
        <v>Complete</v>
      </c>
      <c r="AG183" s="73">
        <v>244206</v>
      </c>
      <c r="AH183" s="73" t="s">
        <v>399</v>
      </c>
      <c r="AI183" s="62" t="str">
        <f t="shared" si="113"/>
        <v>Complete</v>
      </c>
      <c r="AJ183" s="62" t="s">
        <v>469</v>
      </c>
      <c r="AK183" s="62"/>
      <c r="AL183" s="62" t="str">
        <f t="shared" si="114"/>
        <v>In progress</v>
      </c>
      <c r="AM183" s="62"/>
      <c r="AN183" s="62"/>
      <c r="AO183" s="62"/>
      <c r="AP183" s="62"/>
      <c r="AQ183" s="62"/>
      <c r="AR183" s="62"/>
      <c r="AS183" s="62"/>
      <c r="AT183" s="62" t="str">
        <f t="shared" si="115"/>
        <v/>
      </c>
      <c r="AU183" s="62"/>
      <c r="AV183" s="62"/>
      <c r="AW183" s="107"/>
      <c r="AX183" s="73">
        <v>244391</v>
      </c>
      <c r="AY183" s="73">
        <v>244437</v>
      </c>
      <c r="AZ183" s="99" t="str">
        <f t="shared" si="118"/>
        <v>Complete</v>
      </c>
      <c r="BA183" s="62"/>
      <c r="BB183" s="62"/>
      <c r="BC183" s="62"/>
      <c r="BD183" s="62"/>
      <c r="BE183" s="62"/>
      <c r="BF183" s="62" t="str">
        <f t="shared" si="116"/>
        <v/>
      </c>
      <c r="BG183" s="65"/>
      <c r="BH183" s="65"/>
      <c r="BI183" s="65" t="str">
        <f t="shared" si="117"/>
        <v/>
      </c>
      <c r="BJ183" s="66"/>
      <c r="BK183" s="66"/>
      <c r="BL183" s="67"/>
      <c r="BM183" s="67"/>
    </row>
    <row r="184" spans="1:65" s="18" customFormat="1" ht="32.450000000000003" hidden="1" customHeight="1" x14ac:dyDescent="0.8">
      <c r="A184" s="62">
        <v>24</v>
      </c>
      <c r="B184" s="98" t="s">
        <v>252</v>
      </c>
      <c r="C184" s="114" t="s">
        <v>13</v>
      </c>
      <c r="D184" s="68" t="s">
        <v>14</v>
      </c>
      <c r="E184" s="68" t="s">
        <v>10</v>
      </c>
      <c r="F184" s="61" t="s">
        <v>94</v>
      </c>
      <c r="G184" s="61" t="s">
        <v>106</v>
      </c>
      <c r="H184" s="108" t="s">
        <v>301</v>
      </c>
      <c r="I184" s="101" t="s">
        <v>304</v>
      </c>
      <c r="J184" s="61" t="s">
        <v>328</v>
      </c>
      <c r="K184" s="62" t="s">
        <v>113</v>
      </c>
      <c r="L184" s="59" t="s">
        <v>123</v>
      </c>
      <c r="M184" s="62">
        <v>9</v>
      </c>
      <c r="N184" s="63">
        <v>56</v>
      </c>
      <c r="O184" s="64">
        <v>14.376795</v>
      </c>
      <c r="P184" s="64">
        <v>99.653559999999999</v>
      </c>
      <c r="Q184" s="65" t="s">
        <v>110</v>
      </c>
      <c r="R184" s="65" t="s">
        <v>110</v>
      </c>
      <c r="S184" s="62" t="str">
        <f t="shared" si="109"/>
        <v>Complete</v>
      </c>
      <c r="T184" s="62" t="s">
        <v>124</v>
      </c>
      <c r="U184" s="65" t="s">
        <v>380</v>
      </c>
      <c r="V184" s="65" t="s">
        <v>380</v>
      </c>
      <c r="W184" s="65" t="str">
        <f t="shared" si="110"/>
        <v>Complete</v>
      </c>
      <c r="X184" s="51" t="s">
        <v>448</v>
      </c>
      <c r="Y184" s="65" t="s">
        <v>399</v>
      </c>
      <c r="Z184" s="65"/>
      <c r="AA184" s="62" t="str">
        <f t="shared" si="111"/>
        <v>In progress</v>
      </c>
      <c r="AB184" s="62"/>
      <c r="AC184" s="62"/>
      <c r="AD184" s="65" t="s">
        <v>110</v>
      </c>
      <c r="AE184" s="73">
        <v>244145</v>
      </c>
      <c r="AF184" s="65" t="str">
        <f t="shared" si="112"/>
        <v>Complete</v>
      </c>
      <c r="AG184" s="73">
        <v>244206</v>
      </c>
      <c r="AH184" s="73" t="s">
        <v>399</v>
      </c>
      <c r="AI184" s="62" t="str">
        <f t="shared" si="113"/>
        <v>Complete</v>
      </c>
      <c r="AJ184" s="62" t="s">
        <v>469</v>
      </c>
      <c r="AK184" s="62"/>
      <c r="AL184" s="62" t="str">
        <f t="shared" si="114"/>
        <v>In progress</v>
      </c>
      <c r="AM184" s="62"/>
      <c r="AN184" s="62"/>
      <c r="AO184" s="62"/>
      <c r="AP184" s="62"/>
      <c r="AQ184" s="62"/>
      <c r="AR184" s="62"/>
      <c r="AS184" s="62"/>
      <c r="AT184" s="62" t="str">
        <f t="shared" si="115"/>
        <v/>
      </c>
      <c r="AU184" s="104" t="s">
        <v>482</v>
      </c>
      <c r="AV184" s="62"/>
      <c r="AW184" s="62"/>
      <c r="AX184" s="73">
        <v>244411</v>
      </c>
      <c r="AY184" s="73">
        <v>244437</v>
      </c>
      <c r="AZ184" s="99" t="str">
        <f t="shared" si="118"/>
        <v>Complete</v>
      </c>
      <c r="BA184" s="62"/>
      <c r="BB184" s="62"/>
      <c r="BC184" s="62"/>
      <c r="BD184" s="62"/>
      <c r="BE184" s="62"/>
      <c r="BF184" s="62" t="str">
        <f t="shared" si="116"/>
        <v/>
      </c>
      <c r="BG184" s="65"/>
      <c r="BH184" s="65"/>
      <c r="BI184" s="65" t="str">
        <f t="shared" si="117"/>
        <v/>
      </c>
      <c r="BJ184" s="66"/>
      <c r="BK184" s="66"/>
      <c r="BL184" s="67"/>
      <c r="BM184" s="67"/>
    </row>
    <row r="185" spans="1:65" s="18" customFormat="1" ht="32.450000000000003" hidden="1" customHeight="1" x14ac:dyDescent="0.8">
      <c r="A185" s="62">
        <v>25</v>
      </c>
      <c r="B185" s="98" t="s">
        <v>280</v>
      </c>
      <c r="C185" s="68" t="s">
        <v>13</v>
      </c>
      <c r="D185" s="68" t="s">
        <v>14</v>
      </c>
      <c r="E185" s="68" t="s">
        <v>10</v>
      </c>
      <c r="F185" s="61" t="s">
        <v>94</v>
      </c>
      <c r="G185" s="61" t="s">
        <v>106</v>
      </c>
      <c r="H185" s="60" t="s">
        <v>301</v>
      </c>
      <c r="I185" s="60"/>
      <c r="J185" s="61" t="s">
        <v>329</v>
      </c>
      <c r="K185" s="62" t="s">
        <v>113</v>
      </c>
      <c r="L185" s="59" t="s">
        <v>123</v>
      </c>
      <c r="M185" s="62">
        <v>9</v>
      </c>
      <c r="N185" s="63">
        <v>75</v>
      </c>
      <c r="O185" s="64">
        <v>14.408834000000001</v>
      </c>
      <c r="P185" s="64">
        <v>99.644616999999997</v>
      </c>
      <c r="Q185" s="65" t="s">
        <v>110</v>
      </c>
      <c r="R185" s="65" t="s">
        <v>110</v>
      </c>
      <c r="S185" s="62" t="str">
        <f t="shared" si="109"/>
        <v>Complete</v>
      </c>
      <c r="T185" s="62" t="s">
        <v>124</v>
      </c>
      <c r="U185" s="65" t="s">
        <v>380</v>
      </c>
      <c r="V185" s="65" t="s">
        <v>380</v>
      </c>
      <c r="W185" s="65" t="str">
        <f t="shared" si="110"/>
        <v>Complete</v>
      </c>
      <c r="X185" s="51" t="s">
        <v>448</v>
      </c>
      <c r="Y185" s="65" t="s">
        <v>399</v>
      </c>
      <c r="Z185" s="65"/>
      <c r="AA185" s="62" t="str">
        <f t="shared" si="111"/>
        <v>In progress</v>
      </c>
      <c r="AB185" s="62"/>
      <c r="AC185" s="62"/>
      <c r="AD185" s="65" t="s">
        <v>110</v>
      </c>
      <c r="AE185" s="73">
        <v>244145</v>
      </c>
      <c r="AF185" s="65" t="str">
        <f t="shared" si="112"/>
        <v>Complete</v>
      </c>
      <c r="AG185" s="73">
        <v>244206</v>
      </c>
      <c r="AH185" s="73" t="s">
        <v>399</v>
      </c>
      <c r="AI185" s="62" t="str">
        <f t="shared" si="113"/>
        <v>Complete</v>
      </c>
      <c r="AJ185" s="62" t="s">
        <v>469</v>
      </c>
      <c r="AK185" s="62"/>
      <c r="AL185" s="62" t="str">
        <f t="shared" si="114"/>
        <v>In progress</v>
      </c>
      <c r="AM185" s="62"/>
      <c r="AN185" s="62"/>
      <c r="AO185" s="62"/>
      <c r="AP185" s="62"/>
      <c r="AQ185" s="62"/>
      <c r="AR185" s="62"/>
      <c r="AS185" s="62"/>
      <c r="AT185" s="62" t="str">
        <f t="shared" si="115"/>
        <v/>
      </c>
      <c r="AU185" s="62"/>
      <c r="AV185" s="62"/>
      <c r="AW185" s="62"/>
      <c r="AX185" s="73">
        <v>244391</v>
      </c>
      <c r="AY185" s="73">
        <v>244438</v>
      </c>
      <c r="AZ185" s="99" t="str">
        <f t="shared" si="118"/>
        <v>Complete</v>
      </c>
      <c r="BA185" s="62"/>
      <c r="BB185" s="62"/>
      <c r="BC185" s="62"/>
      <c r="BD185" s="62"/>
      <c r="BE185" s="62"/>
      <c r="BF185" s="62" t="str">
        <f t="shared" si="116"/>
        <v/>
      </c>
      <c r="BG185" s="65"/>
      <c r="BH185" s="65"/>
      <c r="BI185" s="65" t="str">
        <f t="shared" si="117"/>
        <v/>
      </c>
      <c r="BJ185" s="66"/>
      <c r="BK185" s="66"/>
      <c r="BL185" s="67"/>
      <c r="BM185" s="67"/>
    </row>
    <row r="186" spans="1:65" s="18" customFormat="1" ht="32.450000000000003" hidden="1" customHeight="1" x14ac:dyDescent="0.8">
      <c r="A186" s="59">
        <v>26</v>
      </c>
      <c r="B186" s="98" t="s">
        <v>163</v>
      </c>
      <c r="C186" s="68" t="s">
        <v>15</v>
      </c>
      <c r="D186" s="68" t="s">
        <v>14</v>
      </c>
      <c r="E186" s="68" t="s">
        <v>10</v>
      </c>
      <c r="F186" s="61" t="s">
        <v>94</v>
      </c>
      <c r="G186" s="61" t="s">
        <v>106</v>
      </c>
      <c r="H186" s="60" t="s">
        <v>301</v>
      </c>
      <c r="I186" s="60"/>
      <c r="J186" s="61" t="s">
        <v>330</v>
      </c>
      <c r="K186" s="62" t="s">
        <v>113</v>
      </c>
      <c r="L186" s="59" t="s">
        <v>123</v>
      </c>
      <c r="M186" s="62">
        <v>9</v>
      </c>
      <c r="N186" s="63">
        <v>26</v>
      </c>
      <c r="O186" s="64">
        <v>14.374582999999999</v>
      </c>
      <c r="P186" s="64">
        <v>99.736028000000005</v>
      </c>
      <c r="Q186" s="65" t="s">
        <v>110</v>
      </c>
      <c r="R186" s="65" t="s">
        <v>110</v>
      </c>
      <c r="S186" s="62" t="str">
        <f t="shared" si="109"/>
        <v>Complete</v>
      </c>
      <c r="T186" s="62" t="s">
        <v>124</v>
      </c>
      <c r="U186" s="65" t="s">
        <v>380</v>
      </c>
      <c r="V186" s="65" t="s">
        <v>380</v>
      </c>
      <c r="W186" s="65" t="str">
        <f t="shared" si="110"/>
        <v>Complete</v>
      </c>
      <c r="X186" s="51" t="s">
        <v>448</v>
      </c>
      <c r="Y186" s="65" t="s">
        <v>399</v>
      </c>
      <c r="Z186" s="65"/>
      <c r="AA186" s="62" t="str">
        <f t="shared" si="111"/>
        <v>In progress</v>
      </c>
      <c r="AB186" s="62"/>
      <c r="AC186" s="62"/>
      <c r="AD186" s="65" t="s">
        <v>110</v>
      </c>
      <c r="AE186" s="73">
        <v>244145</v>
      </c>
      <c r="AF186" s="65" t="str">
        <f t="shared" si="112"/>
        <v>Complete</v>
      </c>
      <c r="AG186" s="73">
        <v>244206</v>
      </c>
      <c r="AH186" s="73" t="s">
        <v>399</v>
      </c>
      <c r="AI186" s="62" t="str">
        <f t="shared" si="113"/>
        <v>Complete</v>
      </c>
      <c r="AJ186" s="62" t="s">
        <v>469</v>
      </c>
      <c r="AK186" s="62"/>
      <c r="AL186" s="62" t="str">
        <f t="shared" si="114"/>
        <v>In progress</v>
      </c>
      <c r="AM186" s="62"/>
      <c r="AN186" s="62"/>
      <c r="AO186" s="62"/>
      <c r="AP186" s="62"/>
      <c r="AQ186" s="62"/>
      <c r="AR186" s="62"/>
      <c r="AS186" s="62"/>
      <c r="AT186" s="62" t="str">
        <f t="shared" si="115"/>
        <v/>
      </c>
      <c r="AU186" s="62"/>
      <c r="AV186" s="62"/>
      <c r="AW186" s="62"/>
      <c r="AX186" s="73">
        <v>244391</v>
      </c>
      <c r="AY186" s="73">
        <v>244425</v>
      </c>
      <c r="AZ186" s="99" t="str">
        <f t="shared" si="118"/>
        <v>Complete</v>
      </c>
      <c r="BA186" s="62"/>
      <c r="BB186" s="62"/>
      <c r="BC186" s="62"/>
      <c r="BD186" s="62"/>
      <c r="BE186" s="62"/>
      <c r="BF186" s="62" t="str">
        <f t="shared" si="116"/>
        <v/>
      </c>
      <c r="BG186" s="65"/>
      <c r="BH186" s="65"/>
      <c r="BI186" s="65" t="str">
        <f t="shared" si="117"/>
        <v/>
      </c>
      <c r="BJ186" s="66"/>
      <c r="BK186" s="66"/>
      <c r="BL186" s="67"/>
      <c r="BM186" s="67"/>
    </row>
    <row r="187" spans="1:65" s="18" customFormat="1" ht="32.450000000000003" hidden="1" customHeight="1" x14ac:dyDescent="0.8">
      <c r="A187" s="59">
        <v>27</v>
      </c>
      <c r="B187" s="98" t="s">
        <v>184</v>
      </c>
      <c r="C187" s="68" t="s">
        <v>15</v>
      </c>
      <c r="D187" s="68" t="s">
        <v>14</v>
      </c>
      <c r="E187" s="68" t="s">
        <v>10</v>
      </c>
      <c r="F187" s="61" t="s">
        <v>94</v>
      </c>
      <c r="G187" s="61" t="s">
        <v>106</v>
      </c>
      <c r="H187" s="60" t="s">
        <v>301</v>
      </c>
      <c r="I187" s="60"/>
      <c r="J187" s="61" t="s">
        <v>317</v>
      </c>
      <c r="K187" s="62" t="s">
        <v>113</v>
      </c>
      <c r="L187" s="59" t="s">
        <v>123</v>
      </c>
      <c r="M187" s="62">
        <v>9</v>
      </c>
      <c r="N187" s="63">
        <v>27</v>
      </c>
      <c r="O187" s="64">
        <v>14.365289000000001</v>
      </c>
      <c r="P187" s="64">
        <v>99.727479000000002</v>
      </c>
      <c r="Q187" s="65" t="s">
        <v>110</v>
      </c>
      <c r="R187" s="65" t="s">
        <v>110</v>
      </c>
      <c r="S187" s="62" t="str">
        <f t="shared" si="109"/>
        <v>Complete</v>
      </c>
      <c r="T187" s="62" t="s">
        <v>124</v>
      </c>
      <c r="U187" s="65" t="s">
        <v>380</v>
      </c>
      <c r="V187" s="65" t="s">
        <v>380</v>
      </c>
      <c r="W187" s="65" t="str">
        <f t="shared" si="110"/>
        <v>Complete</v>
      </c>
      <c r="X187" s="51" t="s">
        <v>448</v>
      </c>
      <c r="Y187" s="65" t="s">
        <v>399</v>
      </c>
      <c r="Z187" s="65"/>
      <c r="AA187" s="62" t="str">
        <f t="shared" si="111"/>
        <v>In progress</v>
      </c>
      <c r="AB187" s="62"/>
      <c r="AC187" s="62"/>
      <c r="AD187" s="65" t="s">
        <v>110</v>
      </c>
      <c r="AE187" s="73">
        <v>244145</v>
      </c>
      <c r="AF187" s="65" t="str">
        <f t="shared" si="112"/>
        <v>Complete</v>
      </c>
      <c r="AG187" s="73">
        <v>244206</v>
      </c>
      <c r="AH187" s="73" t="s">
        <v>399</v>
      </c>
      <c r="AI187" s="62" t="str">
        <f t="shared" si="113"/>
        <v>Complete</v>
      </c>
      <c r="AJ187" s="62" t="s">
        <v>469</v>
      </c>
      <c r="AK187" s="62"/>
      <c r="AL187" s="62" t="str">
        <f t="shared" si="114"/>
        <v>In progress</v>
      </c>
      <c r="AM187" s="62"/>
      <c r="AN187" s="62"/>
      <c r="AO187" s="62"/>
      <c r="AP187" s="62"/>
      <c r="AQ187" s="62"/>
      <c r="AR187" s="62"/>
      <c r="AS187" s="62"/>
      <c r="AT187" s="62" t="str">
        <f t="shared" si="115"/>
        <v/>
      </c>
      <c r="AU187" s="62"/>
      <c r="AV187" s="62"/>
      <c r="AW187" s="62"/>
      <c r="AX187" s="73">
        <v>244391</v>
      </c>
      <c r="AY187" s="73">
        <v>244436</v>
      </c>
      <c r="AZ187" s="99" t="str">
        <f t="shared" si="118"/>
        <v>Complete</v>
      </c>
      <c r="BA187" s="62"/>
      <c r="BB187" s="62"/>
      <c r="BC187" s="62"/>
      <c r="BD187" s="62"/>
      <c r="BE187" s="62"/>
      <c r="BF187" s="62" t="str">
        <f t="shared" si="116"/>
        <v/>
      </c>
      <c r="BG187" s="65"/>
      <c r="BH187" s="65"/>
      <c r="BI187" s="65" t="str">
        <f t="shared" si="117"/>
        <v/>
      </c>
      <c r="BJ187" s="66"/>
      <c r="BK187" s="66"/>
      <c r="BL187" s="67"/>
      <c r="BM187" s="67"/>
    </row>
    <row r="188" spans="1:65" s="18" customFormat="1" ht="32.450000000000003" hidden="1" customHeight="1" x14ac:dyDescent="0.8">
      <c r="A188" s="59">
        <v>28</v>
      </c>
      <c r="B188" s="98" t="s">
        <v>239</v>
      </c>
      <c r="C188" s="68" t="s">
        <v>15</v>
      </c>
      <c r="D188" s="68" t="s">
        <v>14</v>
      </c>
      <c r="E188" s="68" t="s">
        <v>10</v>
      </c>
      <c r="F188" s="61" t="s">
        <v>94</v>
      </c>
      <c r="G188" s="61" t="s">
        <v>106</v>
      </c>
      <c r="H188" s="60" t="s">
        <v>301</v>
      </c>
      <c r="I188" s="60"/>
      <c r="J188" s="61" t="s">
        <v>331</v>
      </c>
      <c r="K188" s="62" t="s">
        <v>113</v>
      </c>
      <c r="L188" s="59" t="s">
        <v>123</v>
      </c>
      <c r="M188" s="62">
        <v>9</v>
      </c>
      <c r="N188" s="63">
        <v>28</v>
      </c>
      <c r="O188" s="64">
        <v>14.391363999999999</v>
      </c>
      <c r="P188" s="64">
        <v>99.746643000000006</v>
      </c>
      <c r="Q188" s="65" t="s">
        <v>110</v>
      </c>
      <c r="R188" s="65" t="s">
        <v>110</v>
      </c>
      <c r="S188" s="62" t="str">
        <f t="shared" si="109"/>
        <v>Complete</v>
      </c>
      <c r="T188" s="62" t="s">
        <v>124</v>
      </c>
      <c r="U188" s="65" t="s">
        <v>380</v>
      </c>
      <c r="V188" s="65" t="s">
        <v>380</v>
      </c>
      <c r="W188" s="65" t="str">
        <f t="shared" si="110"/>
        <v>Complete</v>
      </c>
      <c r="X188" s="51" t="s">
        <v>448</v>
      </c>
      <c r="Y188" s="65" t="s">
        <v>399</v>
      </c>
      <c r="Z188" s="65"/>
      <c r="AA188" s="62" t="str">
        <f t="shared" si="111"/>
        <v>In progress</v>
      </c>
      <c r="AB188" s="62"/>
      <c r="AC188" s="62"/>
      <c r="AD188" s="65" t="s">
        <v>110</v>
      </c>
      <c r="AE188" s="73">
        <v>244145</v>
      </c>
      <c r="AF188" s="65" t="str">
        <f t="shared" si="112"/>
        <v>Complete</v>
      </c>
      <c r="AG188" s="73">
        <v>244206</v>
      </c>
      <c r="AH188" s="73" t="s">
        <v>399</v>
      </c>
      <c r="AI188" s="62" t="str">
        <f t="shared" si="113"/>
        <v>Complete</v>
      </c>
      <c r="AJ188" s="62" t="s">
        <v>469</v>
      </c>
      <c r="AK188" s="62"/>
      <c r="AL188" s="62" t="str">
        <f t="shared" si="114"/>
        <v>In progress</v>
      </c>
      <c r="AM188" s="62"/>
      <c r="AN188" s="62"/>
      <c r="AO188" s="62"/>
      <c r="AP188" s="62"/>
      <c r="AQ188" s="62"/>
      <c r="AR188" s="62"/>
      <c r="AS188" s="62"/>
      <c r="AT188" s="62" t="str">
        <f t="shared" si="115"/>
        <v/>
      </c>
      <c r="AU188" s="62"/>
      <c r="AV188" s="62"/>
      <c r="AW188" s="62"/>
      <c r="AX188" s="73">
        <v>244391</v>
      </c>
      <c r="AY188" s="73">
        <v>244425</v>
      </c>
      <c r="AZ188" s="99" t="str">
        <f t="shared" si="118"/>
        <v>Complete</v>
      </c>
      <c r="BA188" s="62"/>
      <c r="BB188" s="62"/>
      <c r="BC188" s="62"/>
      <c r="BD188" s="62"/>
      <c r="BE188" s="62"/>
      <c r="BF188" s="62" t="str">
        <f t="shared" si="116"/>
        <v/>
      </c>
      <c r="BG188" s="65"/>
      <c r="BH188" s="65"/>
      <c r="BI188" s="65" t="str">
        <f t="shared" si="117"/>
        <v/>
      </c>
      <c r="BJ188" s="66"/>
      <c r="BK188" s="66"/>
      <c r="BL188" s="67"/>
      <c r="BM188" s="67"/>
    </row>
    <row r="189" spans="1:65" s="18" customFormat="1" ht="32.450000000000003" hidden="1" customHeight="1" x14ac:dyDescent="0.8">
      <c r="A189" s="62">
        <v>29</v>
      </c>
      <c r="B189" s="98" t="s">
        <v>253</v>
      </c>
      <c r="C189" s="123" t="s">
        <v>15</v>
      </c>
      <c r="D189" s="68" t="s">
        <v>14</v>
      </c>
      <c r="E189" s="68" t="s">
        <v>10</v>
      </c>
      <c r="F189" s="61" t="s">
        <v>94</v>
      </c>
      <c r="G189" s="61" t="s">
        <v>106</v>
      </c>
      <c r="H189" s="60" t="s">
        <v>302</v>
      </c>
      <c r="I189" s="60"/>
      <c r="J189" s="61" t="s">
        <v>332</v>
      </c>
      <c r="K189" s="62" t="s">
        <v>113</v>
      </c>
      <c r="L189" s="59" t="s">
        <v>123</v>
      </c>
      <c r="M189" s="62">
        <v>9</v>
      </c>
      <c r="N189" s="63">
        <v>30</v>
      </c>
      <c r="O189" s="64">
        <v>14.365251000000001</v>
      </c>
      <c r="P189" s="64">
        <v>99.716418000000004</v>
      </c>
      <c r="Q189" s="65" t="s">
        <v>110</v>
      </c>
      <c r="R189" s="65" t="s">
        <v>110</v>
      </c>
      <c r="S189" s="62" t="str">
        <f t="shared" si="109"/>
        <v>Complete</v>
      </c>
      <c r="T189" s="62" t="s">
        <v>124</v>
      </c>
      <c r="U189" s="65" t="s">
        <v>380</v>
      </c>
      <c r="V189" s="65" t="s">
        <v>380</v>
      </c>
      <c r="W189" s="65" t="str">
        <f t="shared" si="110"/>
        <v>Complete</v>
      </c>
      <c r="X189" s="51" t="s">
        <v>448</v>
      </c>
      <c r="Y189" s="65" t="s">
        <v>399</v>
      </c>
      <c r="Z189" s="65"/>
      <c r="AA189" s="62" t="str">
        <f t="shared" si="111"/>
        <v>In progress</v>
      </c>
      <c r="AB189" s="62"/>
      <c r="AC189" s="62"/>
      <c r="AD189" s="65" t="s">
        <v>110</v>
      </c>
      <c r="AE189" s="73">
        <v>244145</v>
      </c>
      <c r="AF189" s="65" t="str">
        <f t="shared" si="112"/>
        <v>Complete</v>
      </c>
      <c r="AG189" s="73">
        <v>244206</v>
      </c>
      <c r="AH189" s="73" t="s">
        <v>399</v>
      </c>
      <c r="AI189" s="62" t="str">
        <f t="shared" si="113"/>
        <v>Complete</v>
      </c>
      <c r="AJ189" s="62" t="s">
        <v>469</v>
      </c>
      <c r="AK189" s="62"/>
      <c r="AL189" s="62" t="str">
        <f t="shared" si="114"/>
        <v>In progress</v>
      </c>
      <c r="AM189" s="62"/>
      <c r="AN189" s="62"/>
      <c r="AO189" s="62"/>
      <c r="AP189" s="62"/>
      <c r="AQ189" s="62"/>
      <c r="AR189" s="62"/>
      <c r="AS189" s="62"/>
      <c r="AT189" s="62" t="str">
        <f t="shared" si="115"/>
        <v/>
      </c>
      <c r="AU189" s="62"/>
      <c r="AV189" s="62"/>
      <c r="AW189" s="107"/>
      <c r="AX189" s="73">
        <v>244391</v>
      </c>
      <c r="AY189" s="73">
        <v>244436</v>
      </c>
      <c r="AZ189" s="99" t="str">
        <f t="shared" si="118"/>
        <v>Complete</v>
      </c>
      <c r="BA189" s="62"/>
      <c r="BB189" s="62"/>
      <c r="BC189" s="62"/>
      <c r="BD189" s="62"/>
      <c r="BE189" s="62"/>
      <c r="BF189" s="62" t="str">
        <f t="shared" si="116"/>
        <v/>
      </c>
      <c r="BG189" s="65"/>
      <c r="BH189" s="65"/>
      <c r="BI189" s="65" t="str">
        <f t="shared" si="117"/>
        <v/>
      </c>
      <c r="BJ189" s="66"/>
      <c r="BK189" s="66"/>
      <c r="BL189" s="67"/>
      <c r="BM189" s="67"/>
    </row>
    <row r="190" spans="1:65" s="18" customFormat="1" ht="32.450000000000003" hidden="1" customHeight="1" x14ac:dyDescent="0.8">
      <c r="A190" s="62">
        <v>30</v>
      </c>
      <c r="B190" s="98" t="s">
        <v>281</v>
      </c>
      <c r="C190" s="68" t="s">
        <v>15</v>
      </c>
      <c r="D190" s="68" t="s">
        <v>14</v>
      </c>
      <c r="E190" s="68" t="s">
        <v>10</v>
      </c>
      <c r="F190" s="61" t="s">
        <v>94</v>
      </c>
      <c r="G190" s="61" t="s">
        <v>106</v>
      </c>
      <c r="H190" s="60" t="s">
        <v>301</v>
      </c>
      <c r="I190" s="60"/>
      <c r="J190" s="61" t="s">
        <v>333</v>
      </c>
      <c r="K190" s="62" t="s">
        <v>113</v>
      </c>
      <c r="L190" s="59" t="s">
        <v>123</v>
      </c>
      <c r="M190" s="62">
        <v>9</v>
      </c>
      <c r="N190" s="63">
        <v>26</v>
      </c>
      <c r="O190" s="64">
        <v>14.376645</v>
      </c>
      <c r="P190" s="64">
        <v>99.738810999999998</v>
      </c>
      <c r="Q190" s="65" t="s">
        <v>110</v>
      </c>
      <c r="R190" s="65" t="s">
        <v>110</v>
      </c>
      <c r="S190" s="62" t="str">
        <f t="shared" si="109"/>
        <v>Complete</v>
      </c>
      <c r="T190" s="62" t="s">
        <v>124</v>
      </c>
      <c r="U190" s="65" t="s">
        <v>380</v>
      </c>
      <c r="V190" s="65" t="s">
        <v>380</v>
      </c>
      <c r="W190" s="65" t="str">
        <f t="shared" si="110"/>
        <v>Complete</v>
      </c>
      <c r="X190" s="51" t="s">
        <v>448</v>
      </c>
      <c r="Y190" s="65" t="s">
        <v>399</v>
      </c>
      <c r="Z190" s="65"/>
      <c r="AA190" s="62" t="str">
        <f t="shared" si="111"/>
        <v>In progress</v>
      </c>
      <c r="AB190" s="62"/>
      <c r="AC190" s="62"/>
      <c r="AD190" s="65" t="s">
        <v>110</v>
      </c>
      <c r="AE190" s="73">
        <v>244145</v>
      </c>
      <c r="AF190" s="65" t="str">
        <f t="shared" si="112"/>
        <v>Complete</v>
      </c>
      <c r="AG190" s="73">
        <v>244206</v>
      </c>
      <c r="AH190" s="73" t="s">
        <v>399</v>
      </c>
      <c r="AI190" s="62" t="str">
        <f t="shared" si="113"/>
        <v>Complete</v>
      </c>
      <c r="AJ190" s="62" t="s">
        <v>469</v>
      </c>
      <c r="AK190" s="62"/>
      <c r="AL190" s="62" t="str">
        <f t="shared" si="114"/>
        <v>In progress</v>
      </c>
      <c r="AM190" s="62"/>
      <c r="AN190" s="62"/>
      <c r="AO190" s="62"/>
      <c r="AP190" s="62"/>
      <c r="AQ190" s="62"/>
      <c r="AR190" s="62"/>
      <c r="AS190" s="62"/>
      <c r="AT190" s="62" t="str">
        <f t="shared" si="115"/>
        <v/>
      </c>
      <c r="AU190" s="62"/>
      <c r="AV190" s="62"/>
      <c r="AW190" s="62"/>
      <c r="AX190" s="73">
        <v>244391</v>
      </c>
      <c r="AY190" s="73">
        <v>244431</v>
      </c>
      <c r="AZ190" s="99" t="str">
        <f t="shared" si="118"/>
        <v>Complete</v>
      </c>
      <c r="BA190" s="62"/>
      <c r="BB190" s="62"/>
      <c r="BC190" s="62"/>
      <c r="BD190" s="62"/>
      <c r="BE190" s="62"/>
      <c r="BF190" s="62" t="str">
        <f t="shared" si="116"/>
        <v/>
      </c>
      <c r="BG190" s="65"/>
      <c r="BH190" s="65"/>
      <c r="BI190" s="65" t="str">
        <f t="shared" si="117"/>
        <v/>
      </c>
      <c r="BJ190" s="66"/>
      <c r="BK190" s="66"/>
      <c r="BL190" s="67"/>
      <c r="BM190" s="67"/>
    </row>
    <row r="191" spans="1:65" x14ac:dyDescent="0.7">
      <c r="B191" s="19"/>
      <c r="C191" s="19"/>
      <c r="D191" s="19"/>
      <c r="E191" s="19"/>
      <c r="F191" s="19"/>
      <c r="O191" s="20"/>
      <c r="P191" s="20"/>
    </row>
    <row r="192" spans="1:65" x14ac:dyDescent="0.7">
      <c r="D192" s="19"/>
      <c r="E192" s="19"/>
      <c r="F192" s="19"/>
      <c r="O192" s="20"/>
      <c r="P192" s="20"/>
    </row>
    <row r="193" spans="2:63" x14ac:dyDescent="0.7">
      <c r="D193" s="19"/>
      <c r="E193" s="19"/>
      <c r="F193" s="19"/>
      <c r="O193" s="20"/>
      <c r="P193" s="20"/>
    </row>
    <row r="194" spans="2:63" x14ac:dyDescent="0.7">
      <c r="B194" s="15"/>
      <c r="C194" s="15"/>
      <c r="D194" s="19"/>
      <c r="E194" s="19"/>
      <c r="F194" s="19"/>
      <c r="O194" s="20"/>
      <c r="P194" s="20"/>
    </row>
    <row r="195" spans="2:63" x14ac:dyDescent="0.7">
      <c r="B195" s="21"/>
      <c r="C195" s="72"/>
      <c r="D195" s="19"/>
      <c r="E195" s="19"/>
      <c r="F195" s="19"/>
      <c r="O195" s="20"/>
      <c r="P195" s="20"/>
    </row>
    <row r="196" spans="2:63" x14ac:dyDescent="0.7">
      <c r="B196" s="21"/>
      <c r="C196" s="72"/>
      <c r="D196" s="19"/>
      <c r="E196" s="19"/>
      <c r="F196" s="19"/>
      <c r="P196" s="20"/>
    </row>
    <row r="197" spans="2:63" s="23" customFormat="1" x14ac:dyDescent="0.2">
      <c r="B197" s="21"/>
      <c r="C197" s="72"/>
      <c r="D197" s="21"/>
      <c r="E197" s="21"/>
      <c r="F197" s="21"/>
      <c r="G197" s="21"/>
      <c r="H197" s="21"/>
      <c r="I197" s="21"/>
      <c r="J197" s="21"/>
      <c r="K197" s="22"/>
      <c r="L197" s="22"/>
      <c r="M197" s="22"/>
      <c r="N197" s="22"/>
      <c r="P197" s="22"/>
      <c r="Q197" s="22"/>
      <c r="R197" s="22"/>
      <c r="S197" s="22"/>
      <c r="T197" s="22"/>
      <c r="U197" s="30"/>
      <c r="V197" s="30"/>
      <c r="W197" s="22"/>
      <c r="X197" s="22"/>
      <c r="Y197" s="22"/>
      <c r="Z197" s="22"/>
      <c r="AA197" s="22"/>
      <c r="AB197" s="22"/>
      <c r="AC197" s="22"/>
      <c r="AD197" s="30"/>
      <c r="AE197" s="30"/>
      <c r="AF197" s="30"/>
      <c r="AG197" s="30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30"/>
      <c r="BH197" s="30"/>
      <c r="BI197" s="30"/>
      <c r="BJ197" s="30"/>
      <c r="BK197" s="30"/>
    </row>
    <row r="198" spans="2:63" s="23" customFormat="1" x14ac:dyDescent="0.2">
      <c r="B198" s="24"/>
      <c r="C198" s="24"/>
      <c r="D198" s="21"/>
      <c r="E198" s="21"/>
      <c r="F198" s="21"/>
      <c r="G198" s="21"/>
      <c r="H198" s="21"/>
      <c r="I198" s="21"/>
      <c r="J198" s="21"/>
      <c r="K198" s="22"/>
      <c r="L198" s="22"/>
      <c r="M198" s="22"/>
      <c r="N198" s="22"/>
      <c r="P198" s="22"/>
      <c r="Q198" s="22"/>
      <c r="R198" s="22"/>
      <c r="S198" s="22"/>
      <c r="T198" s="22"/>
      <c r="U198" s="30"/>
      <c r="V198" s="30"/>
      <c r="W198" s="22"/>
      <c r="X198" s="22"/>
      <c r="Y198" s="22"/>
      <c r="Z198" s="22"/>
      <c r="AA198" s="22"/>
      <c r="AB198" s="22"/>
      <c r="AC198" s="22"/>
      <c r="AD198" s="30"/>
      <c r="AE198" s="30"/>
      <c r="AF198" s="30"/>
      <c r="AG198" s="30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30"/>
      <c r="BH198" s="30"/>
      <c r="BI198" s="30"/>
      <c r="BJ198" s="30"/>
      <c r="BK198" s="30"/>
    </row>
    <row r="199" spans="2:63" s="23" customFormat="1" x14ac:dyDescent="0.2">
      <c r="B199" s="24"/>
      <c r="C199" s="24"/>
      <c r="D199" s="21"/>
      <c r="E199" s="21"/>
      <c r="F199" s="21"/>
      <c r="G199" s="21"/>
      <c r="H199" s="21"/>
      <c r="I199" s="21"/>
      <c r="J199" s="21"/>
      <c r="K199" s="22"/>
      <c r="L199" s="22"/>
      <c r="M199" s="22"/>
      <c r="N199" s="22"/>
      <c r="P199" s="22"/>
      <c r="Q199" s="22"/>
      <c r="R199" s="22"/>
      <c r="S199" s="22"/>
      <c r="T199" s="22"/>
      <c r="U199" s="30"/>
      <c r="V199" s="30"/>
      <c r="W199" s="22"/>
      <c r="X199" s="22"/>
      <c r="Y199" s="22"/>
      <c r="Z199" s="22"/>
      <c r="AA199" s="22"/>
      <c r="AB199" s="22"/>
      <c r="AC199" s="22"/>
      <c r="AD199" s="30"/>
      <c r="AE199" s="30"/>
      <c r="AF199" s="30"/>
      <c r="AG199" s="30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30"/>
      <c r="BH199" s="30"/>
      <c r="BI199" s="30"/>
      <c r="BJ199" s="30"/>
      <c r="BK199" s="30"/>
    </row>
    <row r="200" spans="2:63" s="23" customFormat="1" x14ac:dyDescent="0.2">
      <c r="B200" s="24"/>
      <c r="C200" s="24"/>
      <c r="D200" s="21"/>
      <c r="E200" s="21"/>
      <c r="F200" s="21"/>
      <c r="G200" s="21"/>
      <c r="H200" s="21"/>
      <c r="I200" s="21"/>
      <c r="J200" s="21"/>
      <c r="K200" s="22"/>
      <c r="L200" s="22"/>
      <c r="M200" s="22"/>
      <c r="N200" s="22"/>
      <c r="P200" s="22"/>
      <c r="Q200" s="22"/>
      <c r="R200" s="22"/>
      <c r="S200" s="22"/>
      <c r="T200" s="22"/>
      <c r="U200" s="30"/>
      <c r="V200" s="30"/>
      <c r="W200" s="22"/>
      <c r="X200" s="22"/>
      <c r="Y200" s="22"/>
      <c r="Z200" s="22"/>
      <c r="AA200" s="22"/>
      <c r="AB200" s="22"/>
      <c r="AC200" s="22"/>
      <c r="AD200" s="30"/>
      <c r="AE200" s="30"/>
      <c r="AF200" s="30"/>
      <c r="AG200" s="30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30"/>
      <c r="BH200" s="30"/>
      <c r="BI200" s="30"/>
      <c r="BJ200" s="30"/>
      <c r="BK200" s="30"/>
    </row>
    <row r="201" spans="2:63" s="23" customFormat="1" x14ac:dyDescent="0.2">
      <c r="D201" s="21"/>
      <c r="G201" s="21"/>
      <c r="H201" s="21"/>
      <c r="I201" s="21"/>
      <c r="J201" s="21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30"/>
      <c r="V201" s="30"/>
      <c r="W201" s="22"/>
      <c r="X201" s="22"/>
      <c r="Y201" s="22"/>
      <c r="Z201" s="22"/>
      <c r="AA201" s="22"/>
      <c r="AB201" s="22"/>
      <c r="AC201" s="22"/>
      <c r="AD201" s="30"/>
      <c r="AE201" s="30"/>
      <c r="AF201" s="30"/>
      <c r="AG201" s="30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30"/>
      <c r="BH201" s="30"/>
      <c r="BI201" s="30"/>
      <c r="BJ201" s="30"/>
      <c r="BK201" s="30"/>
    </row>
    <row r="202" spans="2:63" s="23" customFormat="1" x14ac:dyDescent="0.2">
      <c r="D202" s="21"/>
      <c r="G202" s="21"/>
      <c r="H202" s="21"/>
      <c r="I202" s="21"/>
      <c r="J202" s="21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30"/>
      <c r="V202" s="30"/>
      <c r="W202" s="22"/>
      <c r="X202" s="22"/>
      <c r="Y202" s="22"/>
      <c r="Z202" s="22"/>
      <c r="AA202" s="22"/>
      <c r="AB202" s="22"/>
      <c r="AC202" s="22"/>
      <c r="AD202" s="30"/>
      <c r="AE202" s="30"/>
      <c r="AF202" s="30"/>
      <c r="AG202" s="30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30"/>
      <c r="BH202" s="30"/>
      <c r="BI202" s="30"/>
      <c r="BJ202" s="30"/>
      <c r="BK202" s="30"/>
    </row>
    <row r="203" spans="2:63" s="23" customFormat="1" x14ac:dyDescent="0.2">
      <c r="D203" s="21"/>
      <c r="G203" s="21"/>
      <c r="H203" s="21"/>
      <c r="I203" s="21"/>
      <c r="J203" s="21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30"/>
      <c r="V203" s="30"/>
      <c r="W203" s="22"/>
      <c r="X203" s="22"/>
      <c r="Y203" s="22"/>
      <c r="Z203" s="22"/>
      <c r="AA203" s="22"/>
      <c r="AB203" s="22"/>
      <c r="AC203" s="22"/>
      <c r="AD203" s="30"/>
      <c r="AE203" s="30"/>
      <c r="AF203" s="30"/>
      <c r="AG203" s="30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30"/>
      <c r="BH203" s="30"/>
      <c r="BI203" s="30"/>
      <c r="BJ203" s="30"/>
      <c r="BK203" s="30"/>
    </row>
    <row r="204" spans="2:63" s="23" customFormat="1" x14ac:dyDescent="0.2">
      <c r="D204" s="21"/>
      <c r="G204" s="21"/>
      <c r="H204" s="21"/>
      <c r="I204" s="21"/>
      <c r="J204" s="21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30"/>
      <c r="V204" s="30"/>
      <c r="W204" s="22"/>
      <c r="X204" s="22"/>
      <c r="Y204" s="22"/>
      <c r="Z204" s="22"/>
      <c r="AA204" s="22"/>
      <c r="AB204" s="22"/>
      <c r="AC204" s="22"/>
      <c r="AD204" s="30"/>
      <c r="AE204" s="30"/>
      <c r="AF204" s="30"/>
      <c r="AG204" s="30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30"/>
      <c r="BH204" s="30"/>
      <c r="BI204" s="30"/>
      <c r="BJ204" s="30"/>
      <c r="BK204" s="30"/>
    </row>
    <row r="205" spans="2:63" s="23" customFormat="1" x14ac:dyDescent="0.2">
      <c r="D205" s="21"/>
      <c r="G205" s="21"/>
      <c r="H205" s="21"/>
      <c r="I205" s="21"/>
      <c r="J205" s="21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30"/>
      <c r="V205" s="30"/>
      <c r="W205" s="22"/>
      <c r="X205" s="22"/>
      <c r="Y205" s="22"/>
      <c r="Z205" s="22"/>
      <c r="AA205" s="22"/>
      <c r="AB205" s="22"/>
      <c r="AC205" s="22"/>
      <c r="AD205" s="30"/>
      <c r="AE205" s="30"/>
      <c r="AF205" s="30"/>
      <c r="AG205" s="30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30"/>
      <c r="BH205" s="30"/>
      <c r="BI205" s="30"/>
      <c r="BJ205" s="30"/>
      <c r="BK205" s="30"/>
    </row>
    <row r="206" spans="2:63" s="15" customFormat="1" x14ac:dyDescent="0.7">
      <c r="B206" s="19"/>
      <c r="C206" s="19"/>
      <c r="D206" s="25"/>
      <c r="E206" s="25"/>
      <c r="F206" s="25"/>
      <c r="G206" s="25"/>
      <c r="H206" s="25"/>
      <c r="I206" s="25"/>
      <c r="J206" s="25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31"/>
      <c r="V206" s="31"/>
      <c r="W206" s="14"/>
      <c r="X206" s="14"/>
      <c r="Y206" s="14"/>
      <c r="Z206" s="14"/>
      <c r="AA206" s="14"/>
      <c r="AB206" s="14"/>
      <c r="AC206" s="14"/>
      <c r="AD206" s="31"/>
      <c r="AE206" s="31"/>
      <c r="AF206" s="31"/>
      <c r="AG206" s="31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31"/>
      <c r="BH206" s="31"/>
      <c r="BI206" s="31"/>
      <c r="BJ206" s="31"/>
      <c r="BK206" s="31"/>
    </row>
    <row r="207" spans="2:63" x14ac:dyDescent="0.7">
      <c r="B207" s="19"/>
      <c r="C207" s="19"/>
      <c r="D207" s="19"/>
      <c r="E207" s="19"/>
      <c r="F207" s="19"/>
      <c r="O207" s="20"/>
      <c r="P207" s="20"/>
    </row>
    <row r="208" spans="2:63" x14ac:dyDescent="0.7">
      <c r="B208" s="19"/>
      <c r="C208" s="19"/>
      <c r="D208" s="19"/>
      <c r="E208" s="19"/>
      <c r="F208" s="19"/>
      <c r="O208" s="20"/>
      <c r="P208" s="20"/>
    </row>
    <row r="209" spans="2:16" x14ac:dyDescent="0.7">
      <c r="B209" s="19"/>
      <c r="C209" s="19"/>
      <c r="D209" s="19"/>
      <c r="E209" s="19"/>
      <c r="F209" s="19"/>
      <c r="O209" s="20"/>
      <c r="P209" s="20"/>
    </row>
    <row r="210" spans="2:16" x14ac:dyDescent="0.7">
      <c r="B210" s="19"/>
      <c r="C210" s="19"/>
      <c r="D210" s="19"/>
      <c r="E210" s="19"/>
      <c r="F210" s="19"/>
      <c r="O210" s="20"/>
      <c r="P210" s="20"/>
    </row>
    <row r="211" spans="2:16" x14ac:dyDescent="0.7">
      <c r="B211" s="19"/>
      <c r="C211" s="19"/>
      <c r="D211" s="19"/>
      <c r="E211" s="19"/>
      <c r="F211" s="19"/>
      <c r="O211" s="20"/>
      <c r="P211" s="20"/>
    </row>
    <row r="212" spans="2:16" x14ac:dyDescent="0.7">
      <c r="B212" s="19"/>
      <c r="C212" s="19"/>
      <c r="D212" s="19"/>
      <c r="E212" s="19"/>
      <c r="F212" s="19"/>
      <c r="O212" s="20"/>
      <c r="P212" s="20"/>
    </row>
    <row r="213" spans="2:16" x14ac:dyDescent="0.7">
      <c r="B213" s="19"/>
      <c r="C213" s="19"/>
      <c r="D213" s="19"/>
      <c r="E213" s="19"/>
      <c r="F213" s="19"/>
      <c r="O213" s="20"/>
      <c r="P213" s="20"/>
    </row>
    <row r="214" spans="2:16" x14ac:dyDescent="0.7">
      <c r="B214" s="19"/>
      <c r="C214" s="19"/>
      <c r="D214" s="19"/>
      <c r="E214" s="19"/>
      <c r="F214" s="19"/>
      <c r="O214" s="20"/>
      <c r="P214" s="20"/>
    </row>
    <row r="215" spans="2:16" x14ac:dyDescent="0.7">
      <c r="B215" s="19"/>
      <c r="C215" s="19"/>
      <c r="D215" s="19"/>
      <c r="E215" s="19"/>
      <c r="F215" s="19"/>
      <c r="O215" s="20"/>
      <c r="P215" s="20"/>
    </row>
    <row r="216" spans="2:16" x14ac:dyDescent="0.7">
      <c r="B216" s="19"/>
      <c r="C216" s="19"/>
      <c r="D216" s="19"/>
      <c r="E216" s="19"/>
      <c r="F216" s="19"/>
      <c r="O216" s="20"/>
      <c r="P216" s="20"/>
    </row>
    <row r="217" spans="2:16" x14ac:dyDescent="0.7">
      <c r="B217" s="19"/>
      <c r="C217" s="19"/>
      <c r="D217" s="19"/>
      <c r="E217" s="19"/>
      <c r="F217" s="19"/>
      <c r="O217" s="20"/>
      <c r="P217" s="20"/>
    </row>
    <row r="218" spans="2:16" x14ac:dyDescent="0.7">
      <c r="B218" s="19"/>
      <c r="C218" s="19"/>
      <c r="D218" s="19"/>
      <c r="E218" s="19"/>
      <c r="F218" s="19"/>
      <c r="O218" s="20"/>
      <c r="P218" s="20"/>
    </row>
    <row r="219" spans="2:16" x14ac:dyDescent="0.7">
      <c r="B219" s="19"/>
      <c r="C219" s="19"/>
      <c r="D219" s="19"/>
      <c r="E219" s="19"/>
      <c r="F219" s="19"/>
      <c r="O219" s="20"/>
      <c r="P219" s="20"/>
    </row>
    <row r="220" spans="2:16" x14ac:dyDescent="0.7">
      <c r="B220" s="19"/>
      <c r="C220" s="19"/>
      <c r="D220" s="19"/>
      <c r="E220" s="19"/>
      <c r="F220" s="19"/>
      <c r="O220" s="20"/>
      <c r="P220" s="20"/>
    </row>
    <row r="221" spans="2:16" x14ac:dyDescent="0.7">
      <c r="B221" s="19"/>
      <c r="C221" s="19"/>
      <c r="D221" s="19"/>
      <c r="E221" s="19"/>
      <c r="F221" s="19"/>
      <c r="O221" s="20"/>
      <c r="P221" s="20"/>
    </row>
    <row r="222" spans="2:16" x14ac:dyDescent="0.7">
      <c r="B222" s="19"/>
      <c r="C222" s="19"/>
      <c r="D222" s="19"/>
      <c r="E222" s="19"/>
      <c r="F222" s="19"/>
      <c r="O222" s="20"/>
      <c r="P222" s="20"/>
    </row>
    <row r="223" spans="2:16" x14ac:dyDescent="0.7">
      <c r="B223" s="19"/>
      <c r="C223" s="19"/>
      <c r="D223" s="19"/>
      <c r="E223" s="19"/>
      <c r="F223" s="19"/>
      <c r="O223" s="20"/>
      <c r="P223" s="20"/>
    </row>
    <row r="224" spans="2:16" x14ac:dyDescent="0.7">
      <c r="B224" s="19"/>
      <c r="C224" s="19"/>
      <c r="D224" s="19"/>
      <c r="E224" s="19"/>
      <c r="F224" s="19"/>
      <c r="O224" s="20"/>
      <c r="P224" s="20"/>
    </row>
    <row r="225" spans="2:16" x14ac:dyDescent="0.7">
      <c r="B225" s="19"/>
      <c r="C225" s="19"/>
      <c r="D225" s="19"/>
      <c r="E225" s="19"/>
      <c r="F225" s="19"/>
      <c r="O225" s="20"/>
      <c r="P225" s="20"/>
    </row>
    <row r="226" spans="2:16" x14ac:dyDescent="0.7">
      <c r="B226" s="19"/>
      <c r="C226" s="19"/>
      <c r="D226" s="19"/>
      <c r="E226" s="19"/>
      <c r="F226" s="19"/>
      <c r="O226" s="20"/>
      <c r="P226" s="20"/>
    </row>
    <row r="227" spans="2:16" x14ac:dyDescent="0.7">
      <c r="B227" s="19"/>
      <c r="C227" s="19"/>
      <c r="D227" s="19"/>
      <c r="E227" s="19"/>
      <c r="F227" s="19"/>
      <c r="O227" s="20"/>
      <c r="P227" s="20"/>
    </row>
    <row r="228" spans="2:16" x14ac:dyDescent="0.7">
      <c r="B228" s="19"/>
      <c r="C228" s="19"/>
      <c r="D228" s="19"/>
      <c r="E228" s="19"/>
      <c r="F228" s="19"/>
      <c r="O228" s="20"/>
      <c r="P228" s="20"/>
    </row>
    <row r="229" spans="2:16" x14ac:dyDescent="0.7">
      <c r="B229" s="19"/>
      <c r="C229" s="19"/>
      <c r="D229" s="19"/>
      <c r="E229" s="19"/>
      <c r="F229" s="19"/>
      <c r="O229" s="20"/>
      <c r="P229" s="20"/>
    </row>
    <row r="230" spans="2:16" x14ac:dyDescent="0.7">
      <c r="B230" s="19"/>
      <c r="C230" s="19"/>
      <c r="D230" s="19"/>
      <c r="E230" s="19"/>
      <c r="F230" s="19"/>
      <c r="O230" s="20"/>
      <c r="P230" s="20"/>
    </row>
    <row r="231" spans="2:16" x14ac:dyDescent="0.7">
      <c r="B231" s="19"/>
      <c r="C231" s="19"/>
      <c r="D231" s="19"/>
      <c r="E231" s="19"/>
      <c r="F231" s="19"/>
      <c r="O231" s="20"/>
      <c r="P231" s="20"/>
    </row>
    <row r="232" spans="2:16" x14ac:dyDescent="0.7">
      <c r="B232" s="19"/>
      <c r="C232" s="19"/>
      <c r="D232" s="19"/>
      <c r="E232" s="19"/>
      <c r="F232" s="19"/>
      <c r="O232" s="20"/>
      <c r="P232" s="20"/>
    </row>
    <row r="233" spans="2:16" x14ac:dyDescent="0.7">
      <c r="B233" s="19"/>
      <c r="C233" s="19"/>
      <c r="D233" s="19"/>
      <c r="E233" s="19"/>
      <c r="F233" s="19"/>
      <c r="O233" s="20"/>
      <c r="P233" s="20"/>
    </row>
    <row r="234" spans="2:16" x14ac:dyDescent="0.7">
      <c r="B234" s="19"/>
      <c r="C234" s="19"/>
      <c r="D234" s="19"/>
      <c r="E234" s="19"/>
      <c r="F234" s="19"/>
      <c r="O234" s="20"/>
      <c r="P234" s="20"/>
    </row>
    <row r="235" spans="2:16" x14ac:dyDescent="0.7">
      <c r="B235" s="19"/>
      <c r="C235" s="19"/>
      <c r="D235" s="19"/>
      <c r="E235" s="19"/>
      <c r="F235" s="19"/>
      <c r="O235" s="20"/>
      <c r="P235" s="20"/>
    </row>
    <row r="236" spans="2:16" x14ac:dyDescent="0.7">
      <c r="B236" s="19"/>
      <c r="C236" s="19"/>
      <c r="D236" s="19"/>
      <c r="E236" s="19"/>
      <c r="F236" s="19"/>
      <c r="O236" s="20"/>
      <c r="P236" s="20"/>
    </row>
    <row r="237" spans="2:16" x14ac:dyDescent="0.7">
      <c r="B237" s="19"/>
      <c r="C237" s="19"/>
      <c r="D237" s="19"/>
      <c r="E237" s="19"/>
      <c r="F237" s="19"/>
      <c r="O237" s="20"/>
      <c r="P237" s="20"/>
    </row>
    <row r="238" spans="2:16" x14ac:dyDescent="0.7">
      <c r="B238" s="19"/>
      <c r="C238" s="19"/>
      <c r="D238" s="19"/>
      <c r="E238" s="19"/>
      <c r="F238" s="19"/>
      <c r="O238" s="20"/>
      <c r="P238" s="20"/>
    </row>
    <row r="239" spans="2:16" x14ac:dyDescent="0.7">
      <c r="B239" s="19"/>
      <c r="C239" s="19"/>
      <c r="D239" s="19"/>
      <c r="E239" s="19"/>
      <c r="F239" s="19"/>
      <c r="O239" s="20"/>
      <c r="P239" s="20"/>
    </row>
    <row r="240" spans="2:16" x14ac:dyDescent="0.7">
      <c r="B240" s="19"/>
      <c r="C240" s="19"/>
      <c r="D240" s="19"/>
      <c r="E240" s="19"/>
      <c r="F240" s="19"/>
      <c r="O240" s="20"/>
      <c r="P240" s="20"/>
    </row>
    <row r="241" spans="2:16" x14ac:dyDescent="0.7">
      <c r="B241" s="19"/>
      <c r="C241" s="19"/>
      <c r="D241" s="19"/>
      <c r="E241" s="19"/>
      <c r="F241" s="19"/>
      <c r="O241" s="20"/>
      <c r="P241" s="20"/>
    </row>
    <row r="242" spans="2:16" x14ac:dyDescent="0.7">
      <c r="B242" s="19"/>
      <c r="C242" s="19"/>
      <c r="D242" s="19"/>
      <c r="E242" s="19"/>
      <c r="F242" s="19"/>
      <c r="O242" s="20"/>
      <c r="P242" s="20"/>
    </row>
    <row r="243" spans="2:16" x14ac:dyDescent="0.7">
      <c r="B243" s="19"/>
      <c r="C243" s="19"/>
      <c r="D243" s="19"/>
      <c r="E243" s="19"/>
      <c r="F243" s="19"/>
      <c r="O243" s="20"/>
      <c r="P243" s="20"/>
    </row>
    <row r="244" spans="2:16" x14ac:dyDescent="0.7">
      <c r="B244" s="19"/>
      <c r="C244" s="19"/>
      <c r="D244" s="19"/>
      <c r="E244" s="19"/>
      <c r="F244" s="19"/>
      <c r="O244" s="20"/>
      <c r="P244" s="20"/>
    </row>
    <row r="245" spans="2:16" x14ac:dyDescent="0.7">
      <c r="B245" s="19"/>
      <c r="C245" s="19"/>
      <c r="D245" s="19"/>
      <c r="E245" s="19"/>
      <c r="F245" s="19"/>
      <c r="O245" s="20"/>
      <c r="P245" s="20"/>
    </row>
    <row r="246" spans="2:16" x14ac:dyDescent="0.7">
      <c r="B246" s="19"/>
      <c r="C246" s="19"/>
      <c r="D246" s="19"/>
      <c r="E246" s="19"/>
      <c r="F246" s="19"/>
      <c r="O246" s="20"/>
      <c r="P246" s="20"/>
    </row>
    <row r="247" spans="2:16" x14ac:dyDescent="0.7">
      <c r="B247" s="19"/>
      <c r="C247" s="19"/>
      <c r="D247" s="19"/>
      <c r="E247" s="19"/>
      <c r="F247" s="19"/>
      <c r="O247" s="20"/>
      <c r="P247" s="20"/>
    </row>
    <row r="248" spans="2:16" x14ac:dyDescent="0.7">
      <c r="B248" s="19"/>
      <c r="C248" s="19"/>
      <c r="D248" s="19"/>
      <c r="E248" s="19"/>
      <c r="F248" s="19"/>
      <c r="O248" s="20"/>
      <c r="P248" s="20"/>
    </row>
    <row r="249" spans="2:16" x14ac:dyDescent="0.7">
      <c r="B249" s="19"/>
      <c r="C249" s="19"/>
      <c r="D249" s="19"/>
      <c r="E249" s="19"/>
      <c r="F249" s="19"/>
      <c r="O249" s="20"/>
      <c r="P249" s="20"/>
    </row>
    <row r="250" spans="2:16" x14ac:dyDescent="0.7">
      <c r="B250" s="19"/>
      <c r="C250" s="19"/>
      <c r="D250" s="19"/>
      <c r="E250" s="19"/>
      <c r="F250" s="19"/>
      <c r="O250" s="20"/>
      <c r="P250" s="20"/>
    </row>
    <row r="251" spans="2:16" x14ac:dyDescent="0.7">
      <c r="B251" s="19"/>
      <c r="C251" s="19"/>
      <c r="D251" s="19"/>
      <c r="E251" s="19"/>
      <c r="F251" s="19"/>
      <c r="O251" s="20"/>
      <c r="P251" s="20"/>
    </row>
    <row r="252" spans="2:16" x14ac:dyDescent="0.7">
      <c r="B252" s="19"/>
      <c r="C252" s="19"/>
      <c r="D252" s="19"/>
      <c r="E252" s="19"/>
      <c r="F252" s="19"/>
      <c r="O252" s="20"/>
      <c r="P252" s="20"/>
    </row>
    <row r="253" spans="2:16" x14ac:dyDescent="0.7">
      <c r="B253" s="19"/>
      <c r="C253" s="19"/>
      <c r="D253" s="19"/>
      <c r="E253" s="19"/>
      <c r="F253" s="19"/>
      <c r="O253" s="20"/>
      <c r="P253" s="20"/>
    </row>
    <row r="254" spans="2:16" x14ac:dyDescent="0.7">
      <c r="B254" s="19"/>
      <c r="C254" s="19"/>
      <c r="D254" s="19"/>
      <c r="E254" s="19"/>
      <c r="F254" s="19"/>
      <c r="O254" s="20"/>
      <c r="P254" s="20"/>
    </row>
    <row r="255" spans="2:16" x14ac:dyDescent="0.7">
      <c r="B255" s="19"/>
      <c r="C255" s="19"/>
      <c r="D255" s="19"/>
      <c r="E255" s="19"/>
      <c r="F255" s="19"/>
      <c r="O255" s="20"/>
      <c r="P255" s="20"/>
    </row>
    <row r="256" spans="2:16" x14ac:dyDescent="0.7">
      <c r="B256" s="19"/>
      <c r="C256" s="19"/>
      <c r="D256" s="19"/>
      <c r="E256" s="19"/>
      <c r="F256" s="19"/>
      <c r="O256" s="20"/>
      <c r="P256" s="20"/>
    </row>
    <row r="257" spans="2:16" x14ac:dyDescent="0.7">
      <c r="B257" s="19"/>
      <c r="C257" s="19"/>
      <c r="D257" s="19"/>
      <c r="E257" s="19"/>
      <c r="F257" s="19"/>
      <c r="O257" s="20"/>
      <c r="P257" s="20"/>
    </row>
    <row r="258" spans="2:16" x14ac:dyDescent="0.7">
      <c r="B258" s="19"/>
      <c r="C258" s="19"/>
      <c r="D258" s="19"/>
      <c r="E258" s="19"/>
      <c r="F258" s="19"/>
      <c r="O258" s="20"/>
      <c r="P258" s="20"/>
    </row>
    <row r="259" spans="2:16" x14ac:dyDescent="0.7">
      <c r="B259" s="19"/>
      <c r="C259" s="19"/>
      <c r="D259" s="19"/>
      <c r="E259" s="19"/>
      <c r="F259" s="19"/>
      <c r="O259" s="20"/>
      <c r="P259" s="20"/>
    </row>
    <row r="260" spans="2:16" x14ac:dyDescent="0.7">
      <c r="B260" s="19"/>
      <c r="C260" s="19"/>
      <c r="D260" s="19"/>
      <c r="E260" s="19"/>
      <c r="F260" s="19"/>
      <c r="O260" s="20"/>
      <c r="P260" s="20"/>
    </row>
    <row r="261" spans="2:16" x14ac:dyDescent="0.7">
      <c r="B261" s="19"/>
      <c r="C261" s="19"/>
      <c r="D261" s="19"/>
      <c r="E261" s="19"/>
      <c r="F261" s="19"/>
      <c r="O261" s="20"/>
      <c r="P261" s="20"/>
    </row>
    <row r="262" spans="2:16" x14ac:dyDescent="0.7">
      <c r="B262" s="19"/>
      <c r="C262" s="19"/>
      <c r="D262" s="19"/>
      <c r="E262" s="19"/>
      <c r="F262" s="19"/>
      <c r="O262" s="20"/>
      <c r="P262" s="20"/>
    </row>
    <row r="263" spans="2:16" x14ac:dyDescent="0.7">
      <c r="B263" s="19"/>
      <c r="C263" s="19"/>
      <c r="D263" s="19"/>
      <c r="E263" s="19"/>
      <c r="F263" s="19"/>
      <c r="O263" s="20"/>
      <c r="P263" s="20"/>
    </row>
    <row r="264" spans="2:16" x14ac:dyDescent="0.7">
      <c r="B264" s="19"/>
      <c r="C264" s="19"/>
      <c r="D264" s="19"/>
      <c r="E264" s="19"/>
      <c r="F264" s="19"/>
      <c r="O264" s="20"/>
      <c r="P264" s="20"/>
    </row>
    <row r="265" spans="2:16" x14ac:dyDescent="0.7">
      <c r="B265" s="19"/>
      <c r="C265" s="19"/>
      <c r="D265" s="19"/>
      <c r="E265" s="19"/>
      <c r="F265" s="19"/>
      <c r="O265" s="20"/>
      <c r="P265" s="20"/>
    </row>
    <row r="266" spans="2:16" x14ac:dyDescent="0.7">
      <c r="B266" s="19"/>
      <c r="C266" s="19"/>
      <c r="D266" s="19"/>
      <c r="E266" s="19"/>
      <c r="F266" s="19"/>
      <c r="O266" s="20"/>
      <c r="P266" s="20"/>
    </row>
    <row r="267" spans="2:16" x14ac:dyDescent="0.7">
      <c r="B267" s="19"/>
      <c r="C267" s="19"/>
      <c r="D267" s="19"/>
      <c r="E267" s="19"/>
      <c r="F267" s="19"/>
      <c r="O267" s="20"/>
      <c r="P267" s="20"/>
    </row>
    <row r="268" spans="2:16" x14ac:dyDescent="0.7">
      <c r="B268" s="19"/>
      <c r="C268" s="19"/>
      <c r="D268" s="19"/>
      <c r="E268" s="19"/>
      <c r="F268" s="19"/>
      <c r="O268" s="20"/>
      <c r="P268" s="20"/>
    </row>
    <row r="269" spans="2:16" x14ac:dyDescent="0.7">
      <c r="B269" s="19"/>
      <c r="C269" s="19"/>
      <c r="D269" s="19"/>
      <c r="E269" s="19"/>
      <c r="F269" s="19"/>
      <c r="O269" s="20"/>
      <c r="P269" s="20"/>
    </row>
    <row r="270" spans="2:16" x14ac:dyDescent="0.7">
      <c r="B270" s="19"/>
      <c r="C270" s="19"/>
      <c r="D270" s="19"/>
      <c r="E270" s="19"/>
      <c r="F270" s="19"/>
      <c r="O270" s="20"/>
      <c r="P270" s="20"/>
    </row>
    <row r="271" spans="2:16" x14ac:dyDescent="0.7">
      <c r="B271" s="19"/>
      <c r="C271" s="19"/>
      <c r="D271" s="19"/>
      <c r="E271" s="19"/>
      <c r="F271" s="19"/>
      <c r="O271" s="20"/>
      <c r="P271" s="20"/>
    </row>
    <row r="272" spans="2:16" x14ac:dyDescent="0.7">
      <c r="B272" s="19"/>
      <c r="C272" s="19"/>
      <c r="D272" s="19"/>
      <c r="E272" s="19"/>
      <c r="F272" s="19"/>
      <c r="O272" s="20"/>
      <c r="P272" s="20"/>
    </row>
    <row r="273" spans="2:16" x14ac:dyDescent="0.7">
      <c r="B273" s="19"/>
      <c r="C273" s="19"/>
      <c r="D273" s="19"/>
      <c r="E273" s="19"/>
      <c r="F273" s="19"/>
      <c r="O273" s="20"/>
      <c r="P273" s="20"/>
    </row>
    <row r="274" spans="2:16" x14ac:dyDescent="0.7">
      <c r="B274" s="19"/>
      <c r="C274" s="19"/>
      <c r="D274" s="19"/>
      <c r="E274" s="19"/>
      <c r="F274" s="19"/>
      <c r="O274" s="20"/>
      <c r="P274" s="20"/>
    </row>
    <row r="275" spans="2:16" x14ac:dyDescent="0.7">
      <c r="B275" s="19"/>
      <c r="C275" s="19"/>
      <c r="D275" s="19"/>
      <c r="E275" s="19"/>
      <c r="F275" s="19"/>
      <c r="O275" s="20"/>
      <c r="P275" s="20"/>
    </row>
    <row r="276" spans="2:16" x14ac:dyDescent="0.7">
      <c r="B276" s="19"/>
      <c r="C276" s="19"/>
      <c r="D276" s="19"/>
      <c r="E276" s="19"/>
      <c r="F276" s="19"/>
      <c r="O276" s="20"/>
      <c r="P276" s="20"/>
    </row>
    <row r="277" spans="2:16" x14ac:dyDescent="0.7">
      <c r="B277" s="19"/>
      <c r="C277" s="19"/>
      <c r="D277" s="19"/>
      <c r="E277" s="19"/>
      <c r="F277" s="19"/>
      <c r="O277" s="20"/>
      <c r="P277" s="20"/>
    </row>
    <row r="278" spans="2:16" x14ac:dyDescent="0.7">
      <c r="B278" s="19"/>
      <c r="C278" s="19"/>
      <c r="D278" s="19"/>
      <c r="E278" s="19"/>
      <c r="F278" s="19"/>
      <c r="O278" s="20"/>
      <c r="P278" s="20"/>
    </row>
    <row r="279" spans="2:16" x14ac:dyDescent="0.7">
      <c r="B279" s="19"/>
      <c r="C279" s="19"/>
      <c r="D279" s="19"/>
      <c r="E279" s="19"/>
      <c r="F279" s="19"/>
      <c r="O279" s="20"/>
      <c r="P279" s="20"/>
    </row>
    <row r="280" spans="2:16" x14ac:dyDescent="0.7">
      <c r="B280" s="19"/>
      <c r="C280" s="19"/>
      <c r="D280" s="19"/>
      <c r="E280" s="19"/>
      <c r="F280" s="19"/>
      <c r="O280" s="20"/>
      <c r="P280" s="20"/>
    </row>
    <row r="281" spans="2:16" x14ac:dyDescent="0.7">
      <c r="B281" s="19"/>
      <c r="C281" s="19"/>
      <c r="D281" s="19"/>
      <c r="E281" s="19"/>
      <c r="F281" s="19"/>
      <c r="O281" s="20"/>
      <c r="P281" s="20"/>
    </row>
    <row r="282" spans="2:16" x14ac:dyDescent="0.7">
      <c r="B282" s="19"/>
      <c r="C282" s="19"/>
      <c r="D282" s="19"/>
      <c r="E282" s="19"/>
      <c r="F282" s="19"/>
      <c r="O282" s="20"/>
      <c r="P282" s="20"/>
    </row>
    <row r="283" spans="2:16" x14ac:dyDescent="0.7">
      <c r="B283" s="19"/>
      <c r="C283" s="19"/>
      <c r="D283" s="19"/>
      <c r="E283" s="19"/>
      <c r="F283" s="19"/>
      <c r="O283" s="20"/>
      <c r="P283" s="20"/>
    </row>
    <row r="284" spans="2:16" x14ac:dyDescent="0.7">
      <c r="B284" s="19"/>
      <c r="C284" s="19"/>
      <c r="D284" s="19"/>
      <c r="E284" s="19"/>
      <c r="F284" s="19"/>
      <c r="O284" s="20"/>
      <c r="P284" s="20"/>
    </row>
    <row r="285" spans="2:16" x14ac:dyDescent="0.7">
      <c r="B285" s="19"/>
      <c r="C285" s="19"/>
      <c r="D285" s="19"/>
      <c r="E285" s="19"/>
      <c r="F285" s="19"/>
      <c r="O285" s="20"/>
      <c r="P285" s="20"/>
    </row>
    <row r="286" spans="2:16" x14ac:dyDescent="0.7">
      <c r="B286" s="19"/>
      <c r="C286" s="19"/>
      <c r="D286" s="19"/>
      <c r="E286" s="19"/>
      <c r="F286" s="19"/>
      <c r="O286" s="20"/>
      <c r="P286" s="20"/>
    </row>
    <row r="287" spans="2:16" x14ac:dyDescent="0.7">
      <c r="B287" s="19"/>
      <c r="C287" s="19"/>
      <c r="D287" s="19"/>
      <c r="E287" s="19"/>
      <c r="F287" s="19"/>
      <c r="O287" s="20"/>
      <c r="P287" s="20"/>
    </row>
    <row r="288" spans="2:16" x14ac:dyDescent="0.7">
      <c r="B288" s="19"/>
      <c r="C288" s="19"/>
      <c r="D288" s="19"/>
      <c r="E288" s="19"/>
      <c r="F288" s="19"/>
      <c r="O288" s="20"/>
      <c r="P288" s="20"/>
    </row>
    <row r="289" spans="2:16" x14ac:dyDescent="0.7">
      <c r="B289" s="19"/>
      <c r="C289" s="19"/>
      <c r="D289" s="19"/>
      <c r="E289" s="19"/>
      <c r="F289" s="19"/>
      <c r="O289" s="20"/>
      <c r="P289" s="20"/>
    </row>
    <row r="290" spans="2:16" x14ac:dyDescent="0.7">
      <c r="B290" s="19"/>
      <c r="C290" s="19"/>
      <c r="D290" s="19"/>
      <c r="E290" s="19"/>
      <c r="F290" s="19"/>
      <c r="O290" s="20"/>
      <c r="P290" s="20"/>
    </row>
    <row r="291" spans="2:16" x14ac:dyDescent="0.7">
      <c r="B291" s="19"/>
      <c r="C291" s="19"/>
      <c r="D291" s="19"/>
      <c r="E291" s="19"/>
      <c r="F291" s="19"/>
      <c r="O291" s="20"/>
      <c r="P291" s="20"/>
    </row>
    <row r="292" spans="2:16" x14ac:dyDescent="0.7">
      <c r="B292" s="19"/>
      <c r="C292" s="19"/>
      <c r="D292" s="19"/>
      <c r="E292" s="19"/>
      <c r="F292" s="19"/>
      <c r="O292" s="20"/>
      <c r="P292" s="20"/>
    </row>
    <row r="293" spans="2:16" x14ac:dyDescent="0.7">
      <c r="B293" s="19"/>
      <c r="C293" s="19"/>
      <c r="D293" s="19"/>
      <c r="E293" s="19"/>
      <c r="F293" s="19"/>
      <c r="O293" s="20"/>
      <c r="P293" s="20"/>
    </row>
    <row r="294" spans="2:16" x14ac:dyDescent="0.7">
      <c r="B294" s="19"/>
      <c r="C294" s="19"/>
      <c r="D294" s="19"/>
      <c r="E294" s="19"/>
      <c r="F294" s="19"/>
      <c r="O294" s="20"/>
      <c r="P294" s="20"/>
    </row>
    <row r="295" spans="2:16" x14ac:dyDescent="0.7">
      <c r="B295" s="19"/>
      <c r="C295" s="19"/>
      <c r="D295" s="19"/>
      <c r="E295" s="19"/>
      <c r="F295" s="19"/>
      <c r="O295" s="20"/>
      <c r="P295" s="20"/>
    </row>
    <row r="296" spans="2:16" x14ac:dyDescent="0.7">
      <c r="B296" s="19"/>
      <c r="C296" s="19"/>
      <c r="D296" s="19"/>
      <c r="E296" s="19"/>
      <c r="F296" s="19"/>
      <c r="O296" s="20"/>
      <c r="P296" s="20"/>
    </row>
    <row r="297" spans="2:16" x14ac:dyDescent="0.7">
      <c r="B297" s="19"/>
      <c r="C297" s="19"/>
      <c r="D297" s="19"/>
      <c r="E297" s="19"/>
      <c r="F297" s="19"/>
      <c r="O297" s="20"/>
      <c r="P297" s="20"/>
    </row>
    <row r="298" spans="2:16" x14ac:dyDescent="0.7">
      <c r="B298" s="19"/>
      <c r="C298" s="19"/>
      <c r="D298" s="19"/>
      <c r="E298" s="19"/>
      <c r="F298" s="19"/>
      <c r="O298" s="20"/>
      <c r="P298" s="20"/>
    </row>
    <row r="299" spans="2:16" x14ac:dyDescent="0.7">
      <c r="B299" s="19"/>
      <c r="C299" s="19"/>
      <c r="D299" s="19"/>
      <c r="E299" s="19"/>
      <c r="F299" s="19"/>
      <c r="O299" s="20"/>
      <c r="P299" s="20"/>
    </row>
    <row r="300" spans="2:16" x14ac:dyDescent="0.7">
      <c r="B300" s="19"/>
      <c r="C300" s="19"/>
      <c r="D300" s="19"/>
      <c r="E300" s="19"/>
      <c r="F300" s="19"/>
      <c r="O300" s="20"/>
      <c r="P300" s="20"/>
    </row>
    <row r="301" spans="2:16" x14ac:dyDescent="0.7">
      <c r="B301" s="19"/>
      <c r="C301" s="19"/>
      <c r="D301" s="19"/>
      <c r="E301" s="19"/>
      <c r="F301" s="19"/>
      <c r="O301" s="20"/>
      <c r="P301" s="20"/>
    </row>
    <row r="302" spans="2:16" x14ac:dyDescent="0.7">
      <c r="B302" s="19"/>
      <c r="C302" s="19"/>
      <c r="D302" s="19"/>
      <c r="E302" s="19"/>
      <c r="F302" s="19"/>
      <c r="O302" s="20"/>
      <c r="P302" s="20"/>
    </row>
    <row r="303" spans="2:16" x14ac:dyDescent="0.7">
      <c r="B303" s="19"/>
      <c r="C303" s="19"/>
      <c r="D303" s="19"/>
      <c r="E303" s="19"/>
      <c r="F303" s="19"/>
      <c r="O303" s="20"/>
      <c r="P303" s="20"/>
    </row>
    <row r="304" spans="2:16" x14ac:dyDescent="0.7">
      <c r="B304" s="19"/>
      <c r="C304" s="19"/>
      <c r="D304" s="19"/>
      <c r="E304" s="19"/>
      <c r="F304" s="19"/>
      <c r="O304" s="20"/>
      <c r="P304" s="20"/>
    </row>
    <row r="305" spans="2:16" x14ac:dyDescent="0.7">
      <c r="B305" s="19"/>
      <c r="C305" s="19"/>
      <c r="D305" s="19"/>
      <c r="E305" s="19"/>
      <c r="F305" s="19"/>
      <c r="O305" s="20"/>
      <c r="P305" s="20"/>
    </row>
    <row r="306" spans="2:16" x14ac:dyDescent="0.7">
      <c r="B306" s="19"/>
      <c r="C306" s="19"/>
      <c r="D306" s="19"/>
      <c r="E306" s="19"/>
      <c r="F306" s="19"/>
      <c r="O306" s="20"/>
      <c r="P306" s="20"/>
    </row>
    <row r="307" spans="2:16" x14ac:dyDescent="0.7">
      <c r="B307" s="19"/>
      <c r="C307" s="19"/>
      <c r="D307" s="19"/>
      <c r="E307" s="19"/>
      <c r="F307" s="19"/>
      <c r="O307" s="20"/>
      <c r="P307" s="20"/>
    </row>
    <row r="308" spans="2:16" x14ac:dyDescent="0.7">
      <c r="B308" s="19"/>
      <c r="C308" s="19"/>
      <c r="D308" s="19"/>
      <c r="E308" s="19"/>
      <c r="F308" s="19"/>
      <c r="O308" s="20"/>
      <c r="P308" s="20"/>
    </row>
    <row r="309" spans="2:16" x14ac:dyDescent="0.7">
      <c r="B309" s="19"/>
      <c r="C309" s="19"/>
      <c r="D309" s="19"/>
      <c r="E309" s="19"/>
      <c r="F309" s="19"/>
      <c r="O309" s="20"/>
      <c r="P309" s="20"/>
    </row>
    <row r="310" spans="2:16" x14ac:dyDescent="0.7">
      <c r="B310" s="19"/>
      <c r="C310" s="19"/>
      <c r="D310" s="19"/>
      <c r="E310" s="19"/>
      <c r="F310" s="19"/>
      <c r="O310" s="20"/>
      <c r="P310" s="20"/>
    </row>
    <row r="311" spans="2:16" x14ac:dyDescent="0.7">
      <c r="B311" s="19"/>
      <c r="C311" s="19"/>
      <c r="D311" s="19"/>
      <c r="E311" s="19"/>
      <c r="F311" s="19"/>
      <c r="O311" s="20"/>
      <c r="P311" s="20"/>
    </row>
    <row r="312" spans="2:16" x14ac:dyDescent="0.7">
      <c r="B312" s="19"/>
      <c r="C312" s="19"/>
      <c r="D312" s="19"/>
      <c r="E312" s="19"/>
      <c r="F312" s="19"/>
      <c r="O312" s="20"/>
      <c r="P312" s="20"/>
    </row>
    <row r="313" spans="2:16" x14ac:dyDescent="0.7">
      <c r="B313" s="19"/>
      <c r="C313" s="19"/>
      <c r="D313" s="19"/>
      <c r="E313" s="19"/>
      <c r="F313" s="19"/>
      <c r="O313" s="20"/>
      <c r="P313" s="20"/>
    </row>
    <row r="314" spans="2:16" x14ac:dyDescent="0.7">
      <c r="B314" s="19"/>
      <c r="C314" s="19"/>
      <c r="D314" s="19"/>
      <c r="E314" s="19"/>
      <c r="F314" s="19"/>
      <c r="O314" s="20"/>
      <c r="P314" s="20"/>
    </row>
    <row r="315" spans="2:16" x14ac:dyDescent="0.7">
      <c r="B315" s="19"/>
      <c r="C315" s="19"/>
      <c r="D315" s="19"/>
      <c r="E315" s="19"/>
      <c r="F315" s="19"/>
      <c r="O315" s="20"/>
      <c r="P315" s="20"/>
    </row>
    <row r="316" spans="2:16" x14ac:dyDescent="0.7">
      <c r="B316" s="19"/>
      <c r="C316" s="19"/>
      <c r="D316" s="19"/>
      <c r="E316" s="19"/>
      <c r="F316" s="19"/>
      <c r="O316" s="20"/>
      <c r="P316" s="20"/>
    </row>
    <row r="317" spans="2:16" x14ac:dyDescent="0.7">
      <c r="B317" s="19"/>
      <c r="C317" s="19"/>
      <c r="D317" s="19"/>
      <c r="E317" s="19"/>
      <c r="F317" s="19"/>
      <c r="O317" s="20"/>
      <c r="P317" s="20"/>
    </row>
    <row r="318" spans="2:16" x14ac:dyDescent="0.7">
      <c r="B318" s="19"/>
      <c r="C318" s="19"/>
      <c r="D318" s="19"/>
      <c r="E318" s="19"/>
      <c r="F318" s="19"/>
      <c r="O318" s="20"/>
      <c r="P318" s="20"/>
    </row>
    <row r="319" spans="2:16" x14ac:dyDescent="0.7">
      <c r="B319" s="19"/>
      <c r="C319" s="19"/>
      <c r="D319" s="19"/>
      <c r="E319" s="19"/>
      <c r="F319" s="19"/>
      <c r="O319" s="20"/>
      <c r="P319" s="20"/>
    </row>
    <row r="320" spans="2:16" x14ac:dyDescent="0.7">
      <c r="B320" s="19"/>
      <c r="C320" s="19"/>
      <c r="D320" s="19"/>
      <c r="E320" s="19"/>
      <c r="F320" s="19"/>
      <c r="O320" s="20"/>
      <c r="P320" s="20"/>
    </row>
    <row r="321" spans="2:16" x14ac:dyDescent="0.7">
      <c r="B321" s="19"/>
      <c r="C321" s="19"/>
      <c r="D321" s="19"/>
      <c r="E321" s="19"/>
      <c r="F321" s="19"/>
      <c r="O321" s="20"/>
      <c r="P321" s="20"/>
    </row>
    <row r="322" spans="2:16" x14ac:dyDescent="0.7">
      <c r="B322" s="19"/>
      <c r="C322" s="19"/>
      <c r="D322" s="19"/>
      <c r="E322" s="19"/>
      <c r="F322" s="19"/>
      <c r="O322" s="20"/>
      <c r="P322" s="20"/>
    </row>
    <row r="323" spans="2:16" x14ac:dyDescent="0.7">
      <c r="B323" s="19"/>
      <c r="C323" s="19"/>
      <c r="D323" s="19"/>
      <c r="E323" s="19"/>
      <c r="F323" s="19"/>
      <c r="O323" s="20"/>
      <c r="P323" s="20"/>
    </row>
    <row r="324" spans="2:16" x14ac:dyDescent="0.7">
      <c r="B324" s="19"/>
      <c r="C324" s="19"/>
      <c r="D324" s="19"/>
      <c r="E324" s="19"/>
      <c r="F324" s="19"/>
      <c r="O324" s="20"/>
      <c r="P324" s="20"/>
    </row>
    <row r="325" spans="2:16" x14ac:dyDescent="0.7">
      <c r="B325" s="19"/>
      <c r="C325" s="19"/>
      <c r="D325" s="19"/>
      <c r="E325" s="19"/>
      <c r="F325" s="19"/>
      <c r="O325" s="20"/>
      <c r="P325" s="20"/>
    </row>
    <row r="326" spans="2:16" x14ac:dyDescent="0.7">
      <c r="B326" s="19"/>
      <c r="C326" s="19"/>
      <c r="D326" s="19"/>
      <c r="E326" s="19"/>
      <c r="F326" s="19"/>
      <c r="O326" s="20"/>
      <c r="P326" s="20"/>
    </row>
    <row r="327" spans="2:16" x14ac:dyDescent="0.7">
      <c r="B327" s="19"/>
      <c r="C327" s="19"/>
      <c r="D327" s="19"/>
      <c r="E327" s="19"/>
      <c r="F327" s="19"/>
      <c r="O327" s="20"/>
      <c r="P327" s="20"/>
    </row>
    <row r="328" spans="2:16" x14ac:dyDescent="0.7">
      <c r="B328" s="19"/>
      <c r="C328" s="19"/>
      <c r="D328" s="19"/>
      <c r="E328" s="19"/>
      <c r="F328" s="19"/>
      <c r="O328" s="20"/>
      <c r="P328" s="20"/>
    </row>
    <row r="329" spans="2:16" x14ac:dyDescent="0.7">
      <c r="B329" s="19"/>
      <c r="C329" s="19"/>
      <c r="D329" s="19"/>
      <c r="E329" s="19"/>
      <c r="F329" s="19"/>
      <c r="O329" s="20"/>
      <c r="P329" s="20"/>
    </row>
    <row r="330" spans="2:16" x14ac:dyDescent="0.7">
      <c r="B330" s="19"/>
      <c r="C330" s="19"/>
      <c r="D330" s="19"/>
      <c r="E330" s="19"/>
      <c r="F330" s="19"/>
      <c r="O330" s="20"/>
      <c r="P330" s="20"/>
    </row>
    <row r="331" spans="2:16" x14ac:dyDescent="0.7">
      <c r="B331" s="19"/>
      <c r="C331" s="19"/>
      <c r="D331" s="19"/>
      <c r="E331" s="19"/>
      <c r="F331" s="19"/>
      <c r="O331" s="20"/>
      <c r="P331" s="20"/>
    </row>
    <row r="332" spans="2:16" x14ac:dyDescent="0.7">
      <c r="B332" s="19"/>
      <c r="C332" s="19"/>
      <c r="D332" s="19"/>
      <c r="E332" s="19"/>
      <c r="F332" s="19"/>
      <c r="O332" s="20"/>
      <c r="P332" s="20"/>
    </row>
    <row r="333" spans="2:16" x14ac:dyDescent="0.7">
      <c r="B333" s="19"/>
      <c r="C333" s="19"/>
      <c r="D333" s="19"/>
      <c r="E333" s="19"/>
      <c r="F333" s="19"/>
      <c r="O333" s="20"/>
      <c r="P333" s="20"/>
    </row>
    <row r="334" spans="2:16" x14ac:dyDescent="0.7">
      <c r="B334" s="19"/>
      <c r="C334" s="19"/>
      <c r="D334" s="19"/>
      <c r="E334" s="19"/>
      <c r="F334" s="19"/>
      <c r="O334" s="20"/>
      <c r="P334" s="20"/>
    </row>
    <row r="335" spans="2:16" x14ac:dyDescent="0.7">
      <c r="B335" s="19"/>
      <c r="C335" s="19"/>
      <c r="D335" s="19"/>
      <c r="E335" s="19"/>
      <c r="F335" s="19"/>
      <c r="O335" s="20"/>
      <c r="P335" s="20"/>
    </row>
    <row r="336" spans="2:16" x14ac:dyDescent="0.7">
      <c r="B336" s="19"/>
      <c r="C336" s="19"/>
      <c r="D336" s="19"/>
      <c r="E336" s="19"/>
      <c r="F336" s="19"/>
      <c r="O336" s="20"/>
      <c r="P336" s="20"/>
    </row>
    <row r="337" spans="2:16" x14ac:dyDescent="0.7">
      <c r="B337" s="19"/>
      <c r="C337" s="19"/>
      <c r="D337" s="19"/>
      <c r="E337" s="19"/>
      <c r="F337" s="19"/>
      <c r="O337" s="20"/>
      <c r="P337" s="20"/>
    </row>
    <row r="338" spans="2:16" x14ac:dyDescent="0.7">
      <c r="B338" s="19"/>
      <c r="C338" s="19"/>
      <c r="D338" s="19"/>
      <c r="E338" s="19"/>
      <c r="F338" s="19"/>
      <c r="O338" s="20"/>
      <c r="P338" s="20"/>
    </row>
    <row r="339" spans="2:16" x14ac:dyDescent="0.7">
      <c r="B339" s="19"/>
      <c r="C339" s="19"/>
      <c r="D339" s="19"/>
      <c r="E339" s="19"/>
      <c r="F339" s="19"/>
      <c r="O339" s="20"/>
      <c r="P339" s="20"/>
    </row>
    <row r="340" spans="2:16" x14ac:dyDescent="0.7">
      <c r="B340" s="19"/>
      <c r="C340" s="19"/>
      <c r="D340" s="19"/>
      <c r="E340" s="19"/>
      <c r="F340" s="19"/>
      <c r="O340" s="20"/>
      <c r="P340" s="20"/>
    </row>
    <row r="341" spans="2:16" x14ac:dyDescent="0.7">
      <c r="B341" s="19"/>
      <c r="C341" s="19"/>
      <c r="D341" s="19"/>
      <c r="E341" s="19"/>
      <c r="F341" s="19"/>
      <c r="O341" s="20"/>
      <c r="P341" s="20"/>
    </row>
    <row r="342" spans="2:16" x14ac:dyDescent="0.7">
      <c r="B342" s="19"/>
      <c r="C342" s="19"/>
      <c r="D342" s="19"/>
      <c r="E342" s="19"/>
      <c r="F342" s="19"/>
      <c r="O342" s="20"/>
      <c r="P342" s="20"/>
    </row>
    <row r="343" spans="2:16" x14ac:dyDescent="0.7">
      <c r="B343" s="19"/>
      <c r="C343" s="19"/>
      <c r="D343" s="19"/>
      <c r="E343" s="19"/>
      <c r="F343" s="19"/>
      <c r="O343" s="20"/>
      <c r="P343" s="20"/>
    </row>
    <row r="344" spans="2:16" x14ac:dyDescent="0.7">
      <c r="B344" s="19"/>
      <c r="C344" s="19"/>
      <c r="D344" s="19"/>
      <c r="E344" s="19"/>
      <c r="F344" s="19"/>
      <c r="O344" s="20"/>
      <c r="P344" s="20"/>
    </row>
    <row r="345" spans="2:16" x14ac:dyDescent="0.7">
      <c r="B345" s="19"/>
      <c r="C345" s="19"/>
      <c r="D345" s="19"/>
      <c r="E345" s="19"/>
      <c r="F345" s="19"/>
      <c r="O345" s="20"/>
      <c r="P345" s="20"/>
    </row>
    <row r="346" spans="2:16" x14ac:dyDescent="0.7">
      <c r="B346" s="19"/>
      <c r="C346" s="19"/>
      <c r="D346" s="19"/>
      <c r="E346" s="19"/>
      <c r="F346" s="19"/>
      <c r="O346" s="20"/>
      <c r="P346" s="20"/>
    </row>
    <row r="347" spans="2:16" x14ac:dyDescent="0.7">
      <c r="B347" s="19"/>
      <c r="C347" s="19"/>
      <c r="D347" s="19"/>
      <c r="E347" s="19"/>
      <c r="F347" s="19"/>
      <c r="O347" s="20"/>
      <c r="P347" s="20"/>
    </row>
    <row r="348" spans="2:16" x14ac:dyDescent="0.7">
      <c r="B348" s="19"/>
      <c r="C348" s="19"/>
      <c r="D348" s="19"/>
      <c r="E348" s="19"/>
      <c r="F348" s="19"/>
      <c r="O348" s="20"/>
      <c r="P348" s="20"/>
    </row>
    <row r="349" spans="2:16" x14ac:dyDescent="0.7">
      <c r="B349" s="19"/>
      <c r="C349" s="19"/>
      <c r="D349" s="19"/>
      <c r="E349" s="19"/>
      <c r="F349" s="19"/>
      <c r="O349" s="20"/>
      <c r="P349" s="20"/>
    </row>
    <row r="350" spans="2:16" x14ac:dyDescent="0.7">
      <c r="B350" s="19"/>
      <c r="C350" s="19"/>
      <c r="D350" s="19"/>
      <c r="E350" s="19"/>
      <c r="F350" s="19"/>
      <c r="O350" s="20"/>
      <c r="P350" s="20"/>
    </row>
    <row r="351" spans="2:16" x14ac:dyDescent="0.7">
      <c r="B351" s="19"/>
      <c r="C351" s="19"/>
      <c r="D351" s="19"/>
      <c r="E351" s="19"/>
      <c r="F351" s="19"/>
      <c r="O351" s="20"/>
      <c r="P351" s="20"/>
    </row>
    <row r="352" spans="2:16" x14ac:dyDescent="0.7">
      <c r="B352" s="19"/>
      <c r="C352" s="19"/>
      <c r="D352" s="19"/>
      <c r="E352" s="19"/>
      <c r="F352" s="19"/>
      <c r="O352" s="20"/>
      <c r="P352" s="20"/>
    </row>
    <row r="353" spans="2:16" x14ac:dyDescent="0.7">
      <c r="B353" s="19"/>
      <c r="C353" s="19"/>
      <c r="D353" s="19"/>
      <c r="E353" s="19"/>
      <c r="F353" s="19"/>
      <c r="O353" s="20"/>
      <c r="P353" s="20"/>
    </row>
    <row r="354" spans="2:16" x14ac:dyDescent="0.7">
      <c r="B354" s="19"/>
      <c r="C354" s="19"/>
      <c r="D354" s="19"/>
      <c r="E354" s="19"/>
      <c r="F354" s="19"/>
      <c r="O354" s="20"/>
      <c r="P354" s="20"/>
    </row>
    <row r="355" spans="2:16" x14ac:dyDescent="0.7">
      <c r="B355" s="19"/>
      <c r="C355" s="19"/>
      <c r="D355" s="19"/>
      <c r="E355" s="19"/>
      <c r="F355" s="19"/>
      <c r="O355" s="20"/>
      <c r="P355" s="20"/>
    </row>
    <row r="356" spans="2:16" x14ac:dyDescent="0.7">
      <c r="B356" s="19"/>
      <c r="C356" s="19"/>
      <c r="D356" s="19"/>
      <c r="E356" s="19"/>
      <c r="F356" s="19"/>
      <c r="O356" s="20"/>
      <c r="P356" s="20"/>
    </row>
    <row r="357" spans="2:16" x14ac:dyDescent="0.7">
      <c r="B357" s="19"/>
      <c r="C357" s="19"/>
      <c r="D357" s="19"/>
      <c r="E357" s="19"/>
      <c r="F357" s="19"/>
      <c r="O357" s="20"/>
      <c r="P357" s="20"/>
    </row>
    <row r="358" spans="2:16" x14ac:dyDescent="0.7">
      <c r="B358" s="19"/>
      <c r="C358" s="19"/>
      <c r="D358" s="19"/>
      <c r="E358" s="19"/>
      <c r="F358" s="19"/>
      <c r="O358" s="20"/>
      <c r="P358" s="20"/>
    </row>
    <row r="359" spans="2:16" x14ac:dyDescent="0.7">
      <c r="B359" s="19"/>
      <c r="C359" s="19"/>
      <c r="D359" s="19"/>
      <c r="E359" s="19"/>
      <c r="F359" s="19"/>
      <c r="O359" s="20"/>
      <c r="P359" s="20"/>
    </row>
    <row r="360" spans="2:16" x14ac:dyDescent="0.7">
      <c r="B360" s="19"/>
      <c r="C360" s="19"/>
      <c r="D360" s="19"/>
      <c r="E360" s="19"/>
      <c r="F360" s="19"/>
      <c r="O360" s="20"/>
      <c r="P360" s="20"/>
    </row>
    <row r="361" spans="2:16" x14ac:dyDescent="0.7">
      <c r="B361" s="19"/>
      <c r="C361" s="19"/>
      <c r="D361" s="19"/>
      <c r="E361" s="19"/>
      <c r="F361" s="19"/>
      <c r="O361" s="20"/>
      <c r="P361" s="20"/>
    </row>
    <row r="362" spans="2:16" x14ac:dyDescent="0.7">
      <c r="B362" s="19"/>
      <c r="C362" s="19"/>
      <c r="D362" s="19"/>
      <c r="E362" s="19"/>
      <c r="F362" s="19"/>
      <c r="O362" s="20"/>
      <c r="P362" s="20"/>
    </row>
    <row r="363" spans="2:16" x14ac:dyDescent="0.7">
      <c r="B363" s="19"/>
      <c r="C363" s="19"/>
      <c r="D363" s="19"/>
      <c r="E363" s="19"/>
      <c r="F363" s="19"/>
      <c r="O363" s="20"/>
      <c r="P363" s="20"/>
    </row>
    <row r="364" spans="2:16" x14ac:dyDescent="0.7">
      <c r="B364" s="19"/>
      <c r="C364" s="19"/>
      <c r="D364" s="19"/>
      <c r="E364" s="19"/>
      <c r="F364" s="19"/>
      <c r="O364" s="20"/>
      <c r="P364" s="20"/>
    </row>
    <row r="365" spans="2:16" x14ac:dyDescent="0.7">
      <c r="B365" s="19"/>
      <c r="C365" s="19"/>
      <c r="D365" s="19"/>
      <c r="E365" s="19"/>
      <c r="F365" s="19"/>
      <c r="O365" s="20"/>
      <c r="P365" s="20"/>
    </row>
    <row r="366" spans="2:16" x14ac:dyDescent="0.7">
      <c r="B366" s="19"/>
      <c r="C366" s="19"/>
      <c r="D366" s="19"/>
      <c r="E366" s="19"/>
      <c r="F366" s="19"/>
      <c r="O366" s="20"/>
      <c r="P366" s="20"/>
    </row>
    <row r="367" spans="2:16" x14ac:dyDescent="0.7">
      <c r="B367" s="19"/>
      <c r="C367" s="19"/>
      <c r="D367" s="19"/>
      <c r="E367" s="19"/>
      <c r="F367" s="19"/>
      <c r="O367" s="20"/>
      <c r="P367" s="20"/>
    </row>
    <row r="368" spans="2:16" x14ac:dyDescent="0.7">
      <c r="B368" s="19"/>
      <c r="C368" s="19"/>
      <c r="D368" s="19"/>
      <c r="E368" s="19"/>
      <c r="F368" s="19"/>
      <c r="O368" s="20"/>
      <c r="P368" s="20"/>
    </row>
    <row r="369" spans="2:16" x14ac:dyDescent="0.7">
      <c r="B369" s="19"/>
      <c r="C369" s="19"/>
      <c r="D369" s="19"/>
      <c r="E369" s="19"/>
      <c r="F369" s="19"/>
      <c r="O369" s="20"/>
      <c r="P369" s="20"/>
    </row>
    <row r="370" spans="2:16" x14ac:dyDescent="0.7">
      <c r="B370" s="19"/>
      <c r="C370" s="19"/>
      <c r="D370" s="19"/>
      <c r="E370" s="19"/>
      <c r="F370" s="19"/>
      <c r="O370" s="20"/>
      <c r="P370" s="20"/>
    </row>
    <row r="371" spans="2:16" x14ac:dyDescent="0.7">
      <c r="B371" s="19"/>
      <c r="C371" s="19"/>
      <c r="D371" s="19"/>
      <c r="E371" s="19"/>
      <c r="F371" s="19"/>
      <c r="O371" s="20"/>
      <c r="P371" s="20"/>
    </row>
    <row r="372" spans="2:16" x14ac:dyDescent="0.7">
      <c r="B372" s="19"/>
      <c r="C372" s="19"/>
      <c r="D372" s="19"/>
      <c r="E372" s="19"/>
      <c r="F372" s="19"/>
      <c r="O372" s="20"/>
      <c r="P372" s="20"/>
    </row>
    <row r="373" spans="2:16" x14ac:dyDescent="0.7">
      <c r="B373" s="19"/>
      <c r="C373" s="19"/>
      <c r="D373" s="19"/>
      <c r="E373" s="19"/>
      <c r="F373" s="19"/>
      <c r="O373" s="20"/>
      <c r="P373" s="20"/>
    </row>
    <row r="374" spans="2:16" x14ac:dyDescent="0.7">
      <c r="B374" s="19"/>
      <c r="C374" s="19"/>
      <c r="D374" s="19"/>
      <c r="E374" s="19"/>
      <c r="F374" s="19"/>
      <c r="O374" s="20"/>
      <c r="P374" s="20"/>
    </row>
    <row r="375" spans="2:16" x14ac:dyDescent="0.7">
      <c r="B375" s="19"/>
      <c r="C375" s="19"/>
      <c r="D375" s="19"/>
      <c r="E375" s="19"/>
      <c r="F375" s="19"/>
      <c r="O375" s="20"/>
      <c r="P375" s="20"/>
    </row>
    <row r="376" spans="2:16" x14ac:dyDescent="0.7">
      <c r="B376" s="19"/>
      <c r="C376" s="19"/>
      <c r="D376" s="19"/>
      <c r="E376" s="19"/>
      <c r="F376" s="19"/>
      <c r="O376" s="20"/>
      <c r="P376" s="20"/>
    </row>
    <row r="377" spans="2:16" x14ac:dyDescent="0.7">
      <c r="B377" s="19"/>
      <c r="C377" s="19"/>
      <c r="D377" s="19"/>
      <c r="E377" s="19"/>
      <c r="F377" s="19"/>
      <c r="O377" s="20"/>
      <c r="P377" s="20"/>
    </row>
    <row r="378" spans="2:16" x14ac:dyDescent="0.7">
      <c r="B378" s="19"/>
      <c r="C378" s="19"/>
      <c r="D378" s="19"/>
      <c r="E378" s="19"/>
      <c r="F378" s="19"/>
      <c r="O378" s="20"/>
      <c r="P378" s="20"/>
    </row>
    <row r="379" spans="2:16" x14ac:dyDescent="0.7">
      <c r="B379" s="19"/>
      <c r="C379" s="19"/>
      <c r="D379" s="19"/>
      <c r="E379" s="19"/>
      <c r="F379" s="19"/>
      <c r="O379" s="20"/>
      <c r="P379" s="20"/>
    </row>
    <row r="380" spans="2:16" x14ac:dyDescent="0.7">
      <c r="B380" s="19"/>
      <c r="C380" s="19"/>
      <c r="D380" s="19"/>
      <c r="E380" s="19"/>
      <c r="F380" s="19"/>
      <c r="O380" s="20"/>
      <c r="P380" s="20"/>
    </row>
    <row r="381" spans="2:16" x14ac:dyDescent="0.7">
      <c r="B381" s="19"/>
      <c r="C381" s="19"/>
      <c r="D381" s="19"/>
      <c r="E381" s="19"/>
      <c r="F381" s="19"/>
      <c r="O381" s="20"/>
      <c r="P381" s="20"/>
    </row>
    <row r="382" spans="2:16" x14ac:dyDescent="0.7">
      <c r="B382" s="19"/>
      <c r="C382" s="19"/>
      <c r="D382" s="19"/>
      <c r="E382" s="19"/>
      <c r="F382" s="19"/>
      <c r="O382" s="20"/>
      <c r="P382" s="20"/>
    </row>
    <row r="383" spans="2:16" x14ac:dyDescent="0.7">
      <c r="B383" s="19"/>
      <c r="C383" s="19"/>
      <c r="D383" s="19"/>
      <c r="E383" s="19"/>
      <c r="F383" s="19"/>
      <c r="O383" s="20"/>
      <c r="P383" s="20"/>
    </row>
    <row r="384" spans="2:16" x14ac:dyDescent="0.7">
      <c r="B384" s="19"/>
      <c r="C384" s="19"/>
      <c r="D384" s="19"/>
      <c r="E384" s="19"/>
      <c r="F384" s="19"/>
      <c r="O384" s="20"/>
      <c r="P384" s="20"/>
    </row>
    <row r="385" spans="2:16" x14ac:dyDescent="0.7">
      <c r="B385" s="19"/>
      <c r="C385" s="19"/>
      <c r="D385" s="19"/>
      <c r="E385" s="19"/>
      <c r="F385" s="19"/>
      <c r="O385" s="20"/>
      <c r="P385" s="20"/>
    </row>
    <row r="386" spans="2:16" x14ac:dyDescent="0.7">
      <c r="B386" s="19"/>
      <c r="C386" s="19"/>
      <c r="D386" s="19"/>
      <c r="E386" s="19"/>
      <c r="F386" s="19"/>
      <c r="O386" s="20"/>
      <c r="P386" s="20"/>
    </row>
    <row r="387" spans="2:16" x14ac:dyDescent="0.7">
      <c r="B387" s="19"/>
      <c r="C387" s="19"/>
      <c r="D387" s="19"/>
      <c r="E387" s="19"/>
      <c r="F387" s="19"/>
      <c r="O387" s="20"/>
      <c r="P387" s="20"/>
    </row>
    <row r="388" spans="2:16" x14ac:dyDescent="0.7">
      <c r="B388" s="19"/>
      <c r="C388" s="19"/>
      <c r="D388" s="19"/>
      <c r="E388" s="19"/>
      <c r="F388" s="19"/>
      <c r="O388" s="20"/>
      <c r="P388" s="20"/>
    </row>
    <row r="389" spans="2:16" x14ac:dyDescent="0.7">
      <c r="B389" s="19"/>
      <c r="C389" s="19"/>
      <c r="D389" s="19"/>
      <c r="E389" s="19"/>
      <c r="F389" s="19"/>
      <c r="O389" s="20"/>
      <c r="P389" s="20"/>
    </row>
    <row r="390" spans="2:16" x14ac:dyDescent="0.7">
      <c r="B390" s="19"/>
      <c r="C390" s="19"/>
      <c r="D390" s="19"/>
      <c r="E390" s="19"/>
      <c r="F390" s="19"/>
      <c r="O390" s="20"/>
      <c r="P390" s="20"/>
    </row>
    <row r="391" spans="2:16" x14ac:dyDescent="0.7">
      <c r="B391" s="19"/>
      <c r="C391" s="19"/>
      <c r="D391" s="19"/>
      <c r="E391" s="19"/>
      <c r="F391" s="19"/>
      <c r="O391" s="20"/>
      <c r="P391" s="20"/>
    </row>
    <row r="392" spans="2:16" x14ac:dyDescent="0.7">
      <c r="B392" s="19"/>
      <c r="C392" s="19"/>
      <c r="D392" s="19"/>
      <c r="E392" s="19"/>
      <c r="F392" s="19"/>
      <c r="O392" s="20"/>
      <c r="P392" s="20"/>
    </row>
    <row r="393" spans="2:16" x14ac:dyDescent="0.7">
      <c r="B393" s="19"/>
      <c r="C393" s="19"/>
      <c r="D393" s="19"/>
      <c r="E393" s="19"/>
      <c r="F393" s="19"/>
      <c r="O393" s="20"/>
      <c r="P393" s="20"/>
    </row>
    <row r="394" spans="2:16" x14ac:dyDescent="0.7">
      <c r="B394" s="19"/>
      <c r="C394" s="19"/>
      <c r="D394" s="19"/>
      <c r="E394" s="19"/>
      <c r="F394" s="19"/>
      <c r="O394" s="20"/>
      <c r="P394" s="20"/>
    </row>
    <row r="395" spans="2:16" x14ac:dyDescent="0.7">
      <c r="B395" s="19"/>
      <c r="C395" s="19"/>
      <c r="D395" s="19"/>
      <c r="E395" s="19"/>
      <c r="F395" s="19"/>
      <c r="O395" s="20"/>
      <c r="P395" s="20"/>
    </row>
    <row r="396" spans="2:16" x14ac:dyDescent="0.7">
      <c r="B396" s="19"/>
      <c r="C396" s="19"/>
      <c r="D396" s="19"/>
      <c r="E396" s="19"/>
      <c r="F396" s="19"/>
      <c r="O396" s="20"/>
      <c r="P396" s="20"/>
    </row>
    <row r="397" spans="2:16" x14ac:dyDescent="0.7">
      <c r="B397" s="19"/>
      <c r="C397" s="19"/>
      <c r="D397" s="19"/>
      <c r="E397" s="19"/>
      <c r="F397" s="19"/>
      <c r="O397" s="20"/>
      <c r="P397" s="20"/>
    </row>
    <row r="398" spans="2:16" x14ac:dyDescent="0.7">
      <c r="B398" s="19"/>
      <c r="C398" s="19"/>
      <c r="D398" s="19"/>
      <c r="E398" s="19"/>
      <c r="F398" s="19"/>
      <c r="O398" s="20"/>
      <c r="P398" s="20"/>
    </row>
    <row r="399" spans="2:16" x14ac:dyDescent="0.7">
      <c r="B399" s="19"/>
      <c r="C399" s="19"/>
      <c r="D399" s="19"/>
      <c r="E399" s="19"/>
      <c r="F399" s="19"/>
      <c r="O399" s="20"/>
      <c r="P399" s="20"/>
    </row>
    <row r="400" spans="2:16" x14ac:dyDescent="0.7">
      <c r="B400" s="19"/>
      <c r="C400" s="19"/>
      <c r="D400" s="19"/>
      <c r="E400" s="19"/>
      <c r="F400" s="19"/>
      <c r="O400" s="20"/>
      <c r="P400" s="20"/>
    </row>
    <row r="401" spans="2:16" x14ac:dyDescent="0.7">
      <c r="B401" s="19"/>
      <c r="C401" s="19"/>
      <c r="D401" s="19"/>
      <c r="E401" s="19"/>
      <c r="F401" s="19"/>
      <c r="O401" s="20"/>
      <c r="P401" s="20"/>
    </row>
    <row r="402" spans="2:16" x14ac:dyDescent="0.7">
      <c r="B402" s="19"/>
      <c r="C402" s="19"/>
      <c r="D402" s="19"/>
      <c r="E402" s="19"/>
      <c r="F402" s="19"/>
      <c r="O402" s="20"/>
      <c r="P402" s="20"/>
    </row>
    <row r="403" spans="2:16" x14ac:dyDescent="0.7">
      <c r="B403" s="19"/>
      <c r="C403" s="19"/>
      <c r="D403" s="19"/>
      <c r="E403" s="19"/>
      <c r="F403" s="19"/>
      <c r="O403" s="20"/>
      <c r="P403" s="20"/>
    </row>
    <row r="404" spans="2:16" x14ac:dyDescent="0.7">
      <c r="B404" s="19"/>
      <c r="C404" s="19"/>
      <c r="D404" s="19"/>
      <c r="E404" s="19"/>
      <c r="F404" s="19"/>
      <c r="O404" s="20"/>
      <c r="P404" s="20"/>
    </row>
    <row r="405" spans="2:16" x14ac:dyDescent="0.7">
      <c r="B405" s="19"/>
      <c r="C405" s="19"/>
      <c r="D405" s="19"/>
      <c r="E405" s="19"/>
      <c r="F405" s="19"/>
      <c r="O405" s="20"/>
      <c r="P405" s="20"/>
    </row>
    <row r="406" spans="2:16" x14ac:dyDescent="0.7">
      <c r="B406" s="19"/>
      <c r="C406" s="19"/>
      <c r="D406" s="19"/>
      <c r="E406" s="19"/>
      <c r="F406" s="19"/>
      <c r="O406" s="20"/>
      <c r="P406" s="20"/>
    </row>
    <row r="407" spans="2:16" x14ac:dyDescent="0.7">
      <c r="B407" s="19"/>
      <c r="C407" s="19"/>
      <c r="D407" s="19"/>
      <c r="E407" s="19"/>
      <c r="F407" s="19"/>
      <c r="O407" s="20"/>
      <c r="P407" s="20"/>
    </row>
    <row r="408" spans="2:16" x14ac:dyDescent="0.7">
      <c r="B408" s="19"/>
      <c r="C408" s="19"/>
      <c r="D408" s="19"/>
      <c r="E408" s="19"/>
      <c r="F408" s="19"/>
      <c r="O408" s="20"/>
      <c r="P408" s="20"/>
    </row>
    <row r="409" spans="2:16" x14ac:dyDescent="0.7">
      <c r="B409" s="19"/>
      <c r="C409" s="19"/>
      <c r="D409" s="19"/>
      <c r="E409" s="19"/>
      <c r="F409" s="19"/>
      <c r="O409" s="20"/>
      <c r="P409" s="20"/>
    </row>
    <row r="410" spans="2:16" x14ac:dyDescent="0.7">
      <c r="B410" s="19"/>
      <c r="C410" s="19"/>
      <c r="D410" s="19"/>
      <c r="E410" s="19"/>
      <c r="F410" s="19"/>
      <c r="O410" s="20"/>
      <c r="P410" s="20"/>
    </row>
    <row r="411" spans="2:16" x14ac:dyDescent="0.7">
      <c r="B411" s="19"/>
      <c r="C411" s="19"/>
      <c r="D411" s="19"/>
      <c r="E411" s="19"/>
      <c r="F411" s="19"/>
      <c r="O411" s="20"/>
      <c r="P411" s="20"/>
    </row>
    <row r="412" spans="2:16" x14ac:dyDescent="0.7">
      <c r="B412" s="19"/>
      <c r="C412" s="19"/>
      <c r="D412" s="19"/>
      <c r="E412" s="19"/>
      <c r="F412" s="19"/>
      <c r="O412" s="20"/>
      <c r="P412" s="20"/>
    </row>
    <row r="413" spans="2:16" x14ac:dyDescent="0.7">
      <c r="B413" s="19"/>
      <c r="C413" s="19"/>
      <c r="D413" s="19"/>
      <c r="E413" s="19"/>
      <c r="F413" s="19"/>
      <c r="O413" s="20"/>
      <c r="P413" s="20"/>
    </row>
    <row r="414" spans="2:16" x14ac:dyDescent="0.7">
      <c r="B414" s="19"/>
      <c r="C414" s="19"/>
      <c r="D414" s="19"/>
      <c r="E414" s="19"/>
      <c r="F414" s="19"/>
      <c r="O414" s="20"/>
      <c r="P414" s="20"/>
    </row>
    <row r="415" spans="2:16" x14ac:dyDescent="0.7">
      <c r="B415" s="19"/>
      <c r="C415" s="19"/>
      <c r="D415" s="19"/>
      <c r="E415" s="19"/>
      <c r="F415" s="19"/>
      <c r="O415" s="20"/>
      <c r="P415" s="20"/>
    </row>
    <row r="416" spans="2:16" x14ac:dyDescent="0.7">
      <c r="B416" s="19"/>
      <c r="C416" s="19"/>
      <c r="D416" s="19"/>
      <c r="E416" s="19"/>
      <c r="F416" s="19"/>
      <c r="O416" s="20"/>
      <c r="P416" s="20"/>
    </row>
    <row r="417" spans="2:16" x14ac:dyDescent="0.7">
      <c r="B417" s="19"/>
      <c r="C417" s="19"/>
      <c r="D417" s="19"/>
      <c r="E417" s="19"/>
      <c r="F417" s="19"/>
      <c r="O417" s="20"/>
      <c r="P417" s="20"/>
    </row>
    <row r="418" spans="2:16" x14ac:dyDescent="0.7">
      <c r="B418" s="19"/>
      <c r="C418" s="19"/>
      <c r="D418" s="19"/>
      <c r="E418" s="19"/>
      <c r="F418" s="19"/>
      <c r="O418" s="20"/>
      <c r="P418" s="20"/>
    </row>
    <row r="419" spans="2:16" x14ac:dyDescent="0.7">
      <c r="B419" s="19"/>
      <c r="C419" s="19"/>
      <c r="D419" s="19"/>
      <c r="E419" s="19"/>
      <c r="F419" s="19"/>
      <c r="O419" s="20"/>
      <c r="P419" s="20"/>
    </row>
    <row r="420" spans="2:16" x14ac:dyDescent="0.7">
      <c r="B420" s="19"/>
      <c r="C420" s="19"/>
      <c r="D420" s="19"/>
      <c r="E420" s="19"/>
      <c r="F420" s="19"/>
      <c r="O420" s="20"/>
      <c r="P420" s="20"/>
    </row>
    <row r="421" spans="2:16" x14ac:dyDescent="0.7">
      <c r="B421" s="19"/>
      <c r="C421" s="19"/>
      <c r="D421" s="19"/>
      <c r="E421" s="19"/>
      <c r="F421" s="19"/>
      <c r="O421" s="20"/>
      <c r="P421" s="20"/>
    </row>
    <row r="422" spans="2:16" x14ac:dyDescent="0.7">
      <c r="B422" s="19"/>
      <c r="C422" s="19"/>
      <c r="D422" s="19"/>
      <c r="E422" s="19"/>
      <c r="F422" s="19"/>
      <c r="O422" s="20"/>
      <c r="P422" s="20"/>
    </row>
    <row r="423" spans="2:16" x14ac:dyDescent="0.7">
      <c r="B423" s="19"/>
      <c r="C423" s="19"/>
      <c r="D423" s="19"/>
      <c r="E423" s="19"/>
      <c r="F423" s="19"/>
      <c r="O423" s="20"/>
      <c r="P423" s="20"/>
    </row>
    <row r="424" spans="2:16" x14ac:dyDescent="0.7">
      <c r="B424" s="19"/>
      <c r="C424" s="19"/>
      <c r="D424" s="19"/>
      <c r="E424" s="19"/>
      <c r="F424" s="19"/>
      <c r="O424" s="20"/>
      <c r="P424" s="20"/>
    </row>
    <row r="425" spans="2:16" x14ac:dyDescent="0.7">
      <c r="B425" s="19"/>
      <c r="C425" s="19"/>
      <c r="D425" s="19"/>
      <c r="E425" s="19"/>
      <c r="F425" s="19"/>
      <c r="O425" s="20"/>
      <c r="P425" s="20"/>
    </row>
    <row r="426" spans="2:16" x14ac:dyDescent="0.7">
      <c r="B426" s="19"/>
      <c r="C426" s="19"/>
      <c r="D426" s="19"/>
      <c r="E426" s="19"/>
      <c r="F426" s="19"/>
      <c r="O426" s="20"/>
      <c r="P426" s="20"/>
    </row>
    <row r="427" spans="2:16" x14ac:dyDescent="0.7">
      <c r="B427" s="19"/>
      <c r="C427" s="19"/>
      <c r="D427" s="19"/>
      <c r="E427" s="19"/>
      <c r="F427" s="19"/>
      <c r="O427" s="20"/>
      <c r="P427" s="20"/>
    </row>
    <row r="428" spans="2:16" x14ac:dyDescent="0.7">
      <c r="B428" s="19"/>
      <c r="C428" s="19"/>
      <c r="D428" s="19"/>
      <c r="E428" s="19"/>
      <c r="F428" s="19"/>
      <c r="O428" s="20"/>
      <c r="P428" s="20"/>
    </row>
    <row r="429" spans="2:16" x14ac:dyDescent="0.7">
      <c r="B429" s="19"/>
      <c r="C429" s="19"/>
      <c r="D429" s="19"/>
      <c r="E429" s="19"/>
      <c r="F429" s="19"/>
      <c r="O429" s="20"/>
      <c r="P429" s="20"/>
    </row>
    <row r="430" spans="2:16" x14ac:dyDescent="0.7">
      <c r="B430" s="19"/>
      <c r="C430" s="19"/>
      <c r="D430" s="19"/>
      <c r="E430" s="19"/>
      <c r="F430" s="19"/>
      <c r="O430" s="20"/>
      <c r="P430" s="20"/>
    </row>
    <row r="431" spans="2:16" x14ac:dyDescent="0.7">
      <c r="B431" s="19"/>
      <c r="C431" s="19"/>
      <c r="D431" s="19"/>
      <c r="E431" s="19"/>
      <c r="F431" s="19"/>
      <c r="O431" s="20"/>
      <c r="P431" s="20"/>
    </row>
    <row r="432" spans="2:16" x14ac:dyDescent="0.7">
      <c r="B432" s="19"/>
      <c r="C432" s="19"/>
      <c r="D432" s="19"/>
      <c r="E432" s="19"/>
      <c r="F432" s="19"/>
      <c r="O432" s="20"/>
      <c r="P432" s="20"/>
    </row>
    <row r="433" spans="2:16" x14ac:dyDescent="0.7">
      <c r="B433" s="19"/>
      <c r="C433" s="19"/>
      <c r="D433" s="19"/>
      <c r="E433" s="19"/>
      <c r="F433" s="19"/>
      <c r="O433" s="20"/>
      <c r="P433" s="20"/>
    </row>
    <row r="434" spans="2:16" x14ac:dyDescent="0.7">
      <c r="B434" s="19"/>
      <c r="C434" s="19"/>
      <c r="D434" s="19"/>
      <c r="E434" s="19"/>
      <c r="F434" s="19"/>
      <c r="O434" s="20"/>
      <c r="P434" s="20"/>
    </row>
    <row r="435" spans="2:16" x14ac:dyDescent="0.7">
      <c r="B435" s="19"/>
      <c r="C435" s="19"/>
      <c r="D435" s="19"/>
      <c r="E435" s="19"/>
      <c r="F435" s="19"/>
      <c r="O435" s="20"/>
      <c r="P435" s="20"/>
    </row>
    <row r="436" spans="2:16" x14ac:dyDescent="0.7">
      <c r="B436" s="19"/>
      <c r="C436" s="19"/>
      <c r="D436" s="19"/>
      <c r="E436" s="19"/>
      <c r="F436" s="19"/>
      <c r="O436" s="20"/>
      <c r="P436" s="20"/>
    </row>
    <row r="437" spans="2:16" x14ac:dyDescent="0.7">
      <c r="B437" s="19"/>
      <c r="C437" s="19"/>
      <c r="D437" s="19"/>
      <c r="E437" s="19"/>
      <c r="F437" s="19"/>
      <c r="O437" s="20"/>
      <c r="P437" s="20"/>
    </row>
    <row r="438" spans="2:16" x14ac:dyDescent="0.7">
      <c r="B438" s="19"/>
      <c r="C438" s="19"/>
      <c r="D438" s="19"/>
      <c r="E438" s="19"/>
      <c r="F438" s="19"/>
      <c r="O438" s="20"/>
      <c r="P438" s="20"/>
    </row>
    <row r="439" spans="2:16" x14ac:dyDescent="0.7">
      <c r="B439" s="19"/>
      <c r="C439" s="19"/>
      <c r="D439" s="19"/>
      <c r="E439" s="19"/>
      <c r="F439" s="19"/>
      <c r="O439" s="20"/>
      <c r="P439" s="20"/>
    </row>
    <row r="440" spans="2:16" x14ac:dyDescent="0.7">
      <c r="B440" s="19"/>
      <c r="C440" s="19"/>
      <c r="D440" s="19"/>
      <c r="E440" s="19"/>
      <c r="F440" s="19"/>
      <c r="O440" s="20"/>
      <c r="P440" s="20"/>
    </row>
    <row r="441" spans="2:16" x14ac:dyDescent="0.7">
      <c r="B441" s="19"/>
      <c r="C441" s="19"/>
      <c r="D441" s="19"/>
      <c r="E441" s="19"/>
      <c r="F441" s="19"/>
      <c r="O441" s="20"/>
      <c r="P441" s="20"/>
    </row>
    <row r="442" spans="2:16" x14ac:dyDescent="0.7">
      <c r="B442" s="19"/>
      <c r="C442" s="19"/>
      <c r="D442" s="19"/>
      <c r="E442" s="19"/>
      <c r="F442" s="19"/>
      <c r="O442" s="20"/>
      <c r="P442" s="20"/>
    </row>
    <row r="443" spans="2:16" x14ac:dyDescent="0.7">
      <c r="B443" s="19"/>
      <c r="C443" s="19"/>
      <c r="D443" s="19"/>
      <c r="E443" s="19"/>
      <c r="F443" s="19"/>
      <c r="O443" s="20"/>
      <c r="P443" s="20"/>
    </row>
    <row r="444" spans="2:16" x14ac:dyDescent="0.7">
      <c r="B444" s="19"/>
      <c r="C444" s="19"/>
      <c r="D444" s="19"/>
      <c r="E444" s="19"/>
      <c r="F444" s="19"/>
      <c r="O444" s="20"/>
      <c r="P444" s="20"/>
    </row>
    <row r="445" spans="2:16" x14ac:dyDescent="0.7">
      <c r="B445" s="19"/>
      <c r="C445" s="19"/>
      <c r="D445" s="19"/>
      <c r="E445" s="19"/>
      <c r="F445" s="19"/>
      <c r="O445" s="20"/>
      <c r="P445" s="20"/>
    </row>
    <row r="446" spans="2:16" x14ac:dyDescent="0.7">
      <c r="B446" s="19"/>
      <c r="C446" s="19"/>
      <c r="D446" s="19"/>
      <c r="E446" s="19"/>
      <c r="F446" s="19"/>
      <c r="O446" s="20"/>
      <c r="P446" s="20"/>
    </row>
    <row r="447" spans="2:16" x14ac:dyDescent="0.7">
      <c r="B447" s="19"/>
      <c r="C447" s="19"/>
      <c r="D447" s="19"/>
      <c r="E447" s="19"/>
      <c r="F447" s="19"/>
      <c r="O447" s="20"/>
      <c r="P447" s="20"/>
    </row>
    <row r="448" spans="2:16" x14ac:dyDescent="0.7">
      <c r="B448" s="19"/>
      <c r="C448" s="19"/>
      <c r="D448" s="19"/>
      <c r="E448" s="19"/>
      <c r="F448" s="19"/>
      <c r="O448" s="20"/>
      <c r="P448" s="20"/>
    </row>
    <row r="449" spans="2:16" x14ac:dyDescent="0.7">
      <c r="B449" s="19"/>
      <c r="C449" s="19"/>
      <c r="D449" s="19"/>
      <c r="E449" s="19"/>
      <c r="F449" s="19"/>
      <c r="O449" s="20"/>
      <c r="P449" s="20"/>
    </row>
    <row r="450" spans="2:16" x14ac:dyDescent="0.7">
      <c r="B450" s="19"/>
      <c r="C450" s="19"/>
      <c r="D450" s="19"/>
      <c r="E450" s="19"/>
      <c r="F450" s="19"/>
      <c r="O450" s="20"/>
      <c r="P450" s="20"/>
    </row>
    <row r="451" spans="2:16" x14ac:dyDescent="0.7">
      <c r="B451" s="19"/>
      <c r="C451" s="19"/>
      <c r="D451" s="19"/>
      <c r="E451" s="19"/>
      <c r="F451" s="19"/>
      <c r="O451" s="20"/>
      <c r="P451" s="20"/>
    </row>
    <row r="452" spans="2:16" x14ac:dyDescent="0.7">
      <c r="B452" s="19"/>
      <c r="C452" s="19"/>
      <c r="D452" s="19"/>
      <c r="E452" s="19"/>
      <c r="F452" s="19"/>
      <c r="O452" s="20"/>
      <c r="P452" s="20"/>
    </row>
    <row r="453" spans="2:16" x14ac:dyDescent="0.7">
      <c r="B453" s="19"/>
      <c r="C453" s="19"/>
      <c r="D453" s="19"/>
      <c r="E453" s="19"/>
      <c r="F453" s="19"/>
      <c r="O453" s="20"/>
      <c r="P453" s="20"/>
    </row>
    <row r="454" spans="2:16" x14ac:dyDescent="0.7">
      <c r="B454" s="19"/>
      <c r="C454" s="19"/>
      <c r="D454" s="19"/>
      <c r="E454" s="19"/>
      <c r="F454" s="19"/>
      <c r="O454" s="20"/>
      <c r="P454" s="20"/>
    </row>
    <row r="455" spans="2:16" x14ac:dyDescent="0.7">
      <c r="B455" s="19"/>
      <c r="C455" s="19"/>
      <c r="D455" s="19"/>
      <c r="E455" s="19"/>
      <c r="F455" s="19"/>
      <c r="O455" s="20"/>
      <c r="P455" s="20"/>
    </row>
    <row r="456" spans="2:16" x14ac:dyDescent="0.7">
      <c r="B456" s="19"/>
      <c r="C456" s="19"/>
      <c r="D456" s="19"/>
      <c r="E456" s="19"/>
      <c r="F456" s="19"/>
      <c r="O456" s="20"/>
      <c r="P456" s="20"/>
    </row>
    <row r="457" spans="2:16" x14ac:dyDescent="0.7">
      <c r="B457" s="19"/>
      <c r="C457" s="19"/>
      <c r="D457" s="19"/>
      <c r="E457" s="19"/>
      <c r="F457" s="19"/>
      <c r="O457" s="20"/>
      <c r="P457" s="20"/>
    </row>
    <row r="458" spans="2:16" x14ac:dyDescent="0.7">
      <c r="B458" s="19"/>
      <c r="C458" s="19"/>
      <c r="D458" s="19"/>
      <c r="E458" s="19"/>
      <c r="F458" s="19"/>
      <c r="O458" s="20"/>
      <c r="P458" s="20"/>
    </row>
    <row r="459" spans="2:16" x14ac:dyDescent="0.7">
      <c r="B459" s="19"/>
      <c r="C459" s="19"/>
      <c r="D459" s="19"/>
      <c r="E459" s="19"/>
      <c r="F459" s="19"/>
      <c r="O459" s="20"/>
      <c r="P459" s="20"/>
    </row>
    <row r="460" spans="2:16" x14ac:dyDescent="0.7">
      <c r="B460" s="19"/>
      <c r="C460" s="19"/>
      <c r="D460" s="19"/>
      <c r="E460" s="19"/>
      <c r="F460" s="19"/>
      <c r="O460" s="20"/>
      <c r="P460" s="20"/>
    </row>
    <row r="461" spans="2:16" x14ac:dyDescent="0.7">
      <c r="B461" s="19"/>
      <c r="C461" s="19"/>
      <c r="D461" s="19"/>
      <c r="E461" s="19"/>
      <c r="F461" s="19"/>
      <c r="O461" s="20"/>
      <c r="P461" s="20"/>
    </row>
    <row r="462" spans="2:16" x14ac:dyDescent="0.7">
      <c r="B462" s="19"/>
      <c r="C462" s="19"/>
      <c r="D462" s="19"/>
      <c r="E462" s="19"/>
      <c r="F462" s="19"/>
      <c r="O462" s="20"/>
      <c r="P462" s="20"/>
    </row>
    <row r="463" spans="2:16" x14ac:dyDescent="0.7">
      <c r="B463" s="19"/>
      <c r="C463" s="19"/>
      <c r="D463" s="19"/>
      <c r="E463" s="19"/>
      <c r="F463" s="19"/>
      <c r="O463" s="20"/>
      <c r="P463" s="20"/>
    </row>
    <row r="464" spans="2:16" x14ac:dyDescent="0.7">
      <c r="B464" s="19"/>
      <c r="C464" s="19"/>
      <c r="D464" s="19"/>
      <c r="E464" s="19"/>
      <c r="F464" s="19"/>
      <c r="O464" s="20"/>
      <c r="P464" s="20"/>
    </row>
    <row r="465" spans="2:16" x14ac:dyDescent="0.7">
      <c r="B465" s="19"/>
      <c r="C465" s="19"/>
      <c r="D465" s="19"/>
      <c r="E465" s="19"/>
      <c r="F465" s="19"/>
      <c r="O465" s="20"/>
      <c r="P465" s="20"/>
    </row>
    <row r="466" spans="2:16" x14ac:dyDescent="0.7">
      <c r="B466" s="19"/>
      <c r="C466" s="19"/>
      <c r="D466" s="19"/>
      <c r="E466" s="19"/>
      <c r="F466" s="19"/>
      <c r="O466" s="20"/>
      <c r="P466" s="20"/>
    </row>
    <row r="467" spans="2:16" x14ac:dyDescent="0.7">
      <c r="B467" s="19"/>
      <c r="C467" s="19"/>
      <c r="D467" s="19"/>
      <c r="E467" s="19"/>
      <c r="F467" s="19"/>
      <c r="O467" s="20"/>
      <c r="P467" s="20"/>
    </row>
    <row r="468" spans="2:16" x14ac:dyDescent="0.7">
      <c r="B468" s="19"/>
      <c r="C468" s="19"/>
      <c r="D468" s="19"/>
      <c r="E468" s="19"/>
      <c r="F468" s="19"/>
      <c r="O468" s="20"/>
      <c r="P468" s="20"/>
    </row>
    <row r="469" spans="2:16" x14ac:dyDescent="0.7">
      <c r="B469" s="19"/>
      <c r="C469" s="19"/>
      <c r="D469" s="19"/>
      <c r="E469" s="19"/>
      <c r="F469" s="19"/>
      <c r="O469" s="20"/>
      <c r="P469" s="20"/>
    </row>
    <row r="470" spans="2:16" x14ac:dyDescent="0.7">
      <c r="B470" s="19"/>
      <c r="C470" s="19"/>
      <c r="D470" s="19"/>
      <c r="E470" s="19"/>
      <c r="F470" s="19"/>
      <c r="O470" s="20"/>
      <c r="P470" s="20"/>
    </row>
    <row r="471" spans="2:16" x14ac:dyDescent="0.7">
      <c r="B471" s="19"/>
      <c r="C471" s="19"/>
      <c r="D471" s="19"/>
      <c r="E471" s="19"/>
      <c r="F471" s="19"/>
      <c r="O471" s="20"/>
      <c r="P471" s="20"/>
    </row>
    <row r="472" spans="2:16" x14ac:dyDescent="0.7">
      <c r="B472" s="19"/>
      <c r="C472" s="19"/>
      <c r="D472" s="19"/>
      <c r="E472" s="19"/>
      <c r="F472" s="19"/>
      <c r="O472" s="20"/>
      <c r="P472" s="20"/>
    </row>
    <row r="473" spans="2:16" x14ac:dyDescent="0.7">
      <c r="B473" s="19"/>
      <c r="C473" s="19"/>
      <c r="D473" s="19"/>
      <c r="E473" s="19"/>
      <c r="F473" s="19"/>
      <c r="O473" s="20"/>
      <c r="P473" s="20"/>
    </row>
    <row r="474" spans="2:16" x14ac:dyDescent="0.7">
      <c r="B474" s="19"/>
      <c r="C474" s="19"/>
      <c r="D474" s="19"/>
      <c r="E474" s="19"/>
      <c r="F474" s="19"/>
      <c r="O474" s="20"/>
      <c r="P474" s="20"/>
    </row>
    <row r="475" spans="2:16" x14ac:dyDescent="0.7">
      <c r="B475" s="19"/>
      <c r="C475" s="19"/>
      <c r="D475" s="19"/>
      <c r="E475" s="19"/>
      <c r="F475" s="19"/>
      <c r="O475" s="20"/>
      <c r="P475" s="20"/>
    </row>
    <row r="476" spans="2:16" x14ac:dyDescent="0.7">
      <c r="B476" s="19"/>
      <c r="C476" s="19"/>
      <c r="D476" s="19"/>
      <c r="E476" s="19"/>
      <c r="F476" s="19"/>
      <c r="O476" s="20"/>
      <c r="P476" s="20"/>
    </row>
    <row r="477" spans="2:16" x14ac:dyDescent="0.7">
      <c r="B477" s="19"/>
      <c r="C477" s="19"/>
      <c r="D477" s="19"/>
      <c r="E477" s="19"/>
      <c r="F477" s="19"/>
      <c r="O477" s="20"/>
      <c r="P477" s="20"/>
    </row>
    <row r="478" spans="2:16" x14ac:dyDescent="0.7">
      <c r="B478" s="19"/>
      <c r="C478" s="19"/>
      <c r="D478" s="19"/>
      <c r="E478" s="19"/>
      <c r="F478" s="19"/>
      <c r="O478" s="20"/>
      <c r="P478" s="20"/>
    </row>
    <row r="479" spans="2:16" x14ac:dyDescent="0.7">
      <c r="B479" s="19"/>
      <c r="C479" s="19"/>
      <c r="D479" s="19"/>
      <c r="E479" s="19"/>
      <c r="F479" s="19"/>
      <c r="O479" s="20"/>
      <c r="P479" s="20"/>
    </row>
    <row r="480" spans="2:16" x14ac:dyDescent="0.7">
      <c r="B480" s="19"/>
      <c r="C480" s="19"/>
      <c r="D480" s="19"/>
      <c r="E480" s="19"/>
      <c r="F480" s="19"/>
      <c r="O480" s="20"/>
      <c r="P480" s="20"/>
    </row>
    <row r="481" spans="2:16" x14ac:dyDescent="0.7">
      <c r="B481" s="19"/>
      <c r="C481" s="19"/>
      <c r="D481" s="19"/>
      <c r="E481" s="19"/>
      <c r="F481" s="19"/>
      <c r="O481" s="20"/>
      <c r="P481" s="20"/>
    </row>
    <row r="482" spans="2:16" x14ac:dyDescent="0.7">
      <c r="B482" s="19"/>
      <c r="C482" s="19"/>
      <c r="D482" s="19"/>
      <c r="E482" s="19"/>
      <c r="F482" s="19"/>
      <c r="O482" s="20"/>
      <c r="P482" s="20"/>
    </row>
    <row r="483" spans="2:16" x14ac:dyDescent="0.7">
      <c r="B483" s="19"/>
      <c r="C483" s="19"/>
      <c r="D483" s="19"/>
      <c r="E483" s="19"/>
      <c r="F483" s="19"/>
      <c r="O483" s="20"/>
      <c r="P483" s="20"/>
    </row>
    <row r="484" spans="2:16" x14ac:dyDescent="0.7">
      <c r="B484" s="19"/>
      <c r="C484" s="19"/>
      <c r="D484" s="19"/>
      <c r="E484" s="19"/>
      <c r="F484" s="19"/>
      <c r="O484" s="20"/>
      <c r="P484" s="20"/>
    </row>
    <row r="485" spans="2:16" x14ac:dyDescent="0.7">
      <c r="B485" s="19"/>
      <c r="C485" s="19"/>
      <c r="D485" s="19"/>
      <c r="E485" s="19"/>
      <c r="F485" s="19"/>
      <c r="O485" s="20"/>
      <c r="P485" s="20"/>
    </row>
    <row r="486" spans="2:16" x14ac:dyDescent="0.7">
      <c r="B486" s="19"/>
      <c r="C486" s="19"/>
      <c r="D486" s="19"/>
      <c r="E486" s="19"/>
      <c r="F486" s="19"/>
      <c r="O486" s="20"/>
      <c r="P486" s="20"/>
    </row>
    <row r="487" spans="2:16" x14ac:dyDescent="0.7">
      <c r="B487" s="19"/>
      <c r="C487" s="19"/>
      <c r="D487" s="19"/>
      <c r="E487" s="19"/>
      <c r="F487" s="19"/>
      <c r="O487" s="20"/>
      <c r="P487" s="20"/>
    </row>
    <row r="488" spans="2:16" x14ac:dyDescent="0.7">
      <c r="B488" s="19"/>
      <c r="C488" s="19"/>
      <c r="D488" s="19"/>
      <c r="E488" s="19"/>
      <c r="F488" s="19"/>
      <c r="O488" s="20"/>
      <c r="P488" s="20"/>
    </row>
    <row r="489" spans="2:16" x14ac:dyDescent="0.7">
      <c r="B489" s="19"/>
      <c r="C489" s="19"/>
      <c r="D489" s="19"/>
      <c r="E489" s="19"/>
      <c r="F489" s="19"/>
      <c r="O489" s="20"/>
      <c r="P489" s="20"/>
    </row>
    <row r="490" spans="2:16" x14ac:dyDescent="0.7">
      <c r="B490" s="19"/>
      <c r="C490" s="19"/>
      <c r="D490" s="19"/>
      <c r="E490" s="19"/>
      <c r="F490" s="19"/>
      <c r="O490" s="20"/>
      <c r="P490" s="20"/>
    </row>
    <row r="491" spans="2:16" x14ac:dyDescent="0.7">
      <c r="B491" s="19"/>
      <c r="C491" s="19"/>
      <c r="D491" s="19"/>
      <c r="E491" s="19"/>
      <c r="F491" s="19"/>
      <c r="O491" s="20"/>
      <c r="P491" s="20"/>
    </row>
    <row r="492" spans="2:16" x14ac:dyDescent="0.7">
      <c r="B492" s="19"/>
      <c r="C492" s="19"/>
      <c r="D492" s="19"/>
      <c r="E492" s="19"/>
      <c r="F492" s="19"/>
      <c r="O492" s="20"/>
      <c r="P492" s="20"/>
    </row>
    <row r="493" spans="2:16" x14ac:dyDescent="0.7">
      <c r="B493" s="19"/>
      <c r="C493" s="19"/>
      <c r="D493" s="19"/>
      <c r="E493" s="19"/>
      <c r="F493" s="19"/>
      <c r="O493" s="20"/>
      <c r="P493" s="20"/>
    </row>
    <row r="494" spans="2:16" x14ac:dyDescent="0.7">
      <c r="B494" s="19"/>
      <c r="C494" s="19"/>
      <c r="D494" s="19"/>
      <c r="E494" s="19"/>
      <c r="F494" s="19"/>
      <c r="O494" s="20"/>
      <c r="P494" s="20"/>
    </row>
    <row r="495" spans="2:16" x14ac:dyDescent="0.7">
      <c r="B495" s="19"/>
      <c r="C495" s="19"/>
      <c r="D495" s="19"/>
      <c r="E495" s="19"/>
      <c r="F495" s="19"/>
      <c r="O495" s="20"/>
      <c r="P495" s="20"/>
    </row>
    <row r="496" spans="2:16" x14ac:dyDescent="0.7">
      <c r="B496" s="19"/>
      <c r="C496" s="19"/>
      <c r="D496" s="19"/>
      <c r="E496" s="19"/>
      <c r="F496" s="19"/>
      <c r="O496" s="20"/>
      <c r="P496" s="20"/>
    </row>
    <row r="497" spans="2:16" x14ac:dyDescent="0.7">
      <c r="B497" s="19"/>
      <c r="C497" s="19"/>
      <c r="D497" s="19"/>
      <c r="E497" s="19"/>
      <c r="F497" s="19"/>
      <c r="O497" s="20"/>
      <c r="P497" s="20"/>
    </row>
    <row r="498" spans="2:16" x14ac:dyDescent="0.7">
      <c r="B498" s="19"/>
      <c r="C498" s="19"/>
      <c r="D498" s="19"/>
      <c r="E498" s="19"/>
      <c r="F498" s="19"/>
      <c r="O498" s="20"/>
      <c r="P498" s="20"/>
    </row>
    <row r="499" spans="2:16" x14ac:dyDescent="0.7">
      <c r="B499" s="19"/>
      <c r="C499" s="19"/>
      <c r="D499" s="19"/>
      <c r="E499" s="19"/>
      <c r="F499" s="19"/>
      <c r="O499" s="20"/>
      <c r="P499" s="20"/>
    </row>
    <row r="500" spans="2:16" x14ac:dyDescent="0.7">
      <c r="B500" s="19"/>
      <c r="C500" s="19"/>
      <c r="D500" s="19"/>
      <c r="E500" s="19"/>
      <c r="F500" s="19"/>
      <c r="O500" s="20"/>
      <c r="P500" s="20"/>
    </row>
    <row r="501" spans="2:16" x14ac:dyDescent="0.7">
      <c r="B501" s="19"/>
      <c r="C501" s="19"/>
      <c r="D501" s="19"/>
      <c r="E501" s="19"/>
      <c r="F501" s="19"/>
      <c r="O501" s="20"/>
      <c r="P501" s="20"/>
    </row>
    <row r="502" spans="2:16" x14ac:dyDescent="0.7">
      <c r="B502" s="19"/>
      <c r="C502" s="19"/>
      <c r="D502" s="19"/>
      <c r="E502" s="19"/>
      <c r="F502" s="19"/>
      <c r="O502" s="20"/>
      <c r="P502" s="20"/>
    </row>
    <row r="503" spans="2:16" x14ac:dyDescent="0.7">
      <c r="B503" s="19"/>
      <c r="C503" s="19"/>
      <c r="D503" s="19"/>
      <c r="E503" s="19"/>
      <c r="F503" s="19"/>
      <c r="O503" s="20"/>
      <c r="P503" s="20"/>
    </row>
    <row r="504" spans="2:16" x14ac:dyDescent="0.7">
      <c r="B504" s="19"/>
      <c r="C504" s="19"/>
      <c r="D504" s="19"/>
      <c r="E504" s="19"/>
      <c r="F504" s="19"/>
      <c r="O504" s="20"/>
      <c r="P504" s="20"/>
    </row>
    <row r="505" spans="2:16" x14ac:dyDescent="0.7">
      <c r="B505" s="19"/>
      <c r="C505" s="19"/>
      <c r="D505" s="19"/>
      <c r="E505" s="19"/>
      <c r="F505" s="19"/>
      <c r="O505" s="20"/>
      <c r="P505" s="20"/>
    </row>
    <row r="506" spans="2:16" x14ac:dyDescent="0.7">
      <c r="B506" s="19"/>
      <c r="C506" s="19"/>
      <c r="D506" s="19"/>
      <c r="E506" s="19"/>
      <c r="F506" s="19"/>
      <c r="O506" s="20"/>
      <c r="P506" s="20"/>
    </row>
    <row r="507" spans="2:16" x14ac:dyDescent="0.7">
      <c r="B507" s="19"/>
      <c r="C507" s="19"/>
      <c r="D507" s="19"/>
      <c r="E507" s="19"/>
      <c r="F507" s="19"/>
      <c r="O507" s="20"/>
      <c r="P507" s="20"/>
    </row>
    <row r="508" spans="2:16" x14ac:dyDescent="0.7">
      <c r="B508" s="19"/>
      <c r="C508" s="19"/>
      <c r="D508" s="19"/>
      <c r="E508" s="19"/>
      <c r="F508" s="19"/>
      <c r="O508" s="20"/>
      <c r="P508" s="20"/>
    </row>
    <row r="509" spans="2:16" x14ac:dyDescent="0.7">
      <c r="B509" s="19"/>
      <c r="C509" s="19"/>
      <c r="D509" s="19"/>
      <c r="E509" s="19"/>
      <c r="F509" s="19"/>
      <c r="O509" s="20"/>
      <c r="P509" s="20"/>
    </row>
    <row r="510" spans="2:16" x14ac:dyDescent="0.7">
      <c r="B510" s="19"/>
      <c r="C510" s="19"/>
      <c r="D510" s="19"/>
      <c r="E510" s="19"/>
      <c r="F510" s="19"/>
      <c r="O510" s="20"/>
      <c r="P510" s="20"/>
    </row>
    <row r="511" spans="2:16" x14ac:dyDescent="0.7">
      <c r="B511" s="19"/>
      <c r="C511" s="19"/>
      <c r="D511" s="19"/>
      <c r="E511" s="19"/>
      <c r="F511" s="19"/>
      <c r="O511" s="20"/>
      <c r="P511" s="20"/>
    </row>
    <row r="512" spans="2:16" x14ac:dyDescent="0.7">
      <c r="B512" s="19"/>
      <c r="C512" s="19"/>
      <c r="D512" s="19"/>
      <c r="E512" s="19"/>
      <c r="F512" s="19"/>
      <c r="O512" s="20"/>
      <c r="P512" s="20"/>
    </row>
    <row r="513" spans="2:16" x14ac:dyDescent="0.7">
      <c r="B513" s="19"/>
      <c r="C513" s="19"/>
      <c r="D513" s="19"/>
      <c r="E513" s="19"/>
      <c r="F513" s="19"/>
      <c r="O513" s="20"/>
      <c r="P513" s="20"/>
    </row>
    <row r="514" spans="2:16" x14ac:dyDescent="0.7">
      <c r="B514" s="19"/>
      <c r="C514" s="19"/>
      <c r="D514" s="19"/>
      <c r="E514" s="19"/>
      <c r="F514" s="19"/>
      <c r="O514" s="20"/>
      <c r="P514" s="20"/>
    </row>
    <row r="515" spans="2:16" x14ac:dyDescent="0.7">
      <c r="B515" s="19"/>
      <c r="C515" s="19"/>
      <c r="D515" s="19"/>
      <c r="E515" s="19"/>
      <c r="F515" s="19"/>
      <c r="O515" s="20"/>
      <c r="P515" s="20"/>
    </row>
    <row r="516" spans="2:16" x14ac:dyDescent="0.7">
      <c r="B516" s="19"/>
      <c r="C516" s="19"/>
      <c r="D516" s="19"/>
      <c r="E516" s="19"/>
      <c r="F516" s="19"/>
      <c r="O516" s="20"/>
      <c r="P516" s="20"/>
    </row>
    <row r="517" spans="2:16" x14ac:dyDescent="0.7">
      <c r="B517" s="19"/>
      <c r="C517" s="19"/>
      <c r="D517" s="19"/>
      <c r="E517" s="19"/>
      <c r="F517" s="19"/>
      <c r="O517" s="20"/>
      <c r="P517" s="20"/>
    </row>
    <row r="518" spans="2:16" x14ac:dyDescent="0.7">
      <c r="B518" s="19"/>
      <c r="C518" s="19"/>
      <c r="D518" s="19"/>
      <c r="E518" s="19"/>
      <c r="F518" s="19"/>
      <c r="O518" s="20"/>
      <c r="P518" s="20"/>
    </row>
    <row r="519" spans="2:16" x14ac:dyDescent="0.7">
      <c r="B519" s="19"/>
      <c r="C519" s="19"/>
      <c r="D519" s="19"/>
      <c r="E519" s="19"/>
      <c r="F519" s="19"/>
      <c r="O519" s="20"/>
      <c r="P519" s="20"/>
    </row>
    <row r="520" spans="2:16" x14ac:dyDescent="0.7">
      <c r="B520" s="19"/>
      <c r="C520" s="19"/>
      <c r="D520" s="19"/>
      <c r="E520" s="19"/>
      <c r="F520" s="19"/>
      <c r="O520" s="20"/>
      <c r="P520" s="20"/>
    </row>
    <row r="521" spans="2:16" x14ac:dyDescent="0.7">
      <c r="B521" s="19"/>
      <c r="C521" s="19"/>
      <c r="D521" s="19"/>
      <c r="E521" s="19"/>
      <c r="F521" s="19"/>
      <c r="O521" s="20"/>
      <c r="P521" s="20"/>
    </row>
    <row r="522" spans="2:16" x14ac:dyDescent="0.7">
      <c r="B522" s="19"/>
      <c r="C522" s="19"/>
      <c r="D522" s="19"/>
      <c r="E522" s="19"/>
      <c r="F522" s="19"/>
      <c r="O522" s="20"/>
      <c r="P522" s="20"/>
    </row>
    <row r="523" spans="2:16" x14ac:dyDescent="0.7">
      <c r="B523" s="19"/>
      <c r="C523" s="19"/>
      <c r="D523" s="19"/>
      <c r="E523" s="19"/>
      <c r="F523" s="19"/>
      <c r="O523" s="20"/>
      <c r="P523" s="20"/>
    </row>
    <row r="524" spans="2:16" x14ac:dyDescent="0.7">
      <c r="B524" s="19"/>
      <c r="C524" s="19"/>
      <c r="D524" s="19"/>
      <c r="E524" s="19"/>
      <c r="F524" s="19"/>
      <c r="O524" s="20"/>
      <c r="P524" s="20"/>
    </row>
    <row r="525" spans="2:16" x14ac:dyDescent="0.7">
      <c r="B525" s="19"/>
      <c r="C525" s="19"/>
      <c r="D525" s="19"/>
      <c r="E525" s="19"/>
      <c r="F525" s="19"/>
      <c r="O525" s="20"/>
      <c r="P525" s="20"/>
    </row>
    <row r="526" spans="2:16" x14ac:dyDescent="0.7">
      <c r="B526" s="19"/>
      <c r="C526" s="19"/>
      <c r="D526" s="19"/>
      <c r="E526" s="19"/>
      <c r="F526" s="19"/>
      <c r="O526" s="20"/>
      <c r="P526" s="20"/>
    </row>
    <row r="527" spans="2:16" x14ac:dyDescent="0.7">
      <c r="B527" s="19"/>
      <c r="C527" s="19"/>
      <c r="D527" s="19"/>
      <c r="E527" s="19"/>
      <c r="F527" s="19"/>
      <c r="O527" s="20"/>
      <c r="P527" s="20"/>
    </row>
    <row r="528" spans="2:16" x14ac:dyDescent="0.7">
      <c r="B528" s="19"/>
      <c r="C528" s="19"/>
      <c r="D528" s="19"/>
      <c r="E528" s="19"/>
      <c r="F528" s="19"/>
      <c r="O528" s="20"/>
      <c r="P528" s="20"/>
    </row>
    <row r="529" spans="2:16" x14ac:dyDescent="0.7">
      <c r="B529" s="19"/>
      <c r="C529" s="19"/>
      <c r="D529" s="19"/>
      <c r="E529" s="19"/>
      <c r="F529" s="19"/>
      <c r="O529" s="20"/>
      <c r="P529" s="20"/>
    </row>
    <row r="530" spans="2:16" x14ac:dyDescent="0.7">
      <c r="B530" s="19"/>
      <c r="C530" s="19"/>
      <c r="D530" s="19"/>
      <c r="E530" s="19"/>
      <c r="F530" s="19"/>
      <c r="O530" s="20"/>
      <c r="P530" s="20"/>
    </row>
    <row r="531" spans="2:16" x14ac:dyDescent="0.7">
      <c r="B531" s="19"/>
      <c r="C531" s="19"/>
      <c r="D531" s="19"/>
      <c r="E531" s="19"/>
      <c r="F531" s="19"/>
      <c r="O531" s="20"/>
      <c r="P531" s="20"/>
    </row>
    <row r="532" spans="2:16" x14ac:dyDescent="0.7">
      <c r="B532" s="19"/>
      <c r="C532" s="19"/>
      <c r="D532" s="19"/>
      <c r="E532" s="19"/>
      <c r="F532" s="19"/>
      <c r="O532" s="20"/>
      <c r="P532" s="20"/>
    </row>
    <row r="533" spans="2:16" x14ac:dyDescent="0.7">
      <c r="B533" s="19"/>
      <c r="C533" s="19"/>
      <c r="D533" s="19"/>
      <c r="E533" s="19"/>
      <c r="F533" s="19"/>
      <c r="O533" s="20"/>
      <c r="P533" s="20"/>
    </row>
    <row r="534" spans="2:16" x14ac:dyDescent="0.7">
      <c r="B534" s="19"/>
      <c r="C534" s="19"/>
      <c r="D534" s="19"/>
      <c r="E534" s="19"/>
      <c r="F534" s="19"/>
      <c r="O534" s="20"/>
      <c r="P534" s="20"/>
    </row>
    <row r="535" spans="2:16" x14ac:dyDescent="0.7">
      <c r="B535" s="19"/>
      <c r="C535" s="19"/>
      <c r="D535" s="19"/>
      <c r="E535" s="19"/>
      <c r="F535" s="19"/>
      <c r="O535" s="20"/>
      <c r="P535" s="20"/>
    </row>
    <row r="536" spans="2:16" x14ac:dyDescent="0.7">
      <c r="B536" s="19"/>
      <c r="C536" s="19"/>
      <c r="D536" s="19"/>
      <c r="E536" s="19"/>
      <c r="F536" s="19"/>
      <c r="O536" s="20"/>
      <c r="P536" s="20"/>
    </row>
    <row r="537" spans="2:16" x14ac:dyDescent="0.7">
      <c r="B537" s="19"/>
      <c r="C537" s="19"/>
      <c r="D537" s="19"/>
      <c r="E537" s="19"/>
      <c r="F537" s="19"/>
      <c r="O537" s="20"/>
      <c r="P537" s="20"/>
    </row>
    <row r="538" spans="2:16" x14ac:dyDescent="0.7">
      <c r="B538" s="19"/>
      <c r="C538" s="19"/>
      <c r="D538" s="19"/>
      <c r="E538" s="19"/>
      <c r="F538" s="19"/>
      <c r="O538" s="20"/>
      <c r="P538" s="20"/>
    </row>
    <row r="539" spans="2:16" x14ac:dyDescent="0.7">
      <c r="B539" s="19"/>
      <c r="C539" s="19"/>
      <c r="D539" s="19"/>
      <c r="E539" s="19"/>
      <c r="F539" s="19"/>
      <c r="O539" s="20"/>
      <c r="P539" s="20"/>
    </row>
    <row r="540" spans="2:16" x14ac:dyDescent="0.7">
      <c r="B540" s="19"/>
      <c r="C540" s="19"/>
      <c r="D540" s="19"/>
      <c r="E540" s="19"/>
      <c r="F540" s="19"/>
      <c r="O540" s="20"/>
      <c r="P540" s="20"/>
    </row>
    <row r="541" spans="2:16" x14ac:dyDescent="0.7">
      <c r="B541" s="19"/>
      <c r="C541" s="19"/>
      <c r="D541" s="19"/>
      <c r="E541" s="19"/>
      <c r="F541" s="19"/>
      <c r="O541" s="20"/>
      <c r="P541" s="20"/>
    </row>
    <row r="542" spans="2:16" x14ac:dyDescent="0.7">
      <c r="B542" s="19"/>
      <c r="C542" s="19"/>
      <c r="D542" s="19"/>
      <c r="E542" s="19"/>
      <c r="F542" s="19"/>
      <c r="O542" s="20"/>
      <c r="P542" s="20"/>
    </row>
    <row r="543" spans="2:16" x14ac:dyDescent="0.7">
      <c r="B543" s="19"/>
      <c r="C543" s="19"/>
      <c r="D543" s="19"/>
      <c r="E543" s="19"/>
      <c r="F543" s="19"/>
      <c r="O543" s="20"/>
      <c r="P543" s="20"/>
    </row>
    <row r="544" spans="2:16" x14ac:dyDescent="0.7">
      <c r="B544" s="19"/>
      <c r="C544" s="19"/>
      <c r="D544" s="19"/>
      <c r="E544" s="19"/>
      <c r="F544" s="19"/>
      <c r="O544" s="20"/>
      <c r="P544" s="20"/>
    </row>
    <row r="545" spans="2:16" x14ac:dyDescent="0.7">
      <c r="B545" s="19"/>
      <c r="C545" s="19"/>
      <c r="D545" s="19"/>
      <c r="E545" s="19"/>
      <c r="F545" s="19"/>
      <c r="O545" s="20"/>
      <c r="P545" s="20"/>
    </row>
    <row r="546" spans="2:16" x14ac:dyDescent="0.7">
      <c r="B546" s="19"/>
      <c r="C546" s="19"/>
      <c r="D546" s="19"/>
      <c r="E546" s="19"/>
      <c r="F546" s="19"/>
      <c r="O546" s="20"/>
      <c r="P546" s="20"/>
    </row>
    <row r="547" spans="2:16" x14ac:dyDescent="0.7">
      <c r="B547" s="19"/>
      <c r="C547" s="19"/>
      <c r="D547" s="19"/>
      <c r="E547" s="19"/>
      <c r="F547" s="19"/>
      <c r="O547" s="20"/>
      <c r="P547" s="20"/>
    </row>
    <row r="548" spans="2:16" x14ac:dyDescent="0.7">
      <c r="B548" s="19"/>
      <c r="C548" s="19"/>
      <c r="D548" s="19"/>
      <c r="E548" s="19"/>
      <c r="F548" s="19"/>
      <c r="O548" s="20"/>
      <c r="P548" s="20"/>
    </row>
    <row r="549" spans="2:16" x14ac:dyDescent="0.7">
      <c r="B549" s="19"/>
      <c r="C549" s="19"/>
      <c r="D549" s="19"/>
      <c r="E549" s="19"/>
      <c r="F549" s="19"/>
      <c r="O549" s="20"/>
      <c r="P549" s="20"/>
    </row>
    <row r="550" spans="2:16" x14ac:dyDescent="0.7">
      <c r="B550" s="19"/>
      <c r="C550" s="19"/>
      <c r="D550" s="19"/>
      <c r="E550" s="19"/>
      <c r="F550" s="19"/>
      <c r="O550" s="20"/>
      <c r="P550" s="20"/>
    </row>
    <row r="551" spans="2:16" x14ac:dyDescent="0.7">
      <c r="B551" s="19"/>
      <c r="C551" s="19"/>
      <c r="D551" s="19"/>
      <c r="E551" s="19"/>
      <c r="F551" s="19"/>
      <c r="O551" s="20"/>
      <c r="P551" s="20"/>
    </row>
    <row r="552" spans="2:16" x14ac:dyDescent="0.7">
      <c r="B552" s="19"/>
      <c r="C552" s="19"/>
      <c r="D552" s="19"/>
      <c r="E552" s="19"/>
      <c r="F552" s="19"/>
      <c r="O552" s="20"/>
      <c r="P552" s="20"/>
    </row>
    <row r="553" spans="2:16" x14ac:dyDescent="0.7">
      <c r="B553" s="19"/>
      <c r="C553" s="19"/>
      <c r="D553" s="19"/>
      <c r="E553" s="19"/>
      <c r="F553" s="19"/>
      <c r="O553" s="20"/>
      <c r="P553" s="20"/>
    </row>
    <row r="554" spans="2:16" x14ac:dyDescent="0.7">
      <c r="B554" s="19"/>
      <c r="C554" s="19"/>
      <c r="D554" s="19"/>
      <c r="E554" s="19"/>
      <c r="F554" s="19"/>
      <c r="O554" s="20"/>
      <c r="P554" s="20"/>
    </row>
    <row r="555" spans="2:16" x14ac:dyDescent="0.7">
      <c r="B555" s="19"/>
      <c r="C555" s="19"/>
      <c r="D555" s="19"/>
      <c r="E555" s="19"/>
      <c r="F555" s="19"/>
      <c r="O555" s="20"/>
      <c r="P555" s="20"/>
    </row>
    <row r="556" spans="2:16" x14ac:dyDescent="0.7">
      <c r="B556" s="19"/>
      <c r="C556" s="19"/>
      <c r="D556" s="19"/>
      <c r="E556" s="19"/>
      <c r="F556" s="19"/>
      <c r="O556" s="20"/>
      <c r="P556" s="20"/>
    </row>
    <row r="557" spans="2:16" x14ac:dyDescent="0.7">
      <c r="B557" s="19"/>
      <c r="C557" s="19"/>
      <c r="D557" s="19"/>
      <c r="E557" s="19"/>
      <c r="F557" s="19"/>
      <c r="O557" s="20"/>
      <c r="P557" s="20"/>
    </row>
    <row r="558" spans="2:16" x14ac:dyDescent="0.7">
      <c r="B558" s="19"/>
      <c r="C558" s="19"/>
      <c r="D558" s="19"/>
      <c r="E558" s="19"/>
      <c r="F558" s="19"/>
      <c r="O558" s="20"/>
      <c r="P558" s="20"/>
    </row>
    <row r="559" spans="2:16" x14ac:dyDescent="0.7">
      <c r="B559" s="19"/>
      <c r="C559" s="19"/>
      <c r="D559" s="19"/>
      <c r="E559" s="19"/>
      <c r="F559" s="19"/>
      <c r="O559" s="20"/>
      <c r="P559" s="20"/>
    </row>
    <row r="560" spans="2:16" x14ac:dyDescent="0.7">
      <c r="B560" s="19"/>
      <c r="C560" s="19"/>
      <c r="D560" s="19"/>
      <c r="E560" s="19"/>
      <c r="F560" s="19"/>
      <c r="O560" s="20"/>
      <c r="P560" s="20"/>
    </row>
    <row r="561" spans="2:16" x14ac:dyDescent="0.7">
      <c r="B561" s="19"/>
      <c r="C561" s="19"/>
      <c r="D561" s="19"/>
      <c r="E561" s="19"/>
      <c r="F561" s="19"/>
      <c r="O561" s="20"/>
      <c r="P561" s="20"/>
    </row>
    <row r="562" spans="2:16" x14ac:dyDescent="0.7">
      <c r="B562" s="19"/>
      <c r="C562" s="19"/>
      <c r="D562" s="19"/>
      <c r="E562" s="19"/>
      <c r="F562" s="19"/>
      <c r="O562" s="20"/>
      <c r="P562" s="20"/>
    </row>
    <row r="563" spans="2:16" x14ac:dyDescent="0.7">
      <c r="B563" s="19"/>
      <c r="C563" s="19"/>
      <c r="D563" s="19"/>
      <c r="E563" s="19"/>
      <c r="F563" s="19"/>
      <c r="O563" s="20"/>
      <c r="P563" s="20"/>
    </row>
    <row r="564" spans="2:16" x14ac:dyDescent="0.7">
      <c r="B564" s="19"/>
      <c r="C564" s="19"/>
      <c r="D564" s="19"/>
      <c r="E564" s="19"/>
      <c r="F564" s="19"/>
      <c r="O564" s="20"/>
      <c r="P564" s="20"/>
    </row>
    <row r="565" spans="2:16" x14ac:dyDescent="0.7">
      <c r="B565" s="19"/>
      <c r="C565" s="19"/>
      <c r="D565" s="19"/>
      <c r="E565" s="19"/>
      <c r="F565" s="19"/>
      <c r="O565" s="20"/>
      <c r="P565" s="20"/>
    </row>
    <row r="566" spans="2:16" x14ac:dyDescent="0.7">
      <c r="B566" s="19"/>
      <c r="C566" s="19"/>
      <c r="D566" s="19"/>
      <c r="E566" s="19"/>
      <c r="F566" s="19"/>
      <c r="O566" s="20"/>
      <c r="P566" s="20"/>
    </row>
    <row r="567" spans="2:16" x14ac:dyDescent="0.7">
      <c r="B567" s="19"/>
      <c r="C567" s="19"/>
      <c r="D567" s="19"/>
      <c r="E567" s="19"/>
      <c r="F567" s="19"/>
      <c r="O567" s="20"/>
      <c r="P567" s="20"/>
    </row>
    <row r="568" spans="2:16" x14ac:dyDescent="0.7">
      <c r="B568" s="19"/>
      <c r="C568" s="19"/>
      <c r="D568" s="19"/>
      <c r="E568" s="19"/>
      <c r="F568" s="19"/>
      <c r="O568" s="20"/>
      <c r="P568" s="20"/>
    </row>
    <row r="569" spans="2:16" x14ac:dyDescent="0.7">
      <c r="B569" s="19"/>
      <c r="C569" s="19"/>
      <c r="D569" s="19"/>
      <c r="E569" s="19"/>
      <c r="F569" s="19"/>
      <c r="O569" s="20"/>
      <c r="P569" s="20"/>
    </row>
    <row r="570" spans="2:16" x14ac:dyDescent="0.7">
      <c r="B570" s="19"/>
      <c r="C570" s="19"/>
      <c r="D570" s="19"/>
      <c r="E570" s="19"/>
      <c r="F570" s="19"/>
      <c r="O570" s="20"/>
      <c r="P570" s="20"/>
    </row>
    <row r="571" spans="2:16" x14ac:dyDescent="0.7">
      <c r="B571" s="19"/>
      <c r="C571" s="19"/>
      <c r="D571" s="19"/>
      <c r="E571" s="19"/>
      <c r="F571" s="19"/>
      <c r="O571" s="20"/>
      <c r="P571" s="20"/>
    </row>
    <row r="572" spans="2:16" x14ac:dyDescent="0.7">
      <c r="B572" s="19"/>
      <c r="C572" s="19"/>
      <c r="D572" s="19"/>
      <c r="E572" s="19"/>
      <c r="F572" s="19"/>
      <c r="O572" s="20"/>
      <c r="P572" s="20"/>
    </row>
    <row r="573" spans="2:16" x14ac:dyDescent="0.7">
      <c r="B573" s="19"/>
      <c r="C573" s="19"/>
      <c r="D573" s="19"/>
      <c r="E573" s="19"/>
      <c r="F573" s="19"/>
      <c r="O573" s="20"/>
      <c r="P573" s="20"/>
    </row>
    <row r="574" spans="2:16" x14ac:dyDescent="0.7">
      <c r="B574" s="19"/>
      <c r="C574" s="19"/>
      <c r="D574" s="19"/>
      <c r="E574" s="19"/>
      <c r="F574" s="19"/>
      <c r="O574" s="20"/>
      <c r="P574" s="20"/>
    </row>
    <row r="575" spans="2:16" x14ac:dyDescent="0.7">
      <c r="B575" s="19"/>
      <c r="C575" s="19"/>
      <c r="D575" s="19"/>
      <c r="E575" s="19"/>
      <c r="F575" s="19"/>
      <c r="O575" s="20"/>
      <c r="P575" s="20"/>
    </row>
    <row r="576" spans="2:16" x14ac:dyDescent="0.7">
      <c r="B576" s="19"/>
      <c r="C576" s="19"/>
      <c r="D576" s="19"/>
      <c r="E576" s="19"/>
      <c r="F576" s="19"/>
      <c r="O576" s="20"/>
      <c r="P576" s="20"/>
    </row>
    <row r="577" spans="2:16" x14ac:dyDescent="0.7">
      <c r="B577" s="19"/>
      <c r="C577" s="19"/>
      <c r="D577" s="19"/>
      <c r="E577" s="19"/>
      <c r="F577" s="19"/>
      <c r="O577" s="20"/>
      <c r="P577" s="20"/>
    </row>
    <row r="578" spans="2:16" x14ac:dyDescent="0.7">
      <c r="B578" s="19"/>
      <c r="C578" s="19"/>
      <c r="D578" s="19"/>
      <c r="E578" s="19"/>
      <c r="F578" s="19"/>
      <c r="O578" s="20"/>
      <c r="P578" s="20"/>
    </row>
    <row r="579" spans="2:16" x14ac:dyDescent="0.7">
      <c r="B579" s="19"/>
      <c r="C579" s="19"/>
      <c r="D579" s="19"/>
      <c r="E579" s="19"/>
      <c r="F579" s="19"/>
      <c r="O579" s="20"/>
      <c r="P579" s="20"/>
    </row>
    <row r="580" spans="2:16" x14ac:dyDescent="0.7">
      <c r="B580" s="19"/>
      <c r="C580" s="19"/>
      <c r="D580" s="19"/>
      <c r="E580" s="19"/>
      <c r="F580" s="19"/>
      <c r="O580" s="20"/>
      <c r="P580" s="20"/>
    </row>
    <row r="581" spans="2:16" x14ac:dyDescent="0.7">
      <c r="B581" s="19"/>
      <c r="C581" s="19"/>
      <c r="D581" s="19"/>
      <c r="E581" s="19"/>
      <c r="F581" s="19"/>
      <c r="O581" s="20"/>
      <c r="P581" s="20"/>
    </row>
    <row r="582" spans="2:16" x14ac:dyDescent="0.7">
      <c r="B582" s="19"/>
      <c r="C582" s="19"/>
      <c r="D582" s="19"/>
      <c r="E582" s="19"/>
      <c r="F582" s="19"/>
      <c r="O582" s="20"/>
      <c r="P582" s="20"/>
    </row>
    <row r="583" spans="2:16" x14ac:dyDescent="0.7">
      <c r="B583" s="19"/>
      <c r="C583" s="19"/>
      <c r="D583" s="19"/>
      <c r="E583" s="19"/>
      <c r="F583" s="19"/>
      <c r="O583" s="20"/>
      <c r="P583" s="20"/>
    </row>
    <row r="584" spans="2:16" x14ac:dyDescent="0.7">
      <c r="B584" s="19"/>
      <c r="C584" s="19"/>
      <c r="D584" s="19"/>
      <c r="E584" s="19"/>
      <c r="F584" s="19"/>
      <c r="O584" s="20"/>
      <c r="P584" s="20"/>
    </row>
    <row r="585" spans="2:16" x14ac:dyDescent="0.7">
      <c r="B585" s="19"/>
      <c r="C585" s="19"/>
      <c r="D585" s="19"/>
      <c r="E585" s="19"/>
      <c r="F585" s="19"/>
      <c r="O585" s="20"/>
      <c r="P585" s="20"/>
    </row>
    <row r="586" spans="2:16" x14ac:dyDescent="0.7">
      <c r="B586" s="19"/>
      <c r="C586" s="19"/>
      <c r="D586" s="19"/>
      <c r="E586" s="19"/>
      <c r="F586" s="19"/>
      <c r="O586" s="20"/>
      <c r="P586" s="20"/>
    </row>
    <row r="587" spans="2:16" x14ac:dyDescent="0.7">
      <c r="B587" s="19"/>
      <c r="C587" s="19"/>
      <c r="D587" s="19"/>
      <c r="E587" s="19"/>
      <c r="F587" s="19"/>
      <c r="O587" s="20"/>
      <c r="P587" s="20"/>
    </row>
    <row r="588" spans="2:16" x14ac:dyDescent="0.7">
      <c r="B588" s="19"/>
      <c r="C588" s="19"/>
      <c r="D588" s="19"/>
      <c r="E588" s="19"/>
      <c r="F588" s="19"/>
      <c r="O588" s="20"/>
      <c r="P588" s="20"/>
    </row>
    <row r="589" spans="2:16" x14ac:dyDescent="0.7">
      <c r="B589" s="19"/>
      <c r="C589" s="19"/>
      <c r="D589" s="19"/>
      <c r="E589" s="19"/>
      <c r="F589" s="19"/>
      <c r="O589" s="20"/>
      <c r="P589" s="20"/>
    </row>
    <row r="590" spans="2:16" x14ac:dyDescent="0.7">
      <c r="B590" s="19"/>
      <c r="C590" s="19"/>
      <c r="D590" s="19"/>
      <c r="E590" s="19"/>
      <c r="F590" s="19"/>
      <c r="O590" s="20"/>
      <c r="P590" s="20"/>
    </row>
    <row r="591" spans="2:16" x14ac:dyDescent="0.7">
      <c r="B591" s="19"/>
      <c r="C591" s="19"/>
      <c r="D591" s="19"/>
      <c r="E591" s="19"/>
      <c r="F591" s="19"/>
      <c r="O591" s="20"/>
      <c r="P591" s="20"/>
    </row>
    <row r="592" spans="2:16" x14ac:dyDescent="0.7">
      <c r="B592" s="19"/>
      <c r="C592" s="19"/>
      <c r="D592" s="19"/>
      <c r="E592" s="19"/>
      <c r="F592" s="19"/>
      <c r="O592" s="20"/>
      <c r="P592" s="20"/>
    </row>
    <row r="593" spans="2:16" x14ac:dyDescent="0.7">
      <c r="B593" s="19"/>
      <c r="C593" s="19"/>
      <c r="D593" s="19"/>
      <c r="E593" s="19"/>
      <c r="F593" s="19"/>
      <c r="O593" s="20"/>
      <c r="P593" s="20"/>
    </row>
    <row r="594" spans="2:16" x14ac:dyDescent="0.7">
      <c r="B594" s="19"/>
      <c r="C594" s="19"/>
      <c r="D594" s="19"/>
      <c r="E594" s="19"/>
      <c r="F594" s="19"/>
      <c r="O594" s="20"/>
      <c r="P594" s="20"/>
    </row>
    <row r="595" spans="2:16" x14ac:dyDescent="0.7">
      <c r="B595" s="19"/>
      <c r="C595" s="19"/>
      <c r="D595" s="19"/>
      <c r="E595" s="19"/>
      <c r="F595" s="19"/>
      <c r="O595" s="20"/>
      <c r="P595" s="20"/>
    </row>
    <row r="596" spans="2:16" x14ac:dyDescent="0.7">
      <c r="B596" s="19"/>
      <c r="C596" s="19"/>
      <c r="D596" s="19"/>
      <c r="E596" s="19"/>
      <c r="F596" s="19"/>
      <c r="O596" s="20"/>
      <c r="P596" s="20"/>
    </row>
    <row r="597" spans="2:16" x14ac:dyDescent="0.7">
      <c r="B597" s="19"/>
      <c r="C597" s="19"/>
      <c r="D597" s="19"/>
      <c r="E597" s="19"/>
      <c r="F597" s="19"/>
      <c r="O597" s="20"/>
      <c r="P597" s="20"/>
    </row>
    <row r="598" spans="2:16" x14ac:dyDescent="0.7">
      <c r="B598" s="19"/>
      <c r="C598" s="19"/>
      <c r="D598" s="19"/>
      <c r="E598" s="19"/>
      <c r="F598" s="19"/>
      <c r="O598" s="20"/>
      <c r="P598" s="20"/>
    </row>
    <row r="599" spans="2:16" x14ac:dyDescent="0.7">
      <c r="B599" s="19"/>
      <c r="C599" s="19"/>
      <c r="D599" s="19"/>
      <c r="E599" s="19"/>
      <c r="F599" s="19"/>
      <c r="O599" s="20"/>
      <c r="P599" s="20"/>
    </row>
    <row r="600" spans="2:16" x14ac:dyDescent="0.7">
      <c r="B600" s="19"/>
      <c r="C600" s="19"/>
      <c r="D600" s="19"/>
      <c r="E600" s="19"/>
      <c r="F600" s="19"/>
      <c r="O600" s="20"/>
      <c r="P600" s="20"/>
    </row>
    <row r="601" spans="2:16" x14ac:dyDescent="0.7">
      <c r="B601" s="19"/>
      <c r="C601" s="19"/>
      <c r="D601" s="19"/>
      <c r="E601" s="19"/>
      <c r="F601" s="19"/>
      <c r="O601" s="20"/>
      <c r="P601" s="20"/>
    </row>
    <row r="602" spans="2:16" x14ac:dyDescent="0.7">
      <c r="B602" s="19"/>
      <c r="C602" s="19"/>
      <c r="D602" s="19"/>
      <c r="E602" s="19"/>
      <c r="F602" s="19"/>
      <c r="O602" s="20"/>
      <c r="P602" s="20"/>
    </row>
    <row r="603" spans="2:16" x14ac:dyDescent="0.7">
      <c r="B603" s="19"/>
      <c r="C603" s="19"/>
      <c r="D603" s="19"/>
      <c r="E603" s="19"/>
      <c r="F603" s="19"/>
      <c r="O603" s="20"/>
      <c r="P603" s="20"/>
    </row>
    <row r="604" spans="2:16" x14ac:dyDescent="0.7">
      <c r="B604" s="19"/>
      <c r="C604" s="19"/>
      <c r="D604" s="19"/>
      <c r="E604" s="19"/>
      <c r="F604" s="19"/>
      <c r="O604" s="20"/>
      <c r="P604" s="20"/>
    </row>
    <row r="605" spans="2:16" x14ac:dyDescent="0.7">
      <c r="B605" s="19"/>
      <c r="C605" s="19"/>
      <c r="D605" s="19"/>
      <c r="E605" s="19"/>
      <c r="F605" s="19"/>
      <c r="O605" s="20"/>
      <c r="P605" s="20"/>
    </row>
    <row r="606" spans="2:16" x14ac:dyDescent="0.7">
      <c r="B606" s="19"/>
      <c r="C606" s="19"/>
      <c r="D606" s="19"/>
      <c r="E606" s="19"/>
      <c r="F606" s="19"/>
      <c r="O606" s="20"/>
      <c r="P606" s="20"/>
    </row>
    <row r="607" spans="2:16" x14ac:dyDescent="0.7">
      <c r="B607" s="19"/>
      <c r="C607" s="19"/>
      <c r="D607" s="19"/>
      <c r="E607" s="19"/>
      <c r="F607" s="19"/>
      <c r="O607" s="20"/>
      <c r="P607" s="20"/>
    </row>
    <row r="608" spans="2:16" x14ac:dyDescent="0.7">
      <c r="B608" s="19"/>
      <c r="C608" s="19"/>
      <c r="D608" s="19"/>
      <c r="E608" s="19"/>
      <c r="F608" s="19"/>
      <c r="O608" s="20"/>
      <c r="P608" s="20"/>
    </row>
    <row r="609" spans="2:16" x14ac:dyDescent="0.7">
      <c r="B609" s="19"/>
      <c r="C609" s="19"/>
      <c r="D609" s="19"/>
      <c r="E609" s="19"/>
      <c r="F609" s="19"/>
      <c r="O609" s="20"/>
      <c r="P609" s="20"/>
    </row>
    <row r="610" spans="2:16" x14ac:dyDescent="0.7">
      <c r="B610" s="19"/>
      <c r="C610" s="19"/>
      <c r="D610" s="19"/>
      <c r="E610" s="19"/>
      <c r="F610" s="19"/>
      <c r="O610" s="20"/>
      <c r="P610" s="20"/>
    </row>
    <row r="611" spans="2:16" x14ac:dyDescent="0.7">
      <c r="B611" s="19"/>
      <c r="C611" s="19"/>
      <c r="D611" s="19"/>
      <c r="E611" s="19"/>
      <c r="F611" s="19"/>
      <c r="O611" s="20"/>
      <c r="P611" s="20"/>
    </row>
    <row r="612" spans="2:16" x14ac:dyDescent="0.7">
      <c r="B612" s="19"/>
      <c r="C612" s="19"/>
      <c r="D612" s="19"/>
      <c r="E612" s="19"/>
      <c r="F612" s="19"/>
      <c r="O612" s="20"/>
      <c r="P612" s="20"/>
    </row>
    <row r="613" spans="2:16" x14ac:dyDescent="0.7">
      <c r="B613" s="19"/>
      <c r="C613" s="19"/>
      <c r="D613" s="19"/>
      <c r="E613" s="19"/>
      <c r="F613" s="19"/>
      <c r="O613" s="20"/>
      <c r="P613" s="20"/>
    </row>
    <row r="614" spans="2:16" x14ac:dyDescent="0.7">
      <c r="B614" s="19"/>
      <c r="C614" s="19"/>
      <c r="D614" s="19"/>
      <c r="E614" s="19"/>
      <c r="F614" s="19"/>
      <c r="O614" s="20"/>
      <c r="P614" s="20"/>
    </row>
    <row r="615" spans="2:16" x14ac:dyDescent="0.7">
      <c r="B615" s="19"/>
      <c r="C615" s="19"/>
      <c r="D615" s="19"/>
      <c r="E615" s="19"/>
      <c r="F615" s="19"/>
      <c r="O615" s="20"/>
      <c r="P615" s="20"/>
    </row>
    <row r="616" spans="2:16" x14ac:dyDescent="0.7">
      <c r="B616" s="19"/>
      <c r="C616" s="19"/>
      <c r="D616" s="19"/>
      <c r="E616" s="19"/>
      <c r="F616" s="19"/>
      <c r="O616" s="20"/>
      <c r="P616" s="20"/>
    </row>
    <row r="617" spans="2:16" x14ac:dyDescent="0.7">
      <c r="B617" s="19"/>
      <c r="C617" s="19"/>
      <c r="D617" s="19"/>
      <c r="E617" s="19"/>
      <c r="F617" s="19"/>
      <c r="O617" s="20"/>
      <c r="P617" s="20"/>
    </row>
    <row r="618" spans="2:16" x14ac:dyDescent="0.7">
      <c r="B618" s="19"/>
      <c r="C618" s="19"/>
      <c r="D618" s="19"/>
      <c r="E618" s="19"/>
      <c r="F618" s="19"/>
      <c r="O618" s="20"/>
      <c r="P618" s="20"/>
    </row>
    <row r="619" spans="2:16" x14ac:dyDescent="0.7">
      <c r="B619" s="19"/>
      <c r="C619" s="19"/>
      <c r="D619" s="19"/>
      <c r="E619" s="19"/>
      <c r="F619" s="19"/>
      <c r="O619" s="20"/>
      <c r="P619" s="20"/>
    </row>
    <row r="620" spans="2:16" x14ac:dyDescent="0.7">
      <c r="B620" s="19"/>
      <c r="C620" s="19"/>
      <c r="D620" s="19"/>
      <c r="E620" s="19"/>
      <c r="F620" s="19"/>
      <c r="O620" s="20"/>
      <c r="P620" s="20"/>
    </row>
    <row r="621" spans="2:16" x14ac:dyDescent="0.7">
      <c r="B621" s="19"/>
      <c r="C621" s="19"/>
      <c r="D621" s="19"/>
      <c r="E621" s="19"/>
      <c r="F621" s="19"/>
      <c r="O621" s="20"/>
      <c r="P621" s="20"/>
    </row>
    <row r="622" spans="2:16" x14ac:dyDescent="0.7">
      <c r="B622" s="19"/>
      <c r="C622" s="19"/>
      <c r="D622" s="19"/>
      <c r="E622" s="19"/>
      <c r="F622" s="19"/>
      <c r="O622" s="20"/>
      <c r="P622" s="20"/>
    </row>
    <row r="623" spans="2:16" x14ac:dyDescent="0.7">
      <c r="B623" s="19"/>
      <c r="C623" s="19"/>
      <c r="D623" s="19"/>
      <c r="E623" s="19"/>
      <c r="F623" s="19"/>
      <c r="O623" s="20"/>
      <c r="P623" s="20"/>
    </row>
    <row r="624" spans="2:16" x14ac:dyDescent="0.7">
      <c r="B624" s="19"/>
      <c r="C624" s="19"/>
      <c r="D624" s="19"/>
      <c r="E624" s="19"/>
      <c r="F624" s="19"/>
      <c r="O624" s="20"/>
      <c r="P624" s="20"/>
    </row>
    <row r="625" spans="2:16" x14ac:dyDescent="0.7">
      <c r="B625" s="19"/>
      <c r="C625" s="19"/>
      <c r="D625" s="19"/>
      <c r="E625" s="19"/>
      <c r="F625" s="19"/>
      <c r="O625" s="20"/>
      <c r="P625" s="20"/>
    </row>
    <row r="626" spans="2:16" x14ac:dyDescent="0.7">
      <c r="B626" s="19"/>
      <c r="C626" s="19"/>
      <c r="D626" s="19"/>
      <c r="E626" s="19"/>
      <c r="F626" s="19"/>
      <c r="O626" s="20"/>
      <c r="P626" s="20"/>
    </row>
    <row r="627" spans="2:16" x14ac:dyDescent="0.7">
      <c r="B627" s="19"/>
      <c r="C627" s="19"/>
      <c r="D627" s="19"/>
      <c r="E627" s="19"/>
      <c r="F627" s="19"/>
      <c r="O627" s="20"/>
      <c r="P627" s="20"/>
    </row>
    <row r="628" spans="2:16" x14ac:dyDescent="0.7">
      <c r="B628" s="19"/>
      <c r="C628" s="19"/>
      <c r="D628" s="19"/>
      <c r="E628" s="19"/>
      <c r="F628" s="19"/>
      <c r="O628" s="20"/>
      <c r="P628" s="20"/>
    </row>
    <row r="629" spans="2:16" x14ac:dyDescent="0.7">
      <c r="B629" s="19"/>
      <c r="C629" s="19"/>
      <c r="D629" s="19"/>
      <c r="E629" s="19"/>
      <c r="F629" s="19"/>
      <c r="O629" s="20"/>
      <c r="P629" s="20"/>
    </row>
    <row r="630" spans="2:16" x14ac:dyDescent="0.7">
      <c r="B630" s="19"/>
      <c r="C630" s="19"/>
      <c r="D630" s="19"/>
      <c r="E630" s="19"/>
      <c r="F630" s="19"/>
      <c r="O630" s="20"/>
      <c r="P630" s="20"/>
    </row>
    <row r="631" spans="2:16" x14ac:dyDescent="0.7">
      <c r="B631" s="19"/>
      <c r="C631" s="19"/>
      <c r="D631" s="19"/>
      <c r="E631" s="19"/>
      <c r="F631" s="19"/>
      <c r="O631" s="20"/>
      <c r="P631" s="20"/>
    </row>
    <row r="632" spans="2:16" x14ac:dyDescent="0.7">
      <c r="B632" s="19"/>
      <c r="C632" s="19"/>
      <c r="D632" s="19"/>
      <c r="E632" s="19"/>
      <c r="F632" s="19"/>
      <c r="O632" s="20"/>
      <c r="P632" s="20"/>
    </row>
    <row r="633" spans="2:16" x14ac:dyDescent="0.7">
      <c r="B633" s="19"/>
      <c r="C633" s="19"/>
      <c r="D633" s="19"/>
      <c r="E633" s="19"/>
      <c r="F633" s="19"/>
      <c r="O633" s="20"/>
      <c r="P633" s="20"/>
    </row>
    <row r="634" spans="2:16" x14ac:dyDescent="0.7">
      <c r="B634" s="19"/>
      <c r="C634" s="19"/>
      <c r="D634" s="19"/>
      <c r="E634" s="19"/>
      <c r="F634" s="19"/>
      <c r="O634" s="20"/>
      <c r="P634" s="20"/>
    </row>
    <row r="635" spans="2:16" x14ac:dyDescent="0.7">
      <c r="B635" s="19"/>
      <c r="C635" s="19"/>
      <c r="D635" s="19"/>
      <c r="E635" s="19"/>
      <c r="F635" s="19"/>
      <c r="O635" s="20"/>
      <c r="P635" s="20"/>
    </row>
    <row r="636" spans="2:16" x14ac:dyDescent="0.7">
      <c r="B636" s="19"/>
      <c r="C636" s="19"/>
      <c r="D636" s="19"/>
      <c r="E636" s="19"/>
      <c r="F636" s="19"/>
      <c r="O636" s="20"/>
      <c r="P636" s="20"/>
    </row>
    <row r="637" spans="2:16" x14ac:dyDescent="0.7">
      <c r="B637" s="19"/>
      <c r="C637" s="19"/>
      <c r="D637" s="19"/>
      <c r="E637" s="19"/>
      <c r="F637" s="19"/>
      <c r="O637" s="20"/>
      <c r="P637" s="20"/>
    </row>
    <row r="638" spans="2:16" x14ac:dyDescent="0.7">
      <c r="B638" s="19"/>
      <c r="C638" s="19"/>
      <c r="D638" s="19"/>
      <c r="E638" s="19"/>
      <c r="F638" s="19"/>
      <c r="O638" s="20"/>
      <c r="P638" s="20"/>
    </row>
    <row r="639" spans="2:16" x14ac:dyDescent="0.7">
      <c r="B639" s="19"/>
      <c r="C639" s="19"/>
      <c r="D639" s="19"/>
      <c r="E639" s="19"/>
      <c r="F639" s="19"/>
      <c r="O639" s="20"/>
      <c r="P639" s="20"/>
    </row>
    <row r="640" spans="2:16" x14ac:dyDescent="0.7">
      <c r="B640" s="19"/>
      <c r="C640" s="19"/>
      <c r="D640" s="19"/>
      <c r="E640" s="19"/>
      <c r="F640" s="19"/>
      <c r="O640" s="20"/>
      <c r="P640" s="20"/>
    </row>
    <row r="641" spans="2:16" x14ac:dyDescent="0.7">
      <c r="B641" s="19"/>
      <c r="C641" s="19"/>
      <c r="D641" s="19"/>
      <c r="E641" s="19"/>
      <c r="F641" s="19"/>
      <c r="O641" s="20"/>
      <c r="P641" s="20"/>
    </row>
    <row r="642" spans="2:16" x14ac:dyDescent="0.7">
      <c r="B642" s="19"/>
      <c r="C642" s="19"/>
      <c r="D642" s="19"/>
      <c r="E642" s="19"/>
      <c r="F642" s="19"/>
      <c r="O642" s="20"/>
      <c r="P642" s="20"/>
    </row>
    <row r="643" spans="2:16" x14ac:dyDescent="0.7">
      <c r="B643" s="19"/>
      <c r="C643" s="19"/>
      <c r="D643" s="19"/>
      <c r="E643" s="19"/>
      <c r="F643" s="19"/>
      <c r="O643" s="20"/>
      <c r="P643" s="20"/>
    </row>
    <row r="644" spans="2:16" x14ac:dyDescent="0.7">
      <c r="B644" s="19"/>
      <c r="C644" s="19"/>
      <c r="D644" s="19"/>
      <c r="E644" s="19"/>
      <c r="F644" s="19"/>
      <c r="O644" s="20"/>
      <c r="P644" s="20"/>
    </row>
    <row r="645" spans="2:16" x14ac:dyDescent="0.7">
      <c r="B645" s="19"/>
      <c r="C645" s="19"/>
      <c r="D645" s="19"/>
      <c r="E645" s="19"/>
      <c r="F645" s="19"/>
      <c r="O645" s="20"/>
      <c r="P645" s="20"/>
    </row>
    <row r="646" spans="2:16" x14ac:dyDescent="0.7">
      <c r="B646" s="19"/>
      <c r="C646" s="19"/>
      <c r="D646" s="19"/>
      <c r="E646" s="19"/>
      <c r="F646" s="19"/>
      <c r="O646" s="20"/>
      <c r="P646" s="20"/>
    </row>
    <row r="647" spans="2:16" x14ac:dyDescent="0.7">
      <c r="B647" s="19"/>
      <c r="C647" s="19"/>
      <c r="D647" s="19"/>
      <c r="E647" s="19"/>
      <c r="F647" s="19"/>
      <c r="O647" s="20"/>
      <c r="P647" s="20"/>
    </row>
    <row r="648" spans="2:16" x14ac:dyDescent="0.7">
      <c r="B648" s="19"/>
      <c r="C648" s="19"/>
      <c r="D648" s="19"/>
      <c r="E648" s="19"/>
      <c r="F648" s="19"/>
      <c r="O648" s="20"/>
      <c r="P648" s="20"/>
    </row>
    <row r="649" spans="2:16" x14ac:dyDescent="0.7">
      <c r="B649" s="19"/>
      <c r="C649" s="19"/>
      <c r="D649" s="19"/>
      <c r="E649" s="19"/>
      <c r="F649" s="19"/>
      <c r="O649" s="20"/>
      <c r="P649" s="20"/>
    </row>
    <row r="650" spans="2:16" x14ac:dyDescent="0.7">
      <c r="B650" s="19"/>
      <c r="C650" s="19"/>
      <c r="D650" s="19"/>
      <c r="E650" s="19"/>
      <c r="F650" s="19"/>
      <c r="O650" s="20"/>
      <c r="P650" s="20"/>
    </row>
    <row r="651" spans="2:16" x14ac:dyDescent="0.7">
      <c r="B651" s="19"/>
      <c r="C651" s="19"/>
      <c r="D651" s="19"/>
      <c r="E651" s="19"/>
      <c r="F651" s="19"/>
      <c r="O651" s="20"/>
      <c r="P651" s="20"/>
    </row>
    <row r="652" spans="2:16" x14ac:dyDescent="0.7">
      <c r="B652" s="19"/>
      <c r="C652" s="19"/>
      <c r="D652" s="19"/>
      <c r="E652" s="19"/>
      <c r="F652" s="19"/>
      <c r="O652" s="20"/>
      <c r="P652" s="20"/>
    </row>
    <row r="653" spans="2:16" x14ac:dyDescent="0.7">
      <c r="B653" s="19"/>
      <c r="C653" s="19"/>
      <c r="D653" s="19"/>
      <c r="E653" s="19"/>
      <c r="F653" s="19"/>
      <c r="O653" s="20"/>
      <c r="P653" s="20"/>
    </row>
    <row r="654" spans="2:16" x14ac:dyDescent="0.7">
      <c r="B654" s="19"/>
      <c r="C654" s="19"/>
      <c r="D654" s="19"/>
      <c r="E654" s="19"/>
      <c r="F654" s="19"/>
      <c r="O654" s="20"/>
      <c r="P654" s="20"/>
    </row>
    <row r="655" spans="2:16" x14ac:dyDescent="0.7">
      <c r="B655" s="19"/>
      <c r="C655" s="19"/>
      <c r="D655" s="19"/>
      <c r="E655" s="19"/>
      <c r="F655" s="19"/>
      <c r="O655" s="20"/>
      <c r="P655" s="20"/>
    </row>
    <row r="656" spans="2:16" x14ac:dyDescent="0.7">
      <c r="B656" s="19"/>
      <c r="C656" s="19"/>
      <c r="D656" s="19"/>
      <c r="E656" s="19"/>
      <c r="F656" s="19"/>
      <c r="O656" s="20"/>
      <c r="P656" s="20"/>
    </row>
    <row r="657" spans="2:16" x14ac:dyDescent="0.7">
      <c r="B657" s="19"/>
      <c r="C657" s="19"/>
      <c r="D657" s="19"/>
      <c r="E657" s="19"/>
      <c r="F657" s="19"/>
      <c r="O657" s="20"/>
      <c r="P657" s="20"/>
    </row>
    <row r="658" spans="2:16" x14ac:dyDescent="0.7">
      <c r="B658" s="19"/>
      <c r="C658" s="19"/>
      <c r="D658" s="19"/>
      <c r="E658" s="19"/>
      <c r="F658" s="19"/>
      <c r="O658" s="20"/>
      <c r="P658" s="20"/>
    </row>
    <row r="659" spans="2:16" x14ac:dyDescent="0.7">
      <c r="B659" s="19"/>
      <c r="C659" s="19"/>
      <c r="D659" s="19"/>
      <c r="E659" s="19"/>
      <c r="F659" s="19"/>
      <c r="O659" s="20"/>
      <c r="P659" s="20"/>
    </row>
    <row r="660" spans="2:16" x14ac:dyDescent="0.7">
      <c r="B660" s="19"/>
      <c r="C660" s="19"/>
      <c r="D660" s="19"/>
      <c r="E660" s="19"/>
      <c r="F660" s="19"/>
      <c r="O660" s="20"/>
      <c r="P660" s="20"/>
    </row>
    <row r="661" spans="2:16" x14ac:dyDescent="0.7">
      <c r="B661" s="19"/>
      <c r="C661" s="19"/>
      <c r="D661" s="19"/>
      <c r="E661" s="19"/>
      <c r="F661" s="19"/>
      <c r="O661" s="20"/>
      <c r="P661" s="20"/>
    </row>
    <row r="662" spans="2:16" x14ac:dyDescent="0.7">
      <c r="B662" s="19"/>
      <c r="C662" s="19"/>
      <c r="D662" s="19"/>
      <c r="E662" s="19"/>
      <c r="F662" s="19"/>
      <c r="O662" s="20"/>
      <c r="P662" s="20"/>
    </row>
    <row r="663" spans="2:16" x14ac:dyDescent="0.7">
      <c r="B663" s="19"/>
      <c r="C663" s="19"/>
      <c r="D663" s="19"/>
      <c r="E663" s="19"/>
      <c r="F663" s="19"/>
      <c r="O663" s="20"/>
      <c r="P663" s="20"/>
    </row>
    <row r="664" spans="2:16" x14ac:dyDescent="0.7">
      <c r="B664" s="19"/>
      <c r="C664" s="19"/>
      <c r="D664" s="19"/>
      <c r="E664" s="19"/>
      <c r="F664" s="19"/>
      <c r="O664" s="20"/>
      <c r="P664" s="20"/>
    </row>
    <row r="665" spans="2:16" x14ac:dyDescent="0.7">
      <c r="B665" s="19"/>
      <c r="C665" s="19"/>
      <c r="D665" s="19"/>
      <c r="E665" s="19"/>
      <c r="F665" s="19"/>
      <c r="O665" s="20"/>
      <c r="P665" s="20"/>
    </row>
    <row r="666" spans="2:16" x14ac:dyDescent="0.7">
      <c r="B666" s="19"/>
      <c r="C666" s="19"/>
      <c r="D666" s="19"/>
      <c r="E666" s="19"/>
      <c r="F666" s="19"/>
      <c r="O666" s="20"/>
      <c r="P666" s="20"/>
    </row>
    <row r="667" spans="2:16" x14ac:dyDescent="0.7">
      <c r="B667" s="19"/>
      <c r="C667" s="19"/>
      <c r="D667" s="19"/>
      <c r="E667" s="19"/>
      <c r="F667" s="19"/>
      <c r="O667" s="20"/>
      <c r="P667" s="20"/>
    </row>
    <row r="668" spans="2:16" x14ac:dyDescent="0.7">
      <c r="B668" s="19"/>
      <c r="C668" s="19"/>
      <c r="D668" s="19"/>
      <c r="E668" s="19"/>
      <c r="F668" s="19"/>
      <c r="O668" s="20"/>
      <c r="P668" s="20"/>
    </row>
    <row r="669" spans="2:16" x14ac:dyDescent="0.7">
      <c r="B669" s="19"/>
      <c r="C669" s="19"/>
      <c r="D669" s="19"/>
      <c r="E669" s="19"/>
      <c r="F669" s="19"/>
      <c r="O669" s="20"/>
      <c r="P669" s="20"/>
    </row>
    <row r="670" spans="2:16" x14ac:dyDescent="0.7">
      <c r="B670" s="19"/>
      <c r="C670" s="19"/>
      <c r="D670" s="19"/>
      <c r="E670" s="19"/>
      <c r="F670" s="19"/>
      <c r="O670" s="20"/>
      <c r="P670" s="20"/>
    </row>
    <row r="671" spans="2:16" x14ac:dyDescent="0.7">
      <c r="B671" s="19"/>
      <c r="C671" s="19"/>
      <c r="D671" s="19"/>
      <c r="E671" s="19"/>
      <c r="F671" s="19"/>
      <c r="O671" s="20"/>
      <c r="P671" s="20"/>
    </row>
    <row r="672" spans="2:16" x14ac:dyDescent="0.7">
      <c r="B672" s="19"/>
      <c r="C672" s="19"/>
      <c r="D672" s="19"/>
      <c r="E672" s="19"/>
      <c r="F672" s="19"/>
      <c r="O672" s="20"/>
      <c r="P672" s="20"/>
    </row>
    <row r="673" spans="2:16" x14ac:dyDescent="0.7">
      <c r="B673" s="19"/>
      <c r="C673" s="19"/>
      <c r="D673" s="19"/>
      <c r="E673" s="19"/>
      <c r="F673" s="19"/>
      <c r="O673" s="20"/>
      <c r="P673" s="20"/>
    </row>
    <row r="674" spans="2:16" x14ac:dyDescent="0.7">
      <c r="B674" s="19"/>
      <c r="C674" s="19"/>
      <c r="D674" s="19"/>
      <c r="E674" s="19"/>
      <c r="F674" s="19"/>
      <c r="O674" s="20"/>
      <c r="P674" s="20"/>
    </row>
    <row r="675" spans="2:16" x14ac:dyDescent="0.7">
      <c r="B675" s="19"/>
      <c r="C675" s="19"/>
      <c r="D675" s="19"/>
      <c r="E675" s="19"/>
      <c r="F675" s="19"/>
      <c r="O675" s="20"/>
      <c r="P675" s="20"/>
    </row>
    <row r="676" spans="2:16" x14ac:dyDescent="0.7">
      <c r="B676" s="19"/>
      <c r="C676" s="19"/>
      <c r="D676" s="19"/>
      <c r="E676" s="19"/>
      <c r="F676" s="19"/>
      <c r="O676" s="20"/>
      <c r="P676" s="20"/>
    </row>
    <row r="677" spans="2:16" x14ac:dyDescent="0.7">
      <c r="B677" s="19"/>
      <c r="C677" s="19"/>
      <c r="D677" s="19"/>
      <c r="E677" s="19"/>
      <c r="F677" s="19"/>
      <c r="O677" s="20"/>
      <c r="P677" s="20"/>
    </row>
    <row r="678" spans="2:16" x14ac:dyDescent="0.7">
      <c r="B678" s="19"/>
      <c r="C678" s="19"/>
      <c r="D678" s="19"/>
      <c r="E678" s="19"/>
      <c r="F678" s="19"/>
      <c r="O678" s="20"/>
      <c r="P678" s="20"/>
    </row>
    <row r="679" spans="2:16" x14ac:dyDescent="0.7">
      <c r="B679" s="19"/>
      <c r="C679" s="19"/>
      <c r="D679" s="19"/>
      <c r="E679" s="19"/>
      <c r="F679" s="19"/>
      <c r="O679" s="20"/>
      <c r="P679" s="20"/>
    </row>
    <row r="680" spans="2:16" x14ac:dyDescent="0.7">
      <c r="B680" s="19"/>
      <c r="C680" s="19"/>
      <c r="D680" s="19"/>
      <c r="E680" s="19"/>
      <c r="F680" s="19"/>
      <c r="O680" s="20"/>
      <c r="P680" s="20"/>
    </row>
    <row r="681" spans="2:16" x14ac:dyDescent="0.7">
      <c r="B681" s="19"/>
      <c r="C681" s="19"/>
      <c r="D681" s="19"/>
      <c r="E681" s="19"/>
      <c r="F681" s="19"/>
      <c r="O681" s="20"/>
      <c r="P681" s="20"/>
    </row>
    <row r="682" spans="2:16" x14ac:dyDescent="0.7">
      <c r="B682" s="19"/>
      <c r="C682" s="19"/>
      <c r="D682" s="19"/>
      <c r="E682" s="19"/>
      <c r="F682" s="19"/>
      <c r="O682" s="20"/>
      <c r="P682" s="20"/>
    </row>
    <row r="683" spans="2:16" x14ac:dyDescent="0.7">
      <c r="B683" s="19"/>
      <c r="C683" s="19"/>
      <c r="D683" s="19"/>
      <c r="E683" s="19"/>
      <c r="F683" s="19"/>
      <c r="O683" s="20"/>
      <c r="P683" s="20"/>
    </row>
    <row r="684" spans="2:16" x14ac:dyDescent="0.7">
      <c r="B684" s="19"/>
      <c r="C684" s="19"/>
      <c r="D684" s="19"/>
      <c r="E684" s="19"/>
      <c r="F684" s="19"/>
      <c r="O684" s="20"/>
      <c r="P684" s="20"/>
    </row>
    <row r="685" spans="2:16" x14ac:dyDescent="0.7">
      <c r="B685" s="19"/>
      <c r="C685" s="19"/>
      <c r="D685" s="19"/>
      <c r="E685" s="19"/>
      <c r="F685" s="19"/>
      <c r="O685" s="20"/>
      <c r="P685" s="20"/>
    </row>
    <row r="686" spans="2:16" x14ac:dyDescent="0.7">
      <c r="B686" s="19"/>
      <c r="C686" s="19"/>
      <c r="D686" s="19"/>
      <c r="E686" s="19"/>
      <c r="F686" s="19"/>
      <c r="O686" s="20"/>
      <c r="P686" s="20"/>
    </row>
    <row r="687" spans="2:16" x14ac:dyDescent="0.7">
      <c r="B687" s="19"/>
      <c r="C687" s="19"/>
      <c r="D687" s="19"/>
      <c r="E687" s="19"/>
      <c r="F687" s="19"/>
      <c r="O687" s="20"/>
      <c r="P687" s="20"/>
    </row>
    <row r="688" spans="2:16" x14ac:dyDescent="0.7">
      <c r="B688" s="19"/>
      <c r="C688" s="19"/>
      <c r="D688" s="19"/>
      <c r="E688" s="19"/>
      <c r="F688" s="19"/>
      <c r="O688" s="20"/>
      <c r="P688" s="20"/>
    </row>
    <row r="689" spans="2:16" x14ac:dyDescent="0.7">
      <c r="B689" s="19"/>
      <c r="C689" s="19"/>
      <c r="D689" s="19"/>
      <c r="E689" s="19"/>
      <c r="F689" s="19"/>
      <c r="O689" s="20"/>
      <c r="P689" s="20"/>
    </row>
    <row r="690" spans="2:16" x14ac:dyDescent="0.7">
      <c r="B690" s="19"/>
      <c r="C690" s="19"/>
      <c r="D690" s="19"/>
      <c r="E690" s="19"/>
      <c r="F690" s="19"/>
      <c r="O690" s="20"/>
      <c r="P690" s="20"/>
    </row>
    <row r="691" spans="2:16" x14ac:dyDescent="0.7">
      <c r="B691" s="19"/>
      <c r="C691" s="19"/>
      <c r="D691" s="19"/>
      <c r="E691" s="19"/>
      <c r="F691" s="19"/>
      <c r="O691" s="20"/>
      <c r="P691" s="20"/>
    </row>
    <row r="692" spans="2:16" x14ac:dyDescent="0.7">
      <c r="B692" s="19"/>
      <c r="C692" s="19"/>
      <c r="D692" s="19"/>
      <c r="E692" s="19"/>
      <c r="F692" s="19"/>
      <c r="O692" s="20"/>
      <c r="P692" s="20"/>
    </row>
    <row r="693" spans="2:16" x14ac:dyDescent="0.7">
      <c r="B693" s="19"/>
      <c r="C693" s="19"/>
      <c r="D693" s="19"/>
      <c r="E693" s="19"/>
      <c r="F693" s="19"/>
      <c r="O693" s="20"/>
      <c r="P693" s="20"/>
    </row>
    <row r="694" spans="2:16" x14ac:dyDescent="0.7">
      <c r="B694" s="19"/>
      <c r="C694" s="19"/>
      <c r="D694" s="19"/>
      <c r="E694" s="19"/>
      <c r="F694" s="19"/>
      <c r="O694" s="20"/>
      <c r="P694" s="20"/>
    </row>
    <row r="695" spans="2:16" x14ac:dyDescent="0.7">
      <c r="B695" s="19"/>
      <c r="C695" s="19"/>
      <c r="D695" s="19"/>
      <c r="E695" s="19"/>
      <c r="F695" s="19"/>
      <c r="O695" s="20"/>
      <c r="P695" s="20"/>
    </row>
    <row r="696" spans="2:16" x14ac:dyDescent="0.7">
      <c r="B696" s="19"/>
      <c r="C696" s="19"/>
      <c r="D696" s="19"/>
      <c r="E696" s="19"/>
      <c r="F696" s="19"/>
      <c r="O696" s="20"/>
      <c r="P696" s="20"/>
    </row>
    <row r="697" spans="2:16" x14ac:dyDescent="0.7">
      <c r="B697" s="19"/>
      <c r="C697" s="19"/>
      <c r="D697" s="19"/>
      <c r="E697" s="19"/>
      <c r="F697" s="19"/>
      <c r="O697" s="20"/>
      <c r="P697" s="20"/>
    </row>
    <row r="698" spans="2:16" x14ac:dyDescent="0.7">
      <c r="B698" s="19"/>
      <c r="C698" s="19"/>
      <c r="D698" s="19"/>
      <c r="E698" s="19"/>
      <c r="F698" s="19"/>
      <c r="O698" s="20"/>
      <c r="P698" s="20"/>
    </row>
    <row r="699" spans="2:16" x14ac:dyDescent="0.7">
      <c r="B699" s="19"/>
      <c r="C699" s="19"/>
      <c r="D699" s="19"/>
      <c r="E699" s="19"/>
      <c r="F699" s="19"/>
      <c r="O699" s="20"/>
      <c r="P699" s="20"/>
    </row>
    <row r="700" spans="2:16" x14ac:dyDescent="0.7">
      <c r="B700" s="19"/>
      <c r="C700" s="19"/>
      <c r="D700" s="19"/>
      <c r="E700" s="19"/>
      <c r="F700" s="19"/>
      <c r="O700" s="20"/>
      <c r="P700" s="20"/>
    </row>
    <row r="701" spans="2:16" x14ac:dyDescent="0.7">
      <c r="B701" s="19"/>
      <c r="C701" s="19"/>
      <c r="D701" s="19"/>
      <c r="E701" s="19"/>
      <c r="F701" s="19"/>
      <c r="O701" s="20"/>
      <c r="P701" s="20"/>
    </row>
    <row r="702" spans="2:16" x14ac:dyDescent="0.7">
      <c r="B702" s="19"/>
      <c r="C702" s="19"/>
      <c r="D702" s="19"/>
      <c r="E702" s="19"/>
      <c r="F702" s="19"/>
      <c r="O702" s="20"/>
      <c r="P702" s="20"/>
    </row>
    <row r="703" spans="2:16" x14ac:dyDescent="0.7">
      <c r="B703" s="19"/>
      <c r="C703" s="19"/>
      <c r="D703" s="19"/>
      <c r="E703" s="19"/>
      <c r="F703" s="19"/>
      <c r="O703" s="20"/>
      <c r="P703" s="20"/>
    </row>
    <row r="704" spans="2:16" x14ac:dyDescent="0.7">
      <c r="B704" s="19"/>
      <c r="C704" s="19"/>
      <c r="D704" s="19"/>
      <c r="E704" s="19"/>
      <c r="F704" s="19"/>
      <c r="O704" s="20"/>
      <c r="P704" s="20"/>
    </row>
    <row r="705" spans="2:16" x14ac:dyDescent="0.7">
      <c r="B705" s="19"/>
      <c r="C705" s="19"/>
      <c r="D705" s="19"/>
      <c r="E705" s="19"/>
      <c r="F705" s="19"/>
      <c r="O705" s="20"/>
      <c r="P705" s="20"/>
    </row>
    <row r="706" spans="2:16" x14ac:dyDescent="0.7">
      <c r="B706" s="19"/>
      <c r="C706" s="19"/>
      <c r="D706" s="19"/>
      <c r="E706" s="19"/>
      <c r="F706" s="19"/>
      <c r="O706" s="20"/>
      <c r="P706" s="20"/>
    </row>
    <row r="707" spans="2:16" x14ac:dyDescent="0.7">
      <c r="B707" s="19"/>
      <c r="C707" s="19"/>
      <c r="D707" s="19"/>
      <c r="E707" s="19"/>
      <c r="F707" s="19"/>
      <c r="O707" s="20"/>
      <c r="P707" s="20"/>
    </row>
    <row r="708" spans="2:16" x14ac:dyDescent="0.7">
      <c r="B708" s="19"/>
      <c r="C708" s="19"/>
      <c r="D708" s="19"/>
      <c r="E708" s="19"/>
      <c r="F708" s="19"/>
      <c r="O708" s="20"/>
      <c r="P708" s="20"/>
    </row>
    <row r="709" spans="2:16" x14ac:dyDescent="0.7">
      <c r="B709" s="19"/>
      <c r="C709" s="19"/>
      <c r="D709" s="19"/>
      <c r="E709" s="19"/>
      <c r="F709" s="19"/>
      <c r="O709" s="20"/>
      <c r="P709" s="20"/>
    </row>
    <row r="710" spans="2:16" x14ac:dyDescent="0.7">
      <c r="B710" s="19"/>
      <c r="C710" s="19"/>
      <c r="D710" s="19"/>
      <c r="E710" s="19"/>
      <c r="F710" s="19"/>
      <c r="O710" s="20"/>
      <c r="P710" s="20"/>
    </row>
    <row r="711" spans="2:16" x14ac:dyDescent="0.7">
      <c r="B711" s="19"/>
      <c r="C711" s="19"/>
      <c r="D711" s="19"/>
      <c r="E711" s="19"/>
      <c r="F711" s="19"/>
      <c r="O711" s="20"/>
      <c r="P711" s="20"/>
    </row>
    <row r="712" spans="2:16" x14ac:dyDescent="0.7">
      <c r="B712" s="19"/>
      <c r="C712" s="19"/>
      <c r="D712" s="19"/>
      <c r="E712" s="19"/>
      <c r="F712" s="19"/>
      <c r="O712" s="20"/>
      <c r="P712" s="20"/>
    </row>
    <row r="713" spans="2:16" x14ac:dyDescent="0.7">
      <c r="B713" s="19"/>
      <c r="C713" s="19"/>
      <c r="D713" s="19"/>
      <c r="E713" s="19"/>
      <c r="F713" s="19"/>
      <c r="O713" s="20"/>
      <c r="P713" s="20"/>
    </row>
    <row r="714" spans="2:16" x14ac:dyDescent="0.7">
      <c r="B714" s="19"/>
      <c r="C714" s="19"/>
      <c r="D714" s="19"/>
      <c r="E714" s="19"/>
      <c r="F714" s="19"/>
      <c r="O714" s="20"/>
      <c r="P714" s="20"/>
    </row>
    <row r="715" spans="2:16" x14ac:dyDescent="0.7">
      <c r="B715" s="19"/>
      <c r="C715" s="19"/>
      <c r="D715" s="19"/>
      <c r="E715" s="19"/>
      <c r="F715" s="19"/>
      <c r="O715" s="20"/>
      <c r="P715" s="20"/>
    </row>
    <row r="716" spans="2:16" x14ac:dyDescent="0.7">
      <c r="B716" s="19"/>
      <c r="C716" s="19"/>
      <c r="D716" s="19"/>
      <c r="E716" s="19"/>
      <c r="F716" s="19"/>
      <c r="O716" s="20"/>
      <c r="P716" s="20"/>
    </row>
    <row r="717" spans="2:16" x14ac:dyDescent="0.7">
      <c r="B717" s="19"/>
      <c r="C717" s="19"/>
      <c r="D717" s="19"/>
      <c r="E717" s="19"/>
      <c r="F717" s="19"/>
      <c r="O717" s="20"/>
      <c r="P717" s="20"/>
    </row>
    <row r="718" spans="2:16" x14ac:dyDescent="0.7">
      <c r="B718" s="19"/>
      <c r="C718" s="19"/>
      <c r="D718" s="19"/>
      <c r="E718" s="19"/>
      <c r="F718" s="19"/>
      <c r="O718" s="20"/>
      <c r="P718" s="20"/>
    </row>
    <row r="719" spans="2:16" x14ac:dyDescent="0.7">
      <c r="B719" s="19"/>
      <c r="C719" s="19"/>
      <c r="D719" s="19"/>
      <c r="E719" s="19"/>
      <c r="F719" s="19"/>
      <c r="O719" s="20"/>
      <c r="P719" s="20"/>
    </row>
    <row r="720" spans="2:16" x14ac:dyDescent="0.7">
      <c r="B720" s="19"/>
      <c r="C720" s="19"/>
      <c r="D720" s="19"/>
      <c r="E720" s="19"/>
      <c r="F720" s="19"/>
      <c r="O720" s="20"/>
      <c r="P720" s="20"/>
    </row>
    <row r="721" spans="2:16" x14ac:dyDescent="0.7">
      <c r="B721" s="19"/>
      <c r="C721" s="19"/>
      <c r="D721" s="19"/>
      <c r="E721" s="19"/>
      <c r="F721" s="19"/>
      <c r="O721" s="20"/>
      <c r="P721" s="20"/>
    </row>
    <row r="722" spans="2:16" x14ac:dyDescent="0.7">
      <c r="B722" s="19"/>
      <c r="C722" s="19"/>
      <c r="D722" s="19"/>
      <c r="E722" s="19"/>
      <c r="F722" s="19"/>
      <c r="O722" s="20"/>
      <c r="P722" s="20"/>
    </row>
    <row r="723" spans="2:16" x14ac:dyDescent="0.7">
      <c r="B723" s="19"/>
      <c r="C723" s="19"/>
      <c r="D723" s="19"/>
      <c r="E723" s="19"/>
      <c r="F723" s="19"/>
      <c r="O723" s="20"/>
      <c r="P723" s="20"/>
    </row>
    <row r="724" spans="2:16" x14ac:dyDescent="0.7">
      <c r="B724" s="19"/>
      <c r="C724" s="19"/>
      <c r="D724" s="19"/>
      <c r="E724" s="19"/>
      <c r="F724" s="19"/>
      <c r="O724" s="20"/>
      <c r="P724" s="20"/>
    </row>
    <row r="725" spans="2:16" x14ac:dyDescent="0.7">
      <c r="B725" s="19"/>
      <c r="C725" s="19"/>
      <c r="D725" s="19"/>
      <c r="E725" s="19"/>
      <c r="F725" s="19"/>
      <c r="O725" s="20"/>
      <c r="P725" s="20"/>
    </row>
    <row r="726" spans="2:16" x14ac:dyDescent="0.7">
      <c r="B726" s="19"/>
      <c r="C726" s="19"/>
      <c r="D726" s="19"/>
      <c r="E726" s="19"/>
      <c r="F726" s="19"/>
      <c r="O726" s="20"/>
      <c r="P726" s="20"/>
    </row>
    <row r="727" spans="2:16" x14ac:dyDescent="0.7">
      <c r="B727" s="19"/>
      <c r="C727" s="19"/>
      <c r="D727" s="19"/>
      <c r="E727" s="19"/>
      <c r="F727" s="19"/>
      <c r="O727" s="20"/>
      <c r="P727" s="20"/>
    </row>
    <row r="728" spans="2:16" x14ac:dyDescent="0.7">
      <c r="B728" s="19"/>
      <c r="C728" s="19"/>
      <c r="D728" s="19"/>
      <c r="E728" s="19"/>
      <c r="F728" s="19"/>
      <c r="O728" s="20"/>
      <c r="P728" s="20"/>
    </row>
    <row r="729" spans="2:16" x14ac:dyDescent="0.7">
      <c r="B729" s="19"/>
      <c r="C729" s="19"/>
      <c r="D729" s="19"/>
      <c r="E729" s="19"/>
      <c r="F729" s="19"/>
      <c r="O729" s="20"/>
      <c r="P729" s="20"/>
    </row>
    <row r="730" spans="2:16" x14ac:dyDescent="0.7">
      <c r="B730" s="19"/>
      <c r="C730" s="19"/>
      <c r="D730" s="19"/>
      <c r="E730" s="19"/>
      <c r="F730" s="19"/>
      <c r="O730" s="20"/>
      <c r="P730" s="20"/>
    </row>
    <row r="731" spans="2:16" x14ac:dyDescent="0.7">
      <c r="B731" s="19"/>
      <c r="C731" s="19"/>
      <c r="D731" s="19"/>
      <c r="E731" s="19"/>
      <c r="F731" s="19"/>
      <c r="O731" s="20"/>
      <c r="P731" s="20"/>
    </row>
    <row r="732" spans="2:16" x14ac:dyDescent="0.7">
      <c r="B732" s="19"/>
      <c r="C732" s="19"/>
      <c r="D732" s="19"/>
      <c r="E732" s="19"/>
      <c r="F732" s="19"/>
      <c r="O732" s="20"/>
      <c r="P732" s="20"/>
    </row>
    <row r="733" spans="2:16" x14ac:dyDescent="0.7">
      <c r="B733" s="19"/>
      <c r="C733" s="19"/>
      <c r="D733" s="19"/>
      <c r="E733" s="19"/>
      <c r="F733" s="19"/>
      <c r="O733" s="20"/>
      <c r="P733" s="20"/>
    </row>
    <row r="734" spans="2:16" x14ac:dyDescent="0.7">
      <c r="B734" s="19"/>
      <c r="C734" s="19"/>
      <c r="D734" s="19"/>
      <c r="E734" s="19"/>
      <c r="F734" s="19"/>
      <c r="O734" s="20"/>
      <c r="P734" s="20"/>
    </row>
    <row r="735" spans="2:16" x14ac:dyDescent="0.7">
      <c r="B735" s="19"/>
      <c r="C735" s="19"/>
      <c r="D735" s="19"/>
      <c r="E735" s="19"/>
      <c r="F735" s="19"/>
      <c r="O735" s="20"/>
      <c r="P735" s="20"/>
    </row>
    <row r="736" spans="2:16" x14ac:dyDescent="0.7">
      <c r="B736" s="19"/>
      <c r="C736" s="19"/>
      <c r="D736" s="19"/>
      <c r="E736" s="19"/>
      <c r="F736" s="19"/>
      <c r="O736" s="20"/>
      <c r="P736" s="20"/>
    </row>
    <row r="737" spans="2:16" x14ac:dyDescent="0.7">
      <c r="B737" s="19"/>
      <c r="C737" s="19"/>
      <c r="D737" s="19"/>
      <c r="E737" s="19"/>
      <c r="F737" s="19"/>
      <c r="O737" s="20"/>
      <c r="P737" s="20"/>
    </row>
    <row r="738" spans="2:16" x14ac:dyDescent="0.7">
      <c r="B738" s="19"/>
      <c r="C738" s="19"/>
      <c r="D738" s="19"/>
      <c r="E738" s="19"/>
      <c r="F738" s="19"/>
      <c r="O738" s="20"/>
      <c r="P738" s="20"/>
    </row>
    <row r="739" spans="2:16" x14ac:dyDescent="0.7">
      <c r="B739" s="19"/>
      <c r="C739" s="19"/>
      <c r="D739" s="19"/>
      <c r="E739" s="19"/>
      <c r="F739" s="19"/>
      <c r="O739" s="20"/>
      <c r="P739" s="20"/>
    </row>
    <row r="740" spans="2:16" x14ac:dyDescent="0.7">
      <c r="B740" s="19"/>
      <c r="C740" s="19"/>
      <c r="D740" s="19"/>
      <c r="E740" s="19"/>
      <c r="F740" s="19"/>
      <c r="O740" s="20"/>
      <c r="P740" s="20"/>
    </row>
    <row r="741" spans="2:16" x14ac:dyDescent="0.7">
      <c r="B741" s="19"/>
      <c r="C741" s="19"/>
      <c r="D741" s="19"/>
      <c r="E741" s="19"/>
      <c r="F741" s="19"/>
      <c r="O741" s="20"/>
      <c r="P741" s="20"/>
    </row>
    <row r="742" spans="2:16" x14ac:dyDescent="0.7">
      <c r="B742" s="19"/>
      <c r="C742" s="19"/>
      <c r="D742" s="19"/>
      <c r="E742" s="19"/>
      <c r="F742" s="19"/>
      <c r="O742" s="20"/>
      <c r="P742" s="20"/>
    </row>
    <row r="743" spans="2:16" x14ac:dyDescent="0.7">
      <c r="B743" s="19"/>
      <c r="C743" s="19"/>
      <c r="D743" s="19"/>
      <c r="E743" s="19"/>
      <c r="F743" s="19"/>
      <c r="O743" s="20"/>
      <c r="P743" s="20"/>
    </row>
    <row r="744" spans="2:16" x14ac:dyDescent="0.7">
      <c r="B744" s="19"/>
      <c r="C744" s="19"/>
      <c r="D744" s="19"/>
      <c r="E744" s="19"/>
      <c r="F744" s="19"/>
      <c r="O744" s="20"/>
      <c r="P744" s="20"/>
    </row>
    <row r="745" spans="2:16" x14ac:dyDescent="0.7">
      <c r="B745" s="19"/>
      <c r="C745" s="19"/>
      <c r="D745" s="19"/>
      <c r="E745" s="19"/>
      <c r="F745" s="19"/>
      <c r="O745" s="20"/>
      <c r="P745" s="20"/>
    </row>
    <row r="746" spans="2:16" x14ac:dyDescent="0.7">
      <c r="B746" s="19"/>
      <c r="C746" s="19"/>
      <c r="D746" s="19"/>
      <c r="E746" s="19"/>
      <c r="F746" s="19"/>
      <c r="O746" s="20"/>
      <c r="P746" s="20"/>
    </row>
    <row r="747" spans="2:16" x14ac:dyDescent="0.7">
      <c r="B747" s="19"/>
      <c r="C747" s="19"/>
      <c r="D747" s="19"/>
      <c r="E747" s="19"/>
      <c r="F747" s="19"/>
      <c r="O747" s="20"/>
      <c r="P747" s="20"/>
    </row>
    <row r="748" spans="2:16" x14ac:dyDescent="0.7">
      <c r="B748" s="19"/>
      <c r="C748" s="19"/>
      <c r="D748" s="19"/>
      <c r="E748" s="19"/>
      <c r="F748" s="19"/>
      <c r="O748" s="20"/>
      <c r="P748" s="20"/>
    </row>
    <row r="749" spans="2:16" x14ac:dyDescent="0.7">
      <c r="B749" s="19"/>
      <c r="C749" s="19"/>
      <c r="D749" s="19"/>
      <c r="E749" s="19"/>
      <c r="F749" s="19"/>
      <c r="O749" s="20"/>
      <c r="P749" s="20"/>
    </row>
    <row r="750" spans="2:16" x14ac:dyDescent="0.7">
      <c r="B750" s="19"/>
      <c r="C750" s="19"/>
      <c r="D750" s="19"/>
      <c r="E750" s="19"/>
      <c r="F750" s="19"/>
      <c r="O750" s="20"/>
      <c r="P750" s="20"/>
    </row>
    <row r="751" spans="2:16" x14ac:dyDescent="0.7">
      <c r="B751" s="19"/>
      <c r="C751" s="19"/>
      <c r="D751" s="19"/>
      <c r="E751" s="19"/>
      <c r="F751" s="19"/>
      <c r="O751" s="20"/>
      <c r="P751" s="20"/>
    </row>
    <row r="752" spans="2:16" x14ac:dyDescent="0.7">
      <c r="B752" s="19"/>
      <c r="C752" s="19"/>
      <c r="D752" s="19"/>
      <c r="E752" s="19"/>
      <c r="F752" s="19"/>
      <c r="O752" s="20"/>
      <c r="P752" s="20"/>
    </row>
    <row r="753" spans="2:16" x14ac:dyDescent="0.7">
      <c r="B753" s="19"/>
      <c r="C753" s="19"/>
      <c r="D753" s="19"/>
      <c r="E753" s="19"/>
      <c r="F753" s="19"/>
      <c r="O753" s="20"/>
      <c r="P753" s="20"/>
    </row>
    <row r="754" spans="2:16" x14ac:dyDescent="0.7">
      <c r="B754" s="19"/>
      <c r="C754" s="19"/>
      <c r="D754" s="19"/>
      <c r="E754" s="19"/>
      <c r="F754" s="19"/>
      <c r="O754" s="20"/>
      <c r="P754" s="20"/>
    </row>
    <row r="755" spans="2:16" x14ac:dyDescent="0.7">
      <c r="B755" s="19"/>
      <c r="C755" s="19"/>
      <c r="D755" s="19"/>
      <c r="E755" s="19"/>
      <c r="F755" s="19"/>
      <c r="O755" s="20"/>
      <c r="P755" s="20"/>
    </row>
    <row r="756" spans="2:16" x14ac:dyDescent="0.7">
      <c r="B756" s="19"/>
      <c r="C756" s="19"/>
      <c r="D756" s="19"/>
      <c r="E756" s="19"/>
      <c r="F756" s="19"/>
      <c r="O756" s="20"/>
      <c r="P756" s="20"/>
    </row>
    <row r="757" spans="2:16" x14ac:dyDescent="0.7">
      <c r="B757" s="19"/>
      <c r="C757" s="19"/>
      <c r="D757" s="19"/>
      <c r="E757" s="19"/>
      <c r="F757" s="19"/>
      <c r="O757" s="20"/>
      <c r="P757" s="20"/>
    </row>
    <row r="758" spans="2:16" x14ac:dyDescent="0.7">
      <c r="B758" s="19"/>
      <c r="C758" s="19"/>
      <c r="D758" s="19"/>
      <c r="E758" s="19"/>
      <c r="F758" s="19"/>
      <c r="O758" s="20"/>
      <c r="P758" s="20"/>
    </row>
    <row r="759" spans="2:16" x14ac:dyDescent="0.7">
      <c r="B759" s="19"/>
      <c r="C759" s="19"/>
      <c r="D759" s="19"/>
      <c r="E759" s="19"/>
      <c r="F759" s="19"/>
      <c r="O759" s="20"/>
      <c r="P759" s="20"/>
    </row>
    <row r="760" spans="2:16" x14ac:dyDescent="0.7">
      <c r="B760" s="19"/>
      <c r="C760" s="19"/>
      <c r="D760" s="19"/>
      <c r="E760" s="19"/>
      <c r="F760" s="19"/>
      <c r="O760" s="20"/>
      <c r="P760" s="20"/>
    </row>
    <row r="761" spans="2:16" x14ac:dyDescent="0.7">
      <c r="B761" s="19"/>
      <c r="C761" s="19"/>
      <c r="D761" s="19"/>
      <c r="E761" s="19"/>
      <c r="F761" s="19"/>
      <c r="O761" s="20"/>
      <c r="P761" s="20"/>
    </row>
    <row r="762" spans="2:16" x14ac:dyDescent="0.7">
      <c r="B762" s="19"/>
      <c r="C762" s="19"/>
      <c r="D762" s="19"/>
      <c r="E762" s="19"/>
      <c r="F762" s="19"/>
      <c r="O762" s="20"/>
      <c r="P762" s="20"/>
    </row>
    <row r="763" spans="2:16" x14ac:dyDescent="0.7">
      <c r="B763" s="19"/>
      <c r="C763" s="19"/>
      <c r="D763" s="19"/>
      <c r="E763" s="19"/>
      <c r="F763" s="19"/>
      <c r="O763" s="20"/>
      <c r="P763" s="20"/>
    </row>
    <row r="764" spans="2:16" x14ac:dyDescent="0.7">
      <c r="B764" s="19"/>
      <c r="C764" s="19"/>
      <c r="D764" s="19"/>
      <c r="E764" s="19"/>
      <c r="F764" s="19"/>
      <c r="O764" s="20"/>
      <c r="P764" s="20"/>
    </row>
    <row r="765" spans="2:16" x14ac:dyDescent="0.7">
      <c r="B765" s="19"/>
      <c r="C765" s="19"/>
      <c r="D765" s="19"/>
      <c r="E765" s="19"/>
      <c r="F765" s="19"/>
      <c r="O765" s="20"/>
      <c r="P765" s="20"/>
    </row>
    <row r="766" spans="2:16" x14ac:dyDescent="0.7">
      <c r="B766" s="19"/>
      <c r="C766" s="19"/>
      <c r="D766" s="19"/>
      <c r="E766" s="19"/>
      <c r="F766" s="19"/>
      <c r="O766" s="20"/>
      <c r="P766" s="20"/>
    </row>
    <row r="767" spans="2:16" x14ac:dyDescent="0.7">
      <c r="B767" s="19"/>
      <c r="C767" s="19"/>
      <c r="D767" s="19"/>
      <c r="E767" s="19"/>
      <c r="F767" s="19"/>
      <c r="O767" s="20"/>
      <c r="P767" s="20"/>
    </row>
    <row r="768" spans="2:16" x14ac:dyDescent="0.7">
      <c r="B768" s="19"/>
      <c r="C768" s="19"/>
      <c r="D768" s="19"/>
      <c r="E768" s="19"/>
      <c r="F768" s="19"/>
      <c r="O768" s="20"/>
      <c r="P768" s="20"/>
    </row>
    <row r="769" spans="2:16" x14ac:dyDescent="0.7">
      <c r="B769" s="19"/>
      <c r="C769" s="19"/>
      <c r="D769" s="19"/>
      <c r="E769" s="19"/>
      <c r="F769" s="19"/>
      <c r="O769" s="20"/>
      <c r="P769" s="20"/>
    </row>
    <row r="770" spans="2:16" x14ac:dyDescent="0.7">
      <c r="B770" s="19"/>
      <c r="C770" s="19"/>
      <c r="D770" s="19"/>
      <c r="E770" s="19"/>
      <c r="F770" s="19"/>
      <c r="O770" s="20"/>
      <c r="P770" s="20"/>
    </row>
    <row r="771" spans="2:16" x14ac:dyDescent="0.7">
      <c r="B771" s="19"/>
      <c r="C771" s="19"/>
      <c r="D771" s="19"/>
      <c r="E771" s="19"/>
      <c r="F771" s="19"/>
      <c r="O771" s="20"/>
      <c r="P771" s="20"/>
    </row>
    <row r="772" spans="2:16" x14ac:dyDescent="0.7">
      <c r="B772" s="19"/>
      <c r="C772" s="19"/>
      <c r="D772" s="19"/>
      <c r="E772" s="19"/>
      <c r="F772" s="19"/>
      <c r="O772" s="20"/>
      <c r="P772" s="20"/>
    </row>
    <row r="773" spans="2:16" x14ac:dyDescent="0.7">
      <c r="B773" s="19"/>
      <c r="C773" s="19"/>
      <c r="D773" s="19"/>
      <c r="E773" s="19"/>
      <c r="F773" s="19"/>
      <c r="O773" s="20"/>
      <c r="P773" s="20"/>
    </row>
    <row r="774" spans="2:16" x14ac:dyDescent="0.7">
      <c r="B774" s="19"/>
      <c r="C774" s="19"/>
      <c r="D774" s="19"/>
      <c r="E774" s="19"/>
      <c r="F774" s="19"/>
      <c r="O774" s="20"/>
      <c r="P774" s="20"/>
    </row>
    <row r="775" spans="2:16" x14ac:dyDescent="0.7">
      <c r="B775" s="19"/>
      <c r="C775" s="19"/>
      <c r="D775" s="19"/>
      <c r="E775" s="19"/>
      <c r="F775" s="19"/>
      <c r="O775" s="20"/>
      <c r="P775" s="20"/>
    </row>
    <row r="776" spans="2:16" x14ac:dyDescent="0.7">
      <c r="B776" s="19"/>
      <c r="C776" s="19"/>
      <c r="D776" s="19"/>
      <c r="E776" s="19"/>
      <c r="F776" s="19"/>
      <c r="O776" s="20"/>
      <c r="P776" s="20"/>
    </row>
    <row r="777" spans="2:16" x14ac:dyDescent="0.7">
      <c r="B777" s="19"/>
      <c r="C777" s="19"/>
      <c r="D777" s="19"/>
      <c r="E777" s="19"/>
      <c r="F777" s="19"/>
      <c r="O777" s="20"/>
      <c r="P777" s="20"/>
    </row>
    <row r="778" spans="2:16" x14ac:dyDescent="0.7">
      <c r="B778" s="19"/>
      <c r="C778" s="19"/>
      <c r="D778" s="19"/>
      <c r="E778" s="19"/>
      <c r="F778" s="19"/>
      <c r="O778" s="20"/>
      <c r="P778" s="20"/>
    </row>
    <row r="779" spans="2:16" x14ac:dyDescent="0.7">
      <c r="B779" s="19"/>
      <c r="C779" s="19"/>
      <c r="D779" s="19"/>
      <c r="E779" s="19"/>
      <c r="F779" s="19"/>
      <c r="O779" s="20"/>
      <c r="P779" s="20"/>
    </row>
    <row r="780" spans="2:16" x14ac:dyDescent="0.7">
      <c r="B780" s="19"/>
      <c r="C780" s="19"/>
      <c r="D780" s="19"/>
      <c r="E780" s="19"/>
      <c r="F780" s="19"/>
      <c r="O780" s="20"/>
      <c r="P780" s="20"/>
    </row>
    <row r="781" spans="2:16" x14ac:dyDescent="0.7">
      <c r="B781" s="19"/>
      <c r="C781" s="19"/>
      <c r="D781" s="19"/>
      <c r="E781" s="19"/>
      <c r="F781" s="19"/>
      <c r="O781" s="20"/>
      <c r="P781" s="20"/>
    </row>
    <row r="782" spans="2:16" x14ac:dyDescent="0.7">
      <c r="B782" s="19"/>
      <c r="C782" s="19"/>
      <c r="D782" s="19"/>
      <c r="E782" s="19"/>
      <c r="F782" s="19"/>
      <c r="O782" s="20"/>
      <c r="P782" s="20"/>
    </row>
    <row r="783" spans="2:16" x14ac:dyDescent="0.7">
      <c r="B783" s="19"/>
      <c r="C783" s="19"/>
      <c r="D783" s="19"/>
      <c r="E783" s="19"/>
      <c r="F783" s="19"/>
      <c r="O783" s="20"/>
      <c r="P783" s="20"/>
    </row>
    <row r="784" spans="2:16" x14ac:dyDescent="0.7">
      <c r="B784" s="19"/>
      <c r="C784" s="19"/>
      <c r="D784" s="19"/>
      <c r="E784" s="19"/>
      <c r="F784" s="19"/>
      <c r="O784" s="20"/>
      <c r="P784" s="20"/>
    </row>
    <row r="785" spans="2:16" x14ac:dyDescent="0.7">
      <c r="B785" s="19"/>
      <c r="C785" s="19"/>
      <c r="D785" s="19"/>
      <c r="E785" s="19"/>
      <c r="F785" s="19"/>
      <c r="O785" s="20"/>
      <c r="P785" s="20"/>
    </row>
    <row r="786" spans="2:16" x14ac:dyDescent="0.7">
      <c r="B786" s="19"/>
      <c r="C786" s="19"/>
      <c r="D786" s="19"/>
      <c r="E786" s="19"/>
      <c r="F786" s="19"/>
      <c r="O786" s="20"/>
      <c r="P786" s="20"/>
    </row>
    <row r="787" spans="2:16" x14ac:dyDescent="0.7">
      <c r="B787" s="19"/>
      <c r="C787" s="19"/>
      <c r="D787" s="19"/>
      <c r="E787" s="19"/>
      <c r="F787" s="19"/>
      <c r="O787" s="20"/>
      <c r="P787" s="20"/>
    </row>
    <row r="788" spans="2:16" x14ac:dyDescent="0.7">
      <c r="B788" s="19"/>
      <c r="C788" s="19"/>
      <c r="D788" s="19"/>
      <c r="E788" s="19"/>
      <c r="F788" s="19"/>
      <c r="O788" s="20"/>
      <c r="P788" s="20"/>
    </row>
    <row r="789" spans="2:16" x14ac:dyDescent="0.7">
      <c r="B789" s="19"/>
      <c r="C789" s="19"/>
      <c r="D789" s="19"/>
      <c r="E789" s="19"/>
      <c r="F789" s="19"/>
      <c r="O789" s="20"/>
      <c r="P789" s="20"/>
    </row>
    <row r="790" spans="2:16" x14ac:dyDescent="0.7">
      <c r="B790" s="19"/>
      <c r="C790" s="19"/>
      <c r="D790" s="19"/>
      <c r="E790" s="19"/>
      <c r="F790" s="19"/>
      <c r="O790" s="20"/>
      <c r="P790" s="20"/>
    </row>
    <row r="791" spans="2:16" x14ac:dyDescent="0.7">
      <c r="B791" s="19"/>
      <c r="C791" s="19"/>
      <c r="D791" s="19"/>
      <c r="E791" s="19"/>
      <c r="F791" s="19"/>
      <c r="O791" s="20"/>
      <c r="P791" s="20"/>
    </row>
    <row r="792" spans="2:16" x14ac:dyDescent="0.7">
      <c r="B792" s="19"/>
      <c r="C792" s="19"/>
      <c r="D792" s="19"/>
      <c r="E792" s="19"/>
      <c r="F792" s="19"/>
      <c r="O792" s="20"/>
      <c r="P792" s="20"/>
    </row>
    <row r="793" spans="2:16" x14ac:dyDescent="0.7">
      <c r="B793" s="19"/>
      <c r="C793" s="19"/>
      <c r="D793" s="19"/>
      <c r="E793" s="19"/>
      <c r="F793" s="19"/>
      <c r="O793" s="20"/>
      <c r="P793" s="20"/>
    </row>
    <row r="794" spans="2:16" x14ac:dyDescent="0.7">
      <c r="B794" s="19"/>
      <c r="C794" s="19"/>
      <c r="D794" s="19"/>
      <c r="E794" s="19"/>
      <c r="F794" s="19"/>
      <c r="O794" s="20"/>
      <c r="P794" s="20"/>
    </row>
    <row r="795" spans="2:16" x14ac:dyDescent="0.7">
      <c r="B795" s="19"/>
      <c r="C795" s="19"/>
      <c r="D795" s="19"/>
      <c r="E795" s="19"/>
      <c r="F795" s="19"/>
      <c r="O795" s="20"/>
      <c r="P795" s="20"/>
    </row>
    <row r="796" spans="2:16" x14ac:dyDescent="0.7">
      <c r="B796" s="19"/>
      <c r="C796" s="19"/>
      <c r="D796" s="19"/>
      <c r="E796" s="19"/>
      <c r="F796" s="19"/>
      <c r="O796" s="20"/>
      <c r="P796" s="20"/>
    </row>
    <row r="797" spans="2:16" x14ac:dyDescent="0.7">
      <c r="B797" s="19"/>
      <c r="C797" s="19"/>
      <c r="D797" s="19"/>
      <c r="E797" s="19"/>
      <c r="F797" s="19"/>
      <c r="O797" s="20"/>
      <c r="P797" s="20"/>
    </row>
    <row r="798" spans="2:16" x14ac:dyDescent="0.7">
      <c r="B798" s="19"/>
      <c r="C798" s="19"/>
      <c r="D798" s="19"/>
      <c r="E798" s="19"/>
      <c r="F798" s="19"/>
      <c r="O798" s="20"/>
      <c r="P798" s="20"/>
    </row>
    <row r="799" spans="2:16" x14ac:dyDescent="0.7">
      <c r="B799" s="19"/>
      <c r="C799" s="19"/>
      <c r="D799" s="19"/>
      <c r="E799" s="19"/>
      <c r="F799" s="19"/>
      <c r="O799" s="20"/>
      <c r="P799" s="20"/>
    </row>
    <row r="800" spans="2:16" x14ac:dyDescent="0.7">
      <c r="B800" s="19"/>
      <c r="C800" s="19"/>
      <c r="D800" s="19"/>
      <c r="E800" s="19"/>
      <c r="F800" s="19"/>
      <c r="O800" s="20"/>
      <c r="P800" s="20"/>
    </row>
    <row r="801" spans="2:16" x14ac:dyDescent="0.7">
      <c r="B801" s="19"/>
      <c r="C801" s="19"/>
      <c r="D801" s="19"/>
      <c r="E801" s="19"/>
      <c r="F801" s="19"/>
      <c r="O801" s="20"/>
      <c r="P801" s="20"/>
    </row>
    <row r="802" spans="2:16" x14ac:dyDescent="0.7">
      <c r="B802" s="19"/>
      <c r="C802" s="19"/>
      <c r="D802" s="19"/>
      <c r="E802" s="19"/>
      <c r="F802" s="19"/>
      <c r="O802" s="20"/>
      <c r="P802" s="20"/>
    </row>
    <row r="803" spans="2:16" x14ac:dyDescent="0.7">
      <c r="B803" s="19"/>
      <c r="C803" s="19"/>
      <c r="D803" s="19"/>
      <c r="E803" s="19"/>
      <c r="F803" s="19"/>
      <c r="O803" s="20"/>
      <c r="P803" s="20"/>
    </row>
    <row r="804" spans="2:16" x14ac:dyDescent="0.7">
      <c r="B804" s="19"/>
      <c r="C804" s="19"/>
      <c r="D804" s="19"/>
      <c r="E804" s="19"/>
      <c r="F804" s="19"/>
      <c r="O804" s="20"/>
      <c r="P804" s="20"/>
    </row>
    <row r="805" spans="2:16" x14ac:dyDescent="0.7">
      <c r="B805" s="19"/>
      <c r="C805" s="19"/>
      <c r="D805" s="19"/>
      <c r="E805" s="19"/>
      <c r="F805" s="19"/>
      <c r="O805" s="20"/>
      <c r="P805" s="20"/>
    </row>
    <row r="806" spans="2:16" x14ac:dyDescent="0.7">
      <c r="B806" s="19"/>
      <c r="C806" s="19"/>
      <c r="D806" s="19"/>
      <c r="E806" s="19"/>
      <c r="F806" s="19"/>
      <c r="O806" s="20"/>
      <c r="P806" s="20"/>
    </row>
    <row r="807" spans="2:16" x14ac:dyDescent="0.7">
      <c r="B807" s="19"/>
      <c r="C807" s="19"/>
      <c r="D807" s="19"/>
      <c r="E807" s="19"/>
      <c r="F807" s="19"/>
      <c r="O807" s="20"/>
      <c r="P807" s="20"/>
    </row>
    <row r="808" spans="2:16" x14ac:dyDescent="0.7">
      <c r="B808" s="19"/>
      <c r="C808" s="19"/>
      <c r="D808" s="19"/>
      <c r="E808" s="19"/>
      <c r="F808" s="19"/>
      <c r="O808" s="20"/>
      <c r="P808" s="20"/>
    </row>
    <row r="809" spans="2:16" x14ac:dyDescent="0.7">
      <c r="B809" s="19"/>
      <c r="C809" s="19"/>
      <c r="D809" s="19"/>
      <c r="E809" s="19"/>
      <c r="F809" s="19"/>
      <c r="O809" s="20"/>
      <c r="P809" s="20"/>
    </row>
    <row r="810" spans="2:16" x14ac:dyDescent="0.7">
      <c r="B810" s="19"/>
      <c r="C810" s="19"/>
      <c r="D810" s="19"/>
      <c r="E810" s="19"/>
      <c r="F810" s="19"/>
      <c r="O810" s="20"/>
      <c r="P810" s="20"/>
    </row>
    <row r="811" spans="2:16" x14ac:dyDescent="0.7">
      <c r="B811" s="19"/>
      <c r="C811" s="19"/>
      <c r="D811" s="19"/>
      <c r="E811" s="19"/>
      <c r="F811" s="19"/>
      <c r="O811" s="20"/>
      <c r="P811" s="20"/>
    </row>
    <row r="812" spans="2:16" x14ac:dyDescent="0.7">
      <c r="B812" s="19"/>
      <c r="C812" s="19"/>
      <c r="D812" s="19"/>
      <c r="E812" s="19"/>
      <c r="F812" s="19"/>
      <c r="O812" s="20"/>
      <c r="P812" s="20"/>
    </row>
    <row r="813" spans="2:16" x14ac:dyDescent="0.7">
      <c r="B813" s="19"/>
      <c r="C813" s="19"/>
      <c r="D813" s="19"/>
      <c r="E813" s="19"/>
      <c r="F813" s="19"/>
      <c r="O813" s="20"/>
      <c r="P813" s="20"/>
    </row>
    <row r="814" spans="2:16" x14ac:dyDescent="0.7">
      <c r="B814" s="19"/>
      <c r="C814" s="19"/>
      <c r="D814" s="19"/>
      <c r="E814" s="19"/>
      <c r="F814" s="19"/>
      <c r="O814" s="20"/>
      <c r="P814" s="20"/>
    </row>
    <row r="815" spans="2:16" x14ac:dyDescent="0.7">
      <c r="B815" s="19"/>
      <c r="C815" s="19"/>
      <c r="D815" s="19"/>
      <c r="E815" s="19"/>
      <c r="F815" s="19"/>
      <c r="O815" s="20"/>
      <c r="P815" s="20"/>
    </row>
    <row r="816" spans="2:16" x14ac:dyDescent="0.7">
      <c r="B816" s="19"/>
      <c r="C816" s="19"/>
      <c r="D816" s="19"/>
      <c r="E816" s="19"/>
      <c r="F816" s="19"/>
      <c r="O816" s="20"/>
      <c r="P816" s="20"/>
    </row>
    <row r="817" spans="2:16" x14ac:dyDescent="0.7">
      <c r="B817" s="19"/>
      <c r="C817" s="19"/>
      <c r="D817" s="19"/>
      <c r="E817" s="19"/>
      <c r="F817" s="19"/>
      <c r="O817" s="20"/>
      <c r="P817" s="20"/>
    </row>
    <row r="818" spans="2:16" x14ac:dyDescent="0.7">
      <c r="B818" s="19"/>
      <c r="C818" s="19"/>
      <c r="D818" s="19"/>
      <c r="E818" s="19"/>
      <c r="F818" s="19"/>
      <c r="O818" s="20"/>
      <c r="P818" s="20"/>
    </row>
    <row r="819" spans="2:16" x14ac:dyDescent="0.7">
      <c r="B819" s="19"/>
      <c r="C819" s="19"/>
      <c r="D819" s="19"/>
      <c r="E819" s="19"/>
      <c r="F819" s="19"/>
      <c r="O819" s="20"/>
      <c r="P819" s="20"/>
    </row>
    <row r="820" spans="2:16" x14ac:dyDescent="0.7">
      <c r="B820" s="19"/>
      <c r="C820" s="19"/>
      <c r="D820" s="19"/>
      <c r="E820" s="19"/>
      <c r="F820" s="19"/>
      <c r="O820" s="20"/>
      <c r="P820" s="20"/>
    </row>
    <row r="821" spans="2:16" x14ac:dyDescent="0.7">
      <c r="B821" s="19"/>
      <c r="C821" s="19"/>
      <c r="D821" s="19"/>
      <c r="E821" s="19"/>
      <c r="F821" s="19"/>
      <c r="O821" s="20"/>
      <c r="P821" s="20"/>
    </row>
    <row r="822" spans="2:16" x14ac:dyDescent="0.7">
      <c r="B822" s="19"/>
      <c r="C822" s="19"/>
      <c r="D822" s="19"/>
      <c r="E822" s="19"/>
      <c r="F822" s="19"/>
      <c r="O822" s="20"/>
      <c r="P822" s="20"/>
    </row>
    <row r="823" spans="2:16" x14ac:dyDescent="0.7">
      <c r="B823" s="19"/>
      <c r="C823" s="19"/>
      <c r="D823" s="19"/>
      <c r="E823" s="19"/>
      <c r="F823" s="19"/>
      <c r="O823" s="20"/>
      <c r="P823" s="20"/>
    </row>
    <row r="824" spans="2:16" x14ac:dyDescent="0.7">
      <c r="B824" s="19"/>
      <c r="C824" s="19"/>
      <c r="D824" s="19"/>
      <c r="E824" s="19"/>
      <c r="F824" s="19"/>
      <c r="O824" s="20"/>
      <c r="P824" s="20"/>
    </row>
    <row r="825" spans="2:16" x14ac:dyDescent="0.7">
      <c r="B825" s="19"/>
      <c r="C825" s="19"/>
      <c r="D825" s="19"/>
      <c r="E825" s="19"/>
      <c r="F825" s="19"/>
      <c r="O825" s="20"/>
      <c r="P825" s="20"/>
    </row>
    <row r="826" spans="2:16" x14ac:dyDescent="0.7">
      <c r="B826" s="19"/>
      <c r="C826" s="19"/>
      <c r="D826" s="19"/>
      <c r="E826" s="19"/>
      <c r="F826" s="19"/>
      <c r="O826" s="20"/>
      <c r="P826" s="20"/>
    </row>
    <row r="827" spans="2:16" x14ac:dyDescent="0.7">
      <c r="B827" s="19"/>
      <c r="C827" s="19"/>
      <c r="D827" s="19"/>
      <c r="E827" s="19"/>
      <c r="F827" s="19"/>
      <c r="O827" s="20"/>
      <c r="P827" s="20"/>
    </row>
    <row r="828" spans="2:16" x14ac:dyDescent="0.7">
      <c r="B828" s="19"/>
      <c r="C828" s="19"/>
      <c r="D828" s="19"/>
      <c r="E828" s="19"/>
      <c r="F828" s="19"/>
      <c r="O828" s="20"/>
      <c r="P828" s="20"/>
    </row>
    <row r="829" spans="2:16" x14ac:dyDescent="0.7">
      <c r="B829" s="19"/>
      <c r="C829" s="19"/>
      <c r="D829" s="19"/>
      <c r="E829" s="19"/>
      <c r="F829" s="19"/>
      <c r="O829" s="20"/>
      <c r="P829" s="20"/>
    </row>
    <row r="830" spans="2:16" x14ac:dyDescent="0.7">
      <c r="B830" s="19"/>
      <c r="C830" s="19"/>
      <c r="D830" s="19"/>
      <c r="E830" s="19"/>
      <c r="F830" s="19"/>
      <c r="O830" s="20"/>
      <c r="P830" s="20"/>
    </row>
    <row r="831" spans="2:16" x14ac:dyDescent="0.7">
      <c r="B831" s="19"/>
      <c r="C831" s="19"/>
      <c r="D831" s="19"/>
      <c r="E831" s="19"/>
      <c r="F831" s="19"/>
      <c r="O831" s="20"/>
      <c r="P831" s="20"/>
    </row>
    <row r="832" spans="2:16" x14ac:dyDescent="0.7">
      <c r="B832" s="19"/>
      <c r="C832" s="19"/>
      <c r="D832" s="19"/>
      <c r="E832" s="19"/>
      <c r="F832" s="19"/>
      <c r="O832" s="20"/>
      <c r="P832" s="20"/>
    </row>
    <row r="833" spans="2:16" x14ac:dyDescent="0.7">
      <c r="B833" s="19"/>
      <c r="C833" s="19"/>
      <c r="D833" s="19"/>
      <c r="E833" s="19"/>
      <c r="F833" s="19"/>
      <c r="O833" s="20"/>
      <c r="P833" s="20"/>
    </row>
    <row r="834" spans="2:16" x14ac:dyDescent="0.7">
      <c r="B834" s="19"/>
      <c r="C834" s="19"/>
      <c r="D834" s="19"/>
      <c r="E834" s="19"/>
      <c r="F834" s="19"/>
      <c r="O834" s="20"/>
      <c r="P834" s="20"/>
    </row>
    <row r="835" spans="2:16" x14ac:dyDescent="0.7">
      <c r="B835" s="19"/>
      <c r="C835" s="19"/>
      <c r="D835" s="19"/>
      <c r="E835" s="19"/>
      <c r="F835" s="19"/>
      <c r="O835" s="20"/>
      <c r="P835" s="20"/>
    </row>
    <row r="836" spans="2:16" x14ac:dyDescent="0.7">
      <c r="B836" s="19"/>
      <c r="C836" s="19"/>
      <c r="D836" s="19"/>
      <c r="E836" s="19"/>
      <c r="F836" s="19"/>
      <c r="O836" s="20"/>
      <c r="P836" s="20"/>
    </row>
    <row r="837" spans="2:16" x14ac:dyDescent="0.7">
      <c r="B837" s="19"/>
      <c r="C837" s="19"/>
      <c r="D837" s="19"/>
      <c r="E837" s="19"/>
      <c r="F837" s="19"/>
      <c r="O837" s="20"/>
      <c r="P837" s="20"/>
    </row>
    <row r="838" spans="2:16" x14ac:dyDescent="0.7">
      <c r="B838" s="19"/>
      <c r="C838" s="19"/>
      <c r="D838" s="19"/>
      <c r="E838" s="19"/>
      <c r="F838" s="19"/>
      <c r="O838" s="20"/>
      <c r="P838" s="20"/>
    </row>
    <row r="839" spans="2:16" x14ac:dyDescent="0.7">
      <c r="B839" s="19"/>
      <c r="C839" s="19"/>
      <c r="D839" s="19"/>
      <c r="E839" s="19"/>
      <c r="F839" s="19"/>
      <c r="O839" s="20"/>
      <c r="P839" s="20"/>
    </row>
    <row r="840" spans="2:16" x14ac:dyDescent="0.7">
      <c r="B840" s="19"/>
      <c r="C840" s="19"/>
      <c r="D840" s="19"/>
      <c r="E840" s="19"/>
      <c r="F840" s="19"/>
      <c r="O840" s="20"/>
      <c r="P840" s="20"/>
    </row>
    <row r="841" spans="2:16" x14ac:dyDescent="0.7">
      <c r="B841" s="19"/>
      <c r="C841" s="19"/>
      <c r="D841" s="19"/>
      <c r="E841" s="19"/>
      <c r="F841" s="19"/>
      <c r="O841" s="20"/>
      <c r="P841" s="20"/>
    </row>
    <row r="842" spans="2:16" x14ac:dyDescent="0.7">
      <c r="B842" s="19"/>
      <c r="C842" s="19"/>
      <c r="D842" s="19"/>
      <c r="E842" s="19"/>
      <c r="F842" s="19"/>
      <c r="O842" s="20"/>
      <c r="P842" s="20"/>
    </row>
    <row r="843" spans="2:16" x14ac:dyDescent="0.7">
      <c r="B843" s="19"/>
      <c r="C843" s="19"/>
      <c r="D843" s="19"/>
      <c r="E843" s="19"/>
      <c r="F843" s="19"/>
      <c r="O843" s="20"/>
      <c r="P843" s="20"/>
    </row>
    <row r="844" spans="2:16" x14ac:dyDescent="0.7">
      <c r="B844" s="19"/>
      <c r="C844" s="19"/>
      <c r="D844" s="19"/>
      <c r="E844" s="19"/>
      <c r="F844" s="19"/>
      <c r="O844" s="20"/>
      <c r="P844" s="20"/>
    </row>
    <row r="845" spans="2:16" x14ac:dyDescent="0.7">
      <c r="B845" s="19"/>
      <c r="C845" s="19"/>
      <c r="D845" s="19"/>
      <c r="E845" s="19"/>
      <c r="F845" s="19"/>
      <c r="O845" s="20"/>
      <c r="P845" s="20"/>
    </row>
    <row r="846" spans="2:16" x14ac:dyDescent="0.7">
      <c r="B846" s="19"/>
      <c r="C846" s="19"/>
      <c r="D846" s="19"/>
      <c r="E846" s="19"/>
      <c r="F846" s="19"/>
      <c r="O846" s="20"/>
      <c r="P846" s="20"/>
    </row>
    <row r="847" spans="2:16" x14ac:dyDescent="0.7">
      <c r="B847" s="19"/>
      <c r="C847" s="19"/>
      <c r="D847" s="19"/>
      <c r="E847" s="19"/>
      <c r="F847" s="19"/>
      <c r="O847" s="20"/>
      <c r="P847" s="20"/>
    </row>
    <row r="848" spans="2:16" x14ac:dyDescent="0.7">
      <c r="B848" s="19"/>
      <c r="C848" s="19"/>
      <c r="D848" s="19"/>
      <c r="E848" s="19"/>
      <c r="F848" s="19"/>
      <c r="O848" s="20"/>
      <c r="P848" s="20"/>
    </row>
    <row r="849" spans="2:16" x14ac:dyDescent="0.7">
      <c r="B849" s="19"/>
      <c r="C849" s="19"/>
      <c r="D849" s="19"/>
      <c r="E849" s="19"/>
      <c r="F849" s="19"/>
      <c r="O849" s="20"/>
      <c r="P849" s="20"/>
    </row>
    <row r="850" spans="2:16" x14ac:dyDescent="0.7">
      <c r="B850" s="19"/>
      <c r="C850" s="19"/>
      <c r="D850" s="19"/>
      <c r="E850" s="19"/>
      <c r="F850" s="19"/>
      <c r="O850" s="20"/>
      <c r="P850" s="20"/>
    </row>
    <row r="851" spans="2:16" x14ac:dyDescent="0.7">
      <c r="B851" s="19"/>
      <c r="C851" s="19"/>
      <c r="D851" s="19"/>
      <c r="E851" s="19"/>
      <c r="F851" s="19"/>
      <c r="O851" s="20"/>
      <c r="P851" s="20"/>
    </row>
    <row r="852" spans="2:16" x14ac:dyDescent="0.7">
      <c r="B852" s="19"/>
      <c r="C852" s="19"/>
      <c r="D852" s="19"/>
      <c r="E852" s="19"/>
      <c r="F852" s="19"/>
      <c r="O852" s="20"/>
      <c r="P852" s="20"/>
    </row>
    <row r="853" spans="2:16" x14ac:dyDescent="0.7">
      <c r="B853" s="19"/>
      <c r="C853" s="19"/>
      <c r="D853" s="19"/>
      <c r="E853" s="19"/>
      <c r="F853" s="19"/>
      <c r="O853" s="20"/>
      <c r="P853" s="20"/>
    </row>
    <row r="854" spans="2:16" x14ac:dyDescent="0.7">
      <c r="B854" s="19"/>
      <c r="C854" s="19"/>
      <c r="D854" s="19"/>
      <c r="E854" s="19"/>
      <c r="F854" s="19"/>
      <c r="O854" s="20"/>
      <c r="P854" s="20"/>
    </row>
    <row r="855" spans="2:16" x14ac:dyDescent="0.7">
      <c r="B855" s="19"/>
      <c r="C855" s="19"/>
      <c r="D855" s="19"/>
      <c r="E855" s="19"/>
      <c r="F855" s="19"/>
      <c r="O855" s="20"/>
      <c r="P855" s="20"/>
    </row>
    <row r="856" spans="2:16" x14ac:dyDescent="0.7">
      <c r="B856" s="19"/>
      <c r="C856" s="19"/>
      <c r="D856" s="19"/>
      <c r="E856" s="19"/>
      <c r="F856" s="19"/>
      <c r="O856" s="20"/>
      <c r="P856" s="20"/>
    </row>
    <row r="857" spans="2:16" x14ac:dyDescent="0.7">
      <c r="B857" s="19"/>
      <c r="C857" s="19"/>
      <c r="D857" s="19"/>
      <c r="E857" s="19"/>
      <c r="F857" s="19"/>
      <c r="O857" s="20"/>
      <c r="P857" s="20"/>
    </row>
    <row r="858" spans="2:16" x14ac:dyDescent="0.7">
      <c r="B858" s="19"/>
      <c r="C858" s="19"/>
      <c r="D858" s="19"/>
      <c r="E858" s="19"/>
      <c r="F858" s="19"/>
      <c r="O858" s="20"/>
      <c r="P858" s="20"/>
    </row>
    <row r="859" spans="2:16" x14ac:dyDescent="0.7">
      <c r="B859" s="19"/>
      <c r="C859" s="19"/>
      <c r="D859" s="19"/>
      <c r="E859" s="19"/>
      <c r="F859" s="19"/>
      <c r="O859" s="20"/>
      <c r="P859" s="20"/>
    </row>
    <row r="860" spans="2:16" x14ac:dyDescent="0.7">
      <c r="B860" s="19"/>
      <c r="C860" s="19"/>
      <c r="D860" s="19"/>
      <c r="E860" s="19"/>
      <c r="F860" s="19"/>
      <c r="O860" s="20"/>
      <c r="P860" s="20"/>
    </row>
    <row r="861" spans="2:16" x14ac:dyDescent="0.7">
      <c r="B861" s="19"/>
      <c r="C861" s="19"/>
      <c r="D861" s="19"/>
      <c r="E861" s="19"/>
      <c r="F861" s="19"/>
      <c r="O861" s="20"/>
      <c r="P861" s="20"/>
    </row>
    <row r="862" spans="2:16" x14ac:dyDescent="0.7">
      <c r="B862" s="19"/>
      <c r="C862" s="19"/>
      <c r="D862" s="19"/>
      <c r="E862" s="19"/>
      <c r="F862" s="19"/>
      <c r="O862" s="20"/>
      <c r="P862" s="20"/>
    </row>
    <row r="863" spans="2:16" x14ac:dyDescent="0.7">
      <c r="B863" s="19"/>
      <c r="C863" s="19"/>
      <c r="D863" s="19"/>
      <c r="E863" s="19"/>
      <c r="F863" s="19"/>
      <c r="O863" s="20"/>
      <c r="P863" s="20"/>
    </row>
    <row r="864" spans="2:16" x14ac:dyDescent="0.7">
      <c r="B864" s="19"/>
      <c r="C864" s="19"/>
      <c r="D864" s="19"/>
      <c r="E864" s="19"/>
      <c r="F864" s="19"/>
      <c r="O864" s="20"/>
      <c r="P864" s="20"/>
    </row>
    <row r="865" spans="2:16" x14ac:dyDescent="0.7">
      <c r="B865" s="19"/>
      <c r="C865" s="19"/>
      <c r="D865" s="19"/>
      <c r="E865" s="19"/>
      <c r="F865" s="19"/>
      <c r="O865" s="20"/>
      <c r="P865" s="20"/>
    </row>
    <row r="866" spans="2:16" x14ac:dyDescent="0.7">
      <c r="B866" s="19"/>
      <c r="C866" s="19"/>
      <c r="D866" s="19"/>
      <c r="E866" s="19"/>
      <c r="F866" s="19"/>
      <c r="O866" s="20"/>
      <c r="P866" s="20"/>
    </row>
    <row r="867" spans="2:16" x14ac:dyDescent="0.7">
      <c r="B867" s="19"/>
      <c r="C867" s="19"/>
      <c r="D867" s="19"/>
      <c r="E867" s="19"/>
      <c r="F867" s="19"/>
      <c r="O867" s="20"/>
      <c r="P867" s="20"/>
    </row>
    <row r="868" spans="2:16" x14ac:dyDescent="0.7">
      <c r="B868" s="19"/>
      <c r="C868" s="19"/>
      <c r="D868" s="19"/>
      <c r="E868" s="19"/>
      <c r="F868" s="19"/>
      <c r="O868" s="20"/>
      <c r="P868" s="20"/>
    </row>
    <row r="869" spans="2:16" x14ac:dyDescent="0.7">
      <c r="B869" s="19"/>
      <c r="C869" s="19"/>
      <c r="D869" s="19"/>
      <c r="E869" s="19"/>
      <c r="F869" s="19"/>
      <c r="O869" s="20"/>
      <c r="P869" s="20"/>
    </row>
    <row r="870" spans="2:16" x14ac:dyDescent="0.7">
      <c r="B870" s="19"/>
      <c r="C870" s="19"/>
      <c r="D870" s="19"/>
      <c r="E870" s="19"/>
      <c r="F870" s="19"/>
      <c r="O870" s="20"/>
      <c r="P870" s="20"/>
    </row>
    <row r="871" spans="2:16" x14ac:dyDescent="0.7">
      <c r="B871" s="19"/>
      <c r="C871" s="19"/>
      <c r="D871" s="19"/>
      <c r="E871" s="19"/>
      <c r="F871" s="19"/>
      <c r="O871" s="20"/>
      <c r="P871" s="20"/>
    </row>
    <row r="872" spans="2:16" x14ac:dyDescent="0.7">
      <c r="B872" s="19"/>
      <c r="C872" s="19"/>
      <c r="D872" s="19"/>
      <c r="E872" s="19"/>
      <c r="F872" s="19"/>
      <c r="O872" s="20"/>
      <c r="P872" s="20"/>
    </row>
    <row r="873" spans="2:16" x14ac:dyDescent="0.7">
      <c r="B873" s="19"/>
      <c r="C873" s="19"/>
      <c r="D873" s="19"/>
      <c r="E873" s="19"/>
      <c r="F873" s="19"/>
      <c r="O873" s="20"/>
      <c r="P873" s="20"/>
    </row>
    <row r="874" spans="2:16" x14ac:dyDescent="0.7">
      <c r="B874" s="19"/>
      <c r="C874" s="19"/>
      <c r="D874" s="19"/>
      <c r="E874" s="19"/>
      <c r="F874" s="19"/>
      <c r="O874" s="20"/>
      <c r="P874" s="20"/>
    </row>
    <row r="875" spans="2:16" x14ac:dyDescent="0.7">
      <c r="B875" s="19"/>
      <c r="C875" s="19"/>
      <c r="D875" s="19"/>
      <c r="E875" s="19"/>
      <c r="F875" s="19"/>
      <c r="O875" s="20"/>
      <c r="P875" s="20"/>
    </row>
    <row r="876" spans="2:16" x14ac:dyDescent="0.7">
      <c r="B876" s="19"/>
      <c r="C876" s="19"/>
      <c r="D876" s="19"/>
      <c r="E876" s="19"/>
      <c r="F876" s="19"/>
      <c r="O876" s="20"/>
      <c r="P876" s="20"/>
    </row>
    <row r="877" spans="2:16" x14ac:dyDescent="0.7">
      <c r="B877" s="19"/>
      <c r="C877" s="19"/>
      <c r="D877" s="19"/>
      <c r="E877" s="19"/>
      <c r="F877" s="19"/>
      <c r="O877" s="20"/>
      <c r="P877" s="20"/>
    </row>
    <row r="878" spans="2:16" x14ac:dyDescent="0.7">
      <c r="B878" s="19"/>
      <c r="C878" s="19"/>
      <c r="D878" s="19"/>
      <c r="E878" s="19"/>
      <c r="F878" s="19"/>
      <c r="O878" s="20"/>
      <c r="P878" s="20"/>
    </row>
    <row r="879" spans="2:16" x14ac:dyDescent="0.7">
      <c r="B879" s="19"/>
      <c r="C879" s="19"/>
      <c r="D879" s="19"/>
      <c r="E879" s="19"/>
      <c r="F879" s="19"/>
      <c r="O879" s="20"/>
      <c r="P879" s="20"/>
    </row>
    <row r="880" spans="2:16" x14ac:dyDescent="0.7">
      <c r="B880" s="19"/>
      <c r="C880" s="19"/>
      <c r="D880" s="19"/>
      <c r="E880" s="19"/>
      <c r="F880" s="19"/>
      <c r="O880" s="20"/>
      <c r="P880" s="20"/>
    </row>
    <row r="881" spans="2:16" x14ac:dyDescent="0.7">
      <c r="B881" s="19"/>
      <c r="C881" s="19"/>
      <c r="D881" s="19"/>
      <c r="E881" s="19"/>
      <c r="F881" s="19"/>
      <c r="O881" s="20"/>
      <c r="P881" s="20"/>
    </row>
    <row r="882" spans="2:16" x14ac:dyDescent="0.7">
      <c r="B882" s="19"/>
      <c r="C882" s="19"/>
      <c r="D882" s="19"/>
      <c r="E882" s="19"/>
      <c r="F882" s="19"/>
      <c r="O882" s="20"/>
      <c r="P882" s="20"/>
    </row>
    <row r="883" spans="2:16" x14ac:dyDescent="0.7">
      <c r="B883" s="19"/>
      <c r="C883" s="19"/>
      <c r="D883" s="19"/>
      <c r="E883" s="19"/>
      <c r="F883" s="19"/>
      <c r="O883" s="20"/>
      <c r="P883" s="20"/>
    </row>
    <row r="884" spans="2:16" x14ac:dyDescent="0.7">
      <c r="B884" s="19"/>
      <c r="C884" s="19"/>
      <c r="D884" s="19"/>
      <c r="E884" s="19"/>
      <c r="F884" s="19"/>
      <c r="O884" s="20"/>
      <c r="P884" s="20"/>
    </row>
    <row r="885" spans="2:16" x14ac:dyDescent="0.7">
      <c r="B885" s="19"/>
      <c r="C885" s="19"/>
      <c r="D885" s="19"/>
      <c r="E885" s="19"/>
      <c r="F885" s="19"/>
      <c r="O885" s="20"/>
      <c r="P885" s="20"/>
    </row>
    <row r="886" spans="2:16" x14ac:dyDescent="0.7">
      <c r="B886" s="19"/>
      <c r="C886" s="19"/>
      <c r="D886" s="19"/>
      <c r="E886" s="19"/>
      <c r="F886" s="19"/>
      <c r="O886" s="20"/>
      <c r="P886" s="20"/>
    </row>
    <row r="887" spans="2:16" x14ac:dyDescent="0.7">
      <c r="B887" s="19"/>
      <c r="C887" s="19"/>
      <c r="D887" s="19"/>
      <c r="E887" s="19"/>
      <c r="F887" s="19"/>
      <c r="O887" s="20"/>
      <c r="P887" s="20"/>
    </row>
    <row r="888" spans="2:16" x14ac:dyDescent="0.7">
      <c r="B888" s="19"/>
      <c r="C888" s="19"/>
      <c r="D888" s="19"/>
      <c r="E888" s="19"/>
      <c r="F888" s="19"/>
      <c r="O888" s="20"/>
      <c r="P888" s="20"/>
    </row>
    <row r="889" spans="2:16" x14ac:dyDescent="0.7">
      <c r="B889" s="19"/>
      <c r="C889" s="19"/>
      <c r="D889" s="19"/>
      <c r="E889" s="19"/>
      <c r="F889" s="19"/>
      <c r="O889" s="20"/>
      <c r="P889" s="20"/>
    </row>
    <row r="890" spans="2:16" x14ac:dyDescent="0.7">
      <c r="B890" s="19"/>
      <c r="C890" s="19"/>
      <c r="D890" s="19"/>
      <c r="E890" s="19"/>
      <c r="F890" s="19"/>
      <c r="O890" s="20"/>
      <c r="P890" s="20"/>
    </row>
    <row r="891" spans="2:16" x14ac:dyDescent="0.7">
      <c r="B891" s="19"/>
      <c r="C891" s="19"/>
      <c r="D891" s="19"/>
      <c r="E891" s="19"/>
      <c r="F891" s="19"/>
      <c r="O891" s="20"/>
      <c r="P891" s="20"/>
    </row>
    <row r="892" spans="2:16" x14ac:dyDescent="0.7">
      <c r="B892" s="19"/>
      <c r="C892" s="19"/>
      <c r="D892" s="19"/>
      <c r="E892" s="19"/>
      <c r="F892" s="19"/>
      <c r="O892" s="20"/>
      <c r="P892" s="20"/>
    </row>
    <row r="893" spans="2:16" x14ac:dyDescent="0.7">
      <c r="B893" s="19"/>
      <c r="C893" s="19"/>
      <c r="D893" s="19"/>
      <c r="E893" s="19"/>
      <c r="F893" s="19"/>
      <c r="O893" s="20"/>
      <c r="P893" s="20"/>
    </row>
    <row r="894" spans="2:16" x14ac:dyDescent="0.7">
      <c r="B894" s="19"/>
      <c r="C894" s="19"/>
      <c r="D894" s="19"/>
      <c r="E894" s="19"/>
      <c r="F894" s="19"/>
      <c r="O894" s="20"/>
      <c r="P894" s="20"/>
    </row>
    <row r="895" spans="2:16" x14ac:dyDescent="0.7">
      <c r="B895" s="19"/>
      <c r="C895" s="19"/>
      <c r="D895" s="19"/>
      <c r="E895" s="19"/>
      <c r="F895" s="19"/>
      <c r="O895" s="20"/>
      <c r="P895" s="20"/>
    </row>
    <row r="896" spans="2:16" x14ac:dyDescent="0.7">
      <c r="B896" s="19"/>
      <c r="C896" s="19"/>
      <c r="D896" s="19"/>
      <c r="E896" s="19"/>
      <c r="F896" s="19"/>
      <c r="O896" s="20"/>
      <c r="P896" s="20"/>
    </row>
    <row r="897" spans="2:16" x14ac:dyDescent="0.7">
      <c r="B897" s="19"/>
      <c r="C897" s="19"/>
      <c r="D897" s="19"/>
      <c r="E897" s="19"/>
      <c r="F897" s="19"/>
      <c r="O897" s="20"/>
      <c r="P897" s="20"/>
    </row>
    <row r="898" spans="2:16" x14ac:dyDescent="0.7">
      <c r="B898" s="19"/>
      <c r="C898" s="19"/>
      <c r="D898" s="19"/>
      <c r="E898" s="19"/>
      <c r="F898" s="19"/>
      <c r="O898" s="20"/>
      <c r="P898" s="20"/>
    </row>
    <row r="899" spans="2:16" x14ac:dyDescent="0.7">
      <c r="B899" s="19"/>
      <c r="C899" s="19"/>
      <c r="D899" s="19"/>
      <c r="E899" s="19"/>
      <c r="F899" s="19"/>
      <c r="O899" s="20"/>
      <c r="P899" s="20"/>
    </row>
    <row r="900" spans="2:16" x14ac:dyDescent="0.7">
      <c r="B900" s="19"/>
      <c r="C900" s="19"/>
      <c r="D900" s="19"/>
      <c r="E900" s="19"/>
      <c r="F900" s="19"/>
      <c r="O900" s="20"/>
      <c r="P900" s="20"/>
    </row>
    <row r="901" spans="2:16" x14ac:dyDescent="0.7">
      <c r="B901" s="19"/>
      <c r="C901" s="19"/>
      <c r="D901" s="19"/>
      <c r="E901" s="19"/>
      <c r="F901" s="19"/>
      <c r="O901" s="20"/>
      <c r="P901" s="20"/>
    </row>
    <row r="902" spans="2:16" x14ac:dyDescent="0.7">
      <c r="B902" s="19"/>
      <c r="C902" s="19"/>
      <c r="D902" s="19"/>
      <c r="E902" s="19"/>
      <c r="F902" s="19"/>
      <c r="O902" s="20"/>
      <c r="P902" s="20"/>
    </row>
    <row r="903" spans="2:16" x14ac:dyDescent="0.7">
      <c r="B903" s="19"/>
      <c r="C903" s="19"/>
      <c r="D903" s="19"/>
      <c r="E903" s="19"/>
      <c r="F903" s="19"/>
      <c r="O903" s="20"/>
      <c r="P903" s="20"/>
    </row>
    <row r="904" spans="2:16" x14ac:dyDescent="0.7">
      <c r="B904" s="19"/>
      <c r="C904" s="19"/>
      <c r="D904" s="19"/>
      <c r="E904" s="19"/>
      <c r="F904" s="19"/>
      <c r="O904" s="20"/>
      <c r="P904" s="20"/>
    </row>
    <row r="905" spans="2:16" x14ac:dyDescent="0.7">
      <c r="B905" s="19"/>
      <c r="C905" s="19"/>
      <c r="D905" s="19"/>
      <c r="E905" s="19"/>
      <c r="F905" s="19"/>
      <c r="O905" s="20"/>
      <c r="P905" s="20"/>
    </row>
    <row r="906" spans="2:16" x14ac:dyDescent="0.7">
      <c r="B906" s="19"/>
      <c r="C906" s="19"/>
      <c r="D906" s="19"/>
      <c r="E906" s="19"/>
      <c r="F906" s="19"/>
      <c r="O906" s="20"/>
      <c r="P906" s="20"/>
    </row>
    <row r="907" spans="2:16" x14ac:dyDescent="0.7">
      <c r="B907" s="19"/>
      <c r="C907" s="19"/>
      <c r="D907" s="19"/>
      <c r="E907" s="19"/>
      <c r="F907" s="19"/>
      <c r="O907" s="20"/>
      <c r="P907" s="20"/>
    </row>
    <row r="908" spans="2:16" x14ac:dyDescent="0.7">
      <c r="B908" s="19"/>
      <c r="C908" s="19"/>
      <c r="D908" s="19"/>
      <c r="E908" s="19"/>
      <c r="F908" s="19"/>
      <c r="O908" s="20"/>
      <c r="P908" s="20"/>
    </row>
    <row r="909" spans="2:16" x14ac:dyDescent="0.7">
      <c r="B909" s="19"/>
      <c r="C909" s="19"/>
      <c r="D909" s="19"/>
      <c r="E909" s="19"/>
      <c r="F909" s="19"/>
      <c r="O909" s="20"/>
      <c r="P909" s="20"/>
    </row>
    <row r="910" spans="2:16" x14ac:dyDescent="0.7">
      <c r="B910" s="19"/>
      <c r="C910" s="19"/>
      <c r="D910" s="19"/>
      <c r="E910" s="19"/>
      <c r="F910" s="19"/>
      <c r="O910" s="20"/>
      <c r="P910" s="20"/>
    </row>
    <row r="911" spans="2:16" x14ac:dyDescent="0.7">
      <c r="B911" s="19"/>
      <c r="C911" s="19"/>
      <c r="D911" s="19"/>
      <c r="E911" s="19"/>
      <c r="F911" s="19"/>
      <c r="O911" s="20"/>
      <c r="P911" s="20"/>
    </row>
    <row r="912" spans="2:16" x14ac:dyDescent="0.7">
      <c r="B912" s="19"/>
      <c r="C912" s="19"/>
      <c r="D912" s="19"/>
      <c r="E912" s="19"/>
      <c r="F912" s="19"/>
      <c r="O912" s="20"/>
      <c r="P912" s="20"/>
    </row>
    <row r="913" spans="2:16" x14ac:dyDescent="0.7">
      <c r="B913" s="19"/>
      <c r="C913" s="19"/>
      <c r="D913" s="19"/>
      <c r="E913" s="19"/>
      <c r="F913" s="19"/>
      <c r="O913" s="20"/>
      <c r="P913" s="20"/>
    </row>
    <row r="914" spans="2:16" x14ac:dyDescent="0.7">
      <c r="B914" s="19"/>
      <c r="C914" s="19"/>
      <c r="D914" s="19"/>
      <c r="E914" s="19"/>
      <c r="F914" s="19"/>
      <c r="O914" s="20"/>
      <c r="P914" s="20"/>
    </row>
    <row r="915" spans="2:16" x14ac:dyDescent="0.7">
      <c r="B915" s="19"/>
      <c r="C915" s="19"/>
      <c r="D915" s="19"/>
      <c r="E915" s="19"/>
      <c r="F915" s="19"/>
      <c r="O915" s="20"/>
      <c r="P915" s="20"/>
    </row>
    <row r="916" spans="2:16" x14ac:dyDescent="0.7">
      <c r="B916" s="19"/>
      <c r="C916" s="19"/>
      <c r="D916" s="19"/>
      <c r="E916" s="19"/>
      <c r="F916" s="19"/>
      <c r="O916" s="20"/>
      <c r="P916" s="20"/>
    </row>
    <row r="917" spans="2:16" x14ac:dyDescent="0.7">
      <c r="B917" s="19"/>
      <c r="C917" s="19"/>
      <c r="D917" s="19"/>
      <c r="E917" s="19"/>
      <c r="F917" s="19"/>
      <c r="O917" s="20"/>
      <c r="P917" s="20"/>
    </row>
    <row r="918" spans="2:16" x14ac:dyDescent="0.7">
      <c r="B918" s="19"/>
      <c r="C918" s="19"/>
      <c r="D918" s="19"/>
      <c r="E918" s="19"/>
      <c r="F918" s="19"/>
      <c r="O918" s="20"/>
      <c r="P918" s="20"/>
    </row>
    <row r="919" spans="2:16" x14ac:dyDescent="0.7">
      <c r="B919" s="19"/>
      <c r="C919" s="19"/>
      <c r="D919" s="19"/>
      <c r="E919" s="19"/>
      <c r="F919" s="19"/>
      <c r="O919" s="20"/>
      <c r="P919" s="20"/>
    </row>
    <row r="920" spans="2:16" x14ac:dyDescent="0.7">
      <c r="B920" s="19"/>
      <c r="C920" s="19"/>
      <c r="D920" s="19"/>
      <c r="E920" s="19"/>
      <c r="F920" s="19"/>
      <c r="O920" s="20"/>
      <c r="P920" s="20"/>
    </row>
    <row r="921" spans="2:16" x14ac:dyDescent="0.7">
      <c r="B921" s="19"/>
      <c r="C921" s="19"/>
      <c r="D921" s="19"/>
      <c r="E921" s="19"/>
      <c r="F921" s="19"/>
      <c r="O921" s="20"/>
      <c r="P921" s="20"/>
    </row>
    <row r="922" spans="2:16" x14ac:dyDescent="0.7">
      <c r="B922" s="19"/>
      <c r="C922" s="19"/>
      <c r="D922" s="19"/>
      <c r="E922" s="19"/>
      <c r="F922" s="19"/>
      <c r="O922" s="20"/>
      <c r="P922" s="20"/>
    </row>
    <row r="923" spans="2:16" x14ac:dyDescent="0.7">
      <c r="B923" s="19"/>
      <c r="C923" s="19"/>
      <c r="D923" s="19"/>
      <c r="E923" s="19"/>
      <c r="F923" s="19"/>
      <c r="O923" s="20"/>
      <c r="P923" s="20"/>
    </row>
    <row r="924" spans="2:16" x14ac:dyDescent="0.7">
      <c r="B924" s="19"/>
      <c r="C924" s="19"/>
      <c r="D924" s="19"/>
      <c r="E924" s="19"/>
      <c r="F924" s="19"/>
      <c r="O924" s="20"/>
      <c r="P924" s="20"/>
    </row>
    <row r="925" spans="2:16" x14ac:dyDescent="0.7">
      <c r="B925" s="19"/>
      <c r="C925" s="19"/>
      <c r="D925" s="19"/>
      <c r="E925" s="19"/>
      <c r="F925" s="19"/>
      <c r="O925" s="20"/>
      <c r="P925" s="20"/>
    </row>
    <row r="926" spans="2:16" x14ac:dyDescent="0.7">
      <c r="B926" s="19"/>
      <c r="C926" s="19"/>
      <c r="D926" s="19"/>
      <c r="E926" s="19"/>
      <c r="F926" s="19"/>
      <c r="O926" s="20"/>
      <c r="P926" s="20"/>
    </row>
    <row r="927" spans="2:16" x14ac:dyDescent="0.7">
      <c r="B927" s="19"/>
      <c r="C927" s="19"/>
      <c r="D927" s="19"/>
      <c r="E927" s="19"/>
      <c r="F927" s="19"/>
      <c r="O927" s="20"/>
      <c r="P927" s="20"/>
    </row>
    <row r="928" spans="2:16" x14ac:dyDescent="0.7">
      <c r="B928" s="19"/>
      <c r="C928" s="19"/>
      <c r="D928" s="19"/>
      <c r="E928" s="19"/>
      <c r="F928" s="19"/>
      <c r="O928" s="20"/>
      <c r="P928" s="20"/>
    </row>
    <row r="929" spans="2:16" x14ac:dyDescent="0.7">
      <c r="B929" s="19"/>
      <c r="C929" s="19"/>
      <c r="D929" s="19"/>
      <c r="E929" s="19"/>
      <c r="F929" s="19"/>
      <c r="O929" s="20"/>
      <c r="P929" s="20"/>
    </row>
    <row r="930" spans="2:16" x14ac:dyDescent="0.7">
      <c r="B930" s="19"/>
      <c r="C930" s="19"/>
      <c r="D930" s="19"/>
      <c r="E930" s="19"/>
      <c r="F930" s="19"/>
      <c r="O930" s="20"/>
      <c r="P930" s="20"/>
    </row>
    <row r="931" spans="2:16" x14ac:dyDescent="0.7">
      <c r="B931" s="19"/>
      <c r="C931" s="19"/>
      <c r="D931" s="19"/>
      <c r="E931" s="19"/>
      <c r="F931" s="19"/>
      <c r="O931" s="20"/>
      <c r="P931" s="20"/>
    </row>
    <row r="932" spans="2:16" x14ac:dyDescent="0.7">
      <c r="B932" s="19"/>
      <c r="C932" s="19"/>
      <c r="D932" s="19"/>
      <c r="E932" s="19"/>
      <c r="F932" s="19"/>
      <c r="O932" s="20"/>
      <c r="P932" s="20"/>
    </row>
    <row r="933" spans="2:16" x14ac:dyDescent="0.7">
      <c r="B933" s="19"/>
      <c r="C933" s="19"/>
      <c r="D933" s="19"/>
      <c r="E933" s="19"/>
      <c r="F933" s="19"/>
      <c r="O933" s="20"/>
      <c r="P933" s="20"/>
    </row>
    <row r="934" spans="2:16" x14ac:dyDescent="0.7">
      <c r="B934" s="19"/>
      <c r="C934" s="19"/>
      <c r="D934" s="19"/>
      <c r="E934" s="19"/>
      <c r="F934" s="19"/>
      <c r="O934" s="20"/>
      <c r="P934" s="20"/>
    </row>
    <row r="935" spans="2:16" x14ac:dyDescent="0.7">
      <c r="B935" s="19"/>
      <c r="C935" s="19"/>
      <c r="D935" s="19"/>
      <c r="E935" s="19"/>
      <c r="F935" s="19"/>
      <c r="O935" s="20"/>
      <c r="P935" s="20"/>
    </row>
    <row r="936" spans="2:16" x14ac:dyDescent="0.7">
      <c r="B936" s="19"/>
      <c r="C936" s="19"/>
      <c r="D936" s="19"/>
      <c r="E936" s="19"/>
      <c r="F936" s="19"/>
      <c r="O936" s="20"/>
      <c r="P936" s="20"/>
    </row>
    <row r="937" spans="2:16" x14ac:dyDescent="0.7">
      <c r="B937" s="19"/>
      <c r="C937" s="19"/>
      <c r="D937" s="19"/>
      <c r="E937" s="19"/>
      <c r="F937" s="19"/>
      <c r="O937" s="20"/>
      <c r="P937" s="20"/>
    </row>
    <row r="938" spans="2:16" x14ac:dyDescent="0.7">
      <c r="B938" s="19"/>
      <c r="C938" s="19"/>
      <c r="D938" s="19"/>
      <c r="E938" s="19"/>
      <c r="F938" s="19"/>
      <c r="O938" s="20"/>
      <c r="P938" s="20"/>
    </row>
    <row r="939" spans="2:16" x14ac:dyDescent="0.7">
      <c r="B939" s="19"/>
      <c r="C939" s="19"/>
      <c r="D939" s="19"/>
      <c r="E939" s="19"/>
      <c r="F939" s="19"/>
      <c r="O939" s="20"/>
      <c r="P939" s="20"/>
    </row>
    <row r="940" spans="2:16" x14ac:dyDescent="0.7">
      <c r="B940" s="19"/>
      <c r="C940" s="19"/>
      <c r="D940" s="19"/>
      <c r="E940" s="19"/>
      <c r="F940" s="19"/>
      <c r="O940" s="20"/>
      <c r="P940" s="20"/>
    </row>
    <row r="941" spans="2:16" x14ac:dyDescent="0.7">
      <c r="B941" s="19"/>
      <c r="C941" s="19"/>
      <c r="D941" s="19"/>
      <c r="E941" s="19"/>
      <c r="F941" s="19"/>
      <c r="O941" s="20"/>
      <c r="P941" s="20"/>
    </row>
    <row r="942" spans="2:16" x14ac:dyDescent="0.7">
      <c r="B942" s="19"/>
      <c r="C942" s="19"/>
      <c r="D942" s="19"/>
      <c r="E942" s="19"/>
      <c r="F942" s="19"/>
      <c r="O942" s="20"/>
      <c r="P942" s="20"/>
    </row>
    <row r="943" spans="2:16" x14ac:dyDescent="0.7">
      <c r="B943" s="19"/>
      <c r="C943" s="19"/>
      <c r="D943" s="19"/>
      <c r="E943" s="19"/>
      <c r="F943" s="19"/>
      <c r="O943" s="20"/>
      <c r="P943" s="20"/>
    </row>
    <row r="944" spans="2:16" x14ac:dyDescent="0.7">
      <c r="B944" s="19"/>
      <c r="C944" s="19"/>
      <c r="D944" s="19"/>
      <c r="E944" s="19"/>
      <c r="F944" s="19"/>
      <c r="O944" s="20"/>
      <c r="P944" s="20"/>
    </row>
    <row r="945" spans="2:16" x14ac:dyDescent="0.7">
      <c r="B945" s="19"/>
      <c r="C945" s="19"/>
      <c r="D945" s="19"/>
      <c r="E945" s="19"/>
      <c r="F945" s="19"/>
      <c r="O945" s="20"/>
      <c r="P945" s="20"/>
    </row>
    <row r="946" spans="2:16" x14ac:dyDescent="0.7">
      <c r="B946" s="19"/>
      <c r="C946" s="19"/>
      <c r="D946" s="19"/>
      <c r="E946" s="19"/>
      <c r="F946" s="19"/>
      <c r="O946" s="20"/>
      <c r="P946" s="20"/>
    </row>
    <row r="947" spans="2:16" x14ac:dyDescent="0.7">
      <c r="B947" s="19"/>
      <c r="C947" s="19"/>
      <c r="D947" s="19"/>
      <c r="E947" s="19"/>
      <c r="F947" s="19"/>
      <c r="O947" s="20"/>
      <c r="P947" s="20"/>
    </row>
    <row r="948" spans="2:16" x14ac:dyDescent="0.7">
      <c r="B948" s="19"/>
      <c r="C948" s="19"/>
      <c r="D948" s="19"/>
      <c r="E948" s="19"/>
      <c r="F948" s="19"/>
      <c r="O948" s="20"/>
      <c r="P948" s="20"/>
    </row>
    <row r="949" spans="2:16" x14ac:dyDescent="0.7">
      <c r="B949" s="19"/>
      <c r="C949" s="19"/>
      <c r="D949" s="19"/>
      <c r="E949" s="19"/>
      <c r="F949" s="19"/>
      <c r="O949" s="20"/>
      <c r="P949" s="20"/>
    </row>
    <row r="950" spans="2:16" x14ac:dyDescent="0.7">
      <c r="B950" s="19"/>
      <c r="C950" s="19"/>
      <c r="D950" s="19"/>
      <c r="E950" s="19"/>
      <c r="F950" s="19"/>
      <c r="O950" s="20"/>
      <c r="P950" s="20"/>
    </row>
    <row r="951" spans="2:16" x14ac:dyDescent="0.7">
      <c r="B951" s="19"/>
      <c r="C951" s="19"/>
      <c r="D951" s="19"/>
      <c r="E951" s="19"/>
      <c r="F951" s="19"/>
      <c r="O951" s="20"/>
      <c r="P951" s="20"/>
    </row>
    <row r="952" spans="2:16" x14ac:dyDescent="0.7">
      <c r="B952" s="19"/>
      <c r="C952" s="19"/>
      <c r="D952" s="19"/>
      <c r="E952" s="19"/>
      <c r="F952" s="19"/>
      <c r="O952" s="20"/>
      <c r="P952" s="20"/>
    </row>
    <row r="953" spans="2:16" x14ac:dyDescent="0.7">
      <c r="B953" s="19"/>
      <c r="C953" s="19"/>
      <c r="D953" s="19"/>
      <c r="E953" s="19"/>
      <c r="F953" s="19"/>
      <c r="O953" s="20"/>
      <c r="P953" s="20"/>
    </row>
    <row r="954" spans="2:16" x14ac:dyDescent="0.7">
      <c r="B954" s="19"/>
      <c r="C954" s="19"/>
      <c r="D954" s="19"/>
      <c r="E954" s="19"/>
      <c r="F954" s="19"/>
      <c r="O954" s="20"/>
      <c r="P954" s="20"/>
    </row>
    <row r="955" spans="2:16" x14ac:dyDescent="0.7">
      <c r="B955" s="19"/>
      <c r="C955" s="19"/>
      <c r="D955" s="19"/>
      <c r="E955" s="19"/>
      <c r="F955" s="19"/>
      <c r="O955" s="20"/>
      <c r="P955" s="20"/>
    </row>
    <row r="956" spans="2:16" x14ac:dyDescent="0.7">
      <c r="B956" s="19"/>
      <c r="C956" s="19"/>
      <c r="D956" s="19"/>
      <c r="E956" s="19"/>
      <c r="F956" s="19"/>
      <c r="O956" s="20"/>
      <c r="P956" s="20"/>
    </row>
    <row r="957" spans="2:16" x14ac:dyDescent="0.7">
      <c r="B957" s="19"/>
      <c r="C957" s="19"/>
      <c r="D957" s="19"/>
      <c r="E957" s="19"/>
      <c r="F957" s="19"/>
      <c r="O957" s="20"/>
      <c r="P957" s="20"/>
    </row>
    <row r="958" spans="2:16" x14ac:dyDescent="0.7">
      <c r="B958" s="19"/>
      <c r="C958" s="19"/>
      <c r="D958" s="19"/>
      <c r="E958" s="19"/>
      <c r="F958" s="19"/>
      <c r="O958" s="20"/>
      <c r="P958" s="20"/>
    </row>
    <row r="959" spans="2:16" x14ac:dyDescent="0.7">
      <c r="B959" s="19"/>
      <c r="C959" s="19"/>
      <c r="D959" s="19"/>
      <c r="E959" s="19"/>
      <c r="F959" s="19"/>
      <c r="O959" s="20"/>
      <c r="P959" s="20"/>
    </row>
    <row r="960" spans="2:16" x14ac:dyDescent="0.7">
      <c r="B960" s="19"/>
      <c r="C960" s="19"/>
      <c r="D960" s="19"/>
      <c r="E960" s="19"/>
      <c r="F960" s="19"/>
      <c r="O960" s="20"/>
      <c r="P960" s="20"/>
    </row>
    <row r="961" spans="2:16" x14ac:dyDescent="0.7">
      <c r="B961" s="19"/>
      <c r="C961" s="19"/>
      <c r="D961" s="19"/>
      <c r="E961" s="19"/>
      <c r="F961" s="19"/>
      <c r="O961" s="20"/>
      <c r="P961" s="20"/>
    </row>
    <row r="962" spans="2:16" x14ac:dyDescent="0.7">
      <c r="B962" s="19"/>
      <c r="C962" s="19"/>
      <c r="D962" s="19"/>
      <c r="E962" s="19"/>
      <c r="F962" s="19"/>
      <c r="O962" s="20"/>
      <c r="P962" s="20"/>
    </row>
    <row r="963" spans="2:16" x14ac:dyDescent="0.7">
      <c r="B963" s="19"/>
      <c r="C963" s="19"/>
      <c r="D963" s="19"/>
      <c r="E963" s="19"/>
      <c r="F963" s="19"/>
      <c r="O963" s="20"/>
      <c r="P963" s="20"/>
    </row>
    <row r="964" spans="2:16" x14ac:dyDescent="0.7">
      <c r="B964" s="19"/>
      <c r="C964" s="19"/>
      <c r="D964" s="19"/>
      <c r="E964" s="19"/>
      <c r="F964" s="19"/>
      <c r="O964" s="20"/>
      <c r="P964" s="20"/>
    </row>
    <row r="965" spans="2:16" x14ac:dyDescent="0.7">
      <c r="B965" s="19"/>
      <c r="C965" s="19"/>
      <c r="D965" s="19"/>
      <c r="E965" s="19"/>
      <c r="F965" s="19"/>
      <c r="O965" s="20"/>
      <c r="P965" s="20"/>
    </row>
    <row r="966" spans="2:16" x14ac:dyDescent="0.7">
      <c r="B966" s="19"/>
      <c r="C966" s="19"/>
      <c r="D966" s="19"/>
      <c r="E966" s="19"/>
      <c r="F966" s="19"/>
      <c r="O966" s="20"/>
      <c r="P966" s="20"/>
    </row>
    <row r="967" spans="2:16" x14ac:dyDescent="0.7">
      <c r="B967" s="19"/>
      <c r="C967" s="19"/>
      <c r="D967" s="19"/>
      <c r="E967" s="19"/>
      <c r="F967" s="19"/>
      <c r="O967" s="20"/>
      <c r="P967" s="20"/>
    </row>
    <row r="968" spans="2:16" x14ac:dyDescent="0.7">
      <c r="B968" s="19"/>
      <c r="C968" s="19"/>
      <c r="D968" s="19"/>
      <c r="E968" s="19"/>
      <c r="F968" s="19"/>
      <c r="O968" s="20"/>
      <c r="P968" s="20"/>
    </row>
    <row r="969" spans="2:16" x14ac:dyDescent="0.7">
      <c r="B969" s="19"/>
      <c r="C969" s="19"/>
      <c r="D969" s="19"/>
      <c r="E969" s="19"/>
      <c r="F969" s="19"/>
      <c r="O969" s="20"/>
      <c r="P969" s="20"/>
    </row>
    <row r="970" spans="2:16" x14ac:dyDescent="0.7">
      <c r="B970" s="19"/>
      <c r="C970" s="19"/>
      <c r="D970" s="19"/>
      <c r="E970" s="19"/>
      <c r="F970" s="19"/>
      <c r="O970" s="20"/>
      <c r="P970" s="20"/>
    </row>
    <row r="971" spans="2:16" x14ac:dyDescent="0.7">
      <c r="B971" s="19"/>
      <c r="C971" s="19"/>
      <c r="D971" s="19"/>
      <c r="E971" s="19"/>
      <c r="F971" s="19"/>
      <c r="O971" s="20"/>
      <c r="P971" s="20"/>
    </row>
    <row r="972" spans="2:16" x14ac:dyDescent="0.7">
      <c r="B972" s="19"/>
      <c r="C972" s="19"/>
      <c r="D972" s="19"/>
      <c r="E972" s="19"/>
      <c r="F972" s="19"/>
      <c r="O972" s="20"/>
      <c r="P972" s="20"/>
    </row>
    <row r="973" spans="2:16" x14ac:dyDescent="0.7">
      <c r="B973" s="19"/>
      <c r="C973" s="19"/>
      <c r="D973" s="19"/>
      <c r="E973" s="19"/>
      <c r="F973" s="19"/>
      <c r="O973" s="20"/>
      <c r="P973" s="20"/>
    </row>
    <row r="974" spans="2:16" x14ac:dyDescent="0.7">
      <c r="B974" s="19"/>
      <c r="C974" s="19"/>
      <c r="D974" s="19"/>
      <c r="E974" s="19"/>
      <c r="F974" s="19"/>
      <c r="O974" s="20"/>
      <c r="P974" s="20"/>
    </row>
    <row r="975" spans="2:16" x14ac:dyDescent="0.7">
      <c r="B975" s="19"/>
      <c r="C975" s="19"/>
      <c r="D975" s="19"/>
      <c r="E975" s="19"/>
      <c r="F975" s="19"/>
      <c r="O975" s="20"/>
      <c r="P975" s="20"/>
    </row>
    <row r="976" spans="2:16" x14ac:dyDescent="0.7">
      <c r="B976" s="19"/>
      <c r="C976" s="19"/>
      <c r="D976" s="19"/>
      <c r="E976" s="19"/>
      <c r="F976" s="19"/>
      <c r="O976" s="20"/>
      <c r="P976" s="20"/>
    </row>
    <row r="977" spans="2:16" x14ac:dyDescent="0.7">
      <c r="B977" s="19"/>
      <c r="C977" s="19"/>
      <c r="D977" s="19"/>
      <c r="E977" s="19"/>
      <c r="F977" s="19"/>
      <c r="O977" s="20"/>
      <c r="P977" s="20"/>
    </row>
    <row r="978" spans="2:16" x14ac:dyDescent="0.7">
      <c r="B978" s="19"/>
      <c r="C978" s="19"/>
      <c r="D978" s="19"/>
      <c r="E978" s="19"/>
      <c r="F978" s="19"/>
      <c r="O978" s="20"/>
      <c r="P978" s="20"/>
    </row>
    <row r="979" spans="2:16" x14ac:dyDescent="0.7">
      <c r="B979" s="19"/>
      <c r="C979" s="19"/>
      <c r="D979" s="19"/>
      <c r="E979" s="19"/>
      <c r="F979" s="19"/>
      <c r="O979" s="20"/>
      <c r="P979" s="20"/>
    </row>
    <row r="980" spans="2:16" x14ac:dyDescent="0.7">
      <c r="B980" s="19"/>
      <c r="C980" s="19"/>
      <c r="D980" s="19"/>
      <c r="E980" s="19"/>
      <c r="F980" s="19"/>
      <c r="O980" s="20"/>
      <c r="P980" s="20"/>
    </row>
    <row r="981" spans="2:16" x14ac:dyDescent="0.7">
      <c r="B981" s="19"/>
      <c r="C981" s="19"/>
      <c r="D981" s="19"/>
      <c r="E981" s="19"/>
      <c r="F981" s="19"/>
      <c r="O981" s="20"/>
      <c r="P981" s="20"/>
    </row>
    <row r="982" spans="2:16" x14ac:dyDescent="0.7">
      <c r="B982" s="19"/>
      <c r="C982" s="19"/>
      <c r="D982" s="19"/>
      <c r="E982" s="19"/>
      <c r="F982" s="19"/>
      <c r="O982" s="20"/>
      <c r="P982" s="20"/>
    </row>
    <row r="983" spans="2:16" x14ac:dyDescent="0.7">
      <c r="B983" s="19"/>
      <c r="C983" s="19"/>
      <c r="D983" s="19"/>
      <c r="E983" s="19"/>
      <c r="F983" s="19"/>
      <c r="O983" s="20"/>
      <c r="P983" s="20"/>
    </row>
    <row r="984" spans="2:16" x14ac:dyDescent="0.7">
      <c r="B984" s="19"/>
      <c r="C984" s="19"/>
      <c r="D984" s="19"/>
      <c r="E984" s="19"/>
      <c r="F984" s="19"/>
      <c r="O984" s="20"/>
      <c r="P984" s="20"/>
    </row>
    <row r="985" spans="2:16" x14ac:dyDescent="0.7">
      <c r="B985" s="19"/>
      <c r="C985" s="19"/>
      <c r="D985" s="19"/>
      <c r="E985" s="19"/>
      <c r="F985" s="19"/>
      <c r="O985" s="20"/>
      <c r="P985" s="20"/>
    </row>
    <row r="986" spans="2:16" x14ac:dyDescent="0.7">
      <c r="B986" s="19"/>
      <c r="C986" s="19"/>
      <c r="D986" s="19"/>
      <c r="E986" s="19"/>
      <c r="F986" s="19"/>
      <c r="O986" s="20"/>
      <c r="P986" s="20"/>
    </row>
    <row r="987" spans="2:16" x14ac:dyDescent="0.7">
      <c r="B987" s="19"/>
      <c r="C987" s="19"/>
      <c r="D987" s="19"/>
      <c r="E987" s="19"/>
      <c r="F987" s="19"/>
      <c r="O987" s="20"/>
      <c r="P987" s="20"/>
    </row>
    <row r="988" spans="2:16" x14ac:dyDescent="0.7">
      <c r="B988" s="19"/>
      <c r="C988" s="19"/>
      <c r="D988" s="19"/>
      <c r="E988" s="19"/>
      <c r="F988" s="19"/>
      <c r="O988" s="20"/>
      <c r="P988" s="20"/>
    </row>
    <row r="989" spans="2:16" x14ac:dyDescent="0.7">
      <c r="B989" s="19"/>
      <c r="C989" s="19"/>
      <c r="D989" s="19"/>
      <c r="E989" s="19"/>
      <c r="F989" s="19"/>
      <c r="O989" s="20"/>
      <c r="P989" s="20"/>
    </row>
    <row r="990" spans="2:16" x14ac:dyDescent="0.7">
      <c r="B990" s="19"/>
      <c r="C990" s="19"/>
      <c r="D990" s="19"/>
      <c r="E990" s="19"/>
      <c r="F990" s="19"/>
      <c r="O990" s="20"/>
      <c r="P990" s="20"/>
    </row>
    <row r="991" spans="2:16" x14ac:dyDescent="0.7">
      <c r="B991" s="19"/>
      <c r="C991" s="19"/>
      <c r="D991" s="19"/>
      <c r="E991" s="19"/>
      <c r="F991" s="19"/>
      <c r="O991" s="20"/>
      <c r="P991" s="20"/>
    </row>
    <row r="992" spans="2:16" x14ac:dyDescent="0.7">
      <c r="B992" s="19"/>
      <c r="C992" s="19"/>
      <c r="D992" s="19"/>
      <c r="E992" s="19"/>
      <c r="F992" s="19"/>
      <c r="O992" s="20"/>
      <c r="P992" s="20"/>
    </row>
    <row r="993" spans="2:16" x14ac:dyDescent="0.7">
      <c r="B993" s="19"/>
      <c r="C993" s="19"/>
      <c r="D993" s="19"/>
      <c r="E993" s="19"/>
      <c r="F993" s="19"/>
      <c r="O993" s="20"/>
      <c r="P993" s="20"/>
    </row>
    <row r="994" spans="2:16" x14ac:dyDescent="0.7">
      <c r="B994" s="19"/>
      <c r="C994" s="19"/>
      <c r="D994" s="19"/>
      <c r="E994" s="19"/>
      <c r="F994" s="19"/>
      <c r="O994" s="20"/>
      <c r="P994" s="20"/>
    </row>
    <row r="995" spans="2:16" x14ac:dyDescent="0.7">
      <c r="B995" s="19"/>
      <c r="C995" s="19"/>
      <c r="D995" s="19"/>
      <c r="E995" s="19"/>
      <c r="F995" s="19"/>
      <c r="O995" s="20"/>
      <c r="P995" s="20"/>
    </row>
    <row r="996" spans="2:16" x14ac:dyDescent="0.7">
      <c r="B996" s="19"/>
      <c r="C996" s="19"/>
      <c r="D996" s="19"/>
      <c r="E996" s="19"/>
      <c r="F996" s="19"/>
      <c r="O996" s="20"/>
      <c r="P996" s="20"/>
    </row>
    <row r="997" spans="2:16" x14ac:dyDescent="0.7">
      <c r="B997" s="19"/>
      <c r="C997" s="19"/>
      <c r="D997" s="19"/>
      <c r="E997" s="19"/>
      <c r="F997" s="19"/>
      <c r="O997" s="20"/>
      <c r="P997" s="20"/>
    </row>
    <row r="998" spans="2:16" x14ac:dyDescent="0.7">
      <c r="B998" s="19"/>
      <c r="C998" s="19"/>
      <c r="D998" s="19"/>
      <c r="E998" s="19"/>
      <c r="F998" s="19"/>
      <c r="O998" s="20"/>
      <c r="P998" s="20"/>
    </row>
    <row r="999" spans="2:16" x14ac:dyDescent="0.7">
      <c r="B999" s="19"/>
      <c r="C999" s="19"/>
      <c r="D999" s="19"/>
      <c r="E999" s="19"/>
      <c r="F999" s="19"/>
      <c r="O999" s="20"/>
      <c r="P999" s="20"/>
    </row>
    <row r="1000" spans="2:16" x14ac:dyDescent="0.7">
      <c r="B1000" s="19"/>
      <c r="C1000" s="19"/>
      <c r="D1000" s="19"/>
      <c r="E1000" s="19"/>
      <c r="F1000" s="19"/>
      <c r="O1000" s="20"/>
      <c r="P1000" s="20"/>
    </row>
    <row r="1001" spans="2:16" x14ac:dyDescent="0.7">
      <c r="B1001" s="19"/>
      <c r="C1001" s="19"/>
      <c r="D1001" s="19"/>
      <c r="E1001" s="19"/>
      <c r="F1001" s="19"/>
      <c r="O1001" s="20"/>
      <c r="P1001" s="20"/>
    </row>
    <row r="1002" spans="2:16" x14ac:dyDescent="0.7">
      <c r="B1002" s="19"/>
      <c r="C1002" s="19"/>
      <c r="D1002" s="19"/>
      <c r="E1002" s="19"/>
      <c r="F1002" s="19"/>
      <c r="O1002" s="20"/>
      <c r="P1002" s="20"/>
    </row>
    <row r="1003" spans="2:16" x14ac:dyDescent="0.7">
      <c r="B1003" s="19"/>
      <c r="C1003" s="19"/>
      <c r="D1003" s="19"/>
      <c r="E1003" s="19"/>
      <c r="F1003" s="19"/>
      <c r="O1003" s="20"/>
      <c r="P1003" s="20"/>
    </row>
    <row r="1004" spans="2:16" x14ac:dyDescent="0.7">
      <c r="B1004" s="19"/>
      <c r="C1004" s="19"/>
      <c r="D1004" s="19"/>
      <c r="E1004" s="19"/>
      <c r="F1004" s="19"/>
      <c r="O1004" s="20"/>
      <c r="P1004" s="20"/>
    </row>
    <row r="1005" spans="2:16" x14ac:dyDescent="0.7">
      <c r="B1005" s="19"/>
      <c r="C1005" s="19"/>
      <c r="D1005" s="19"/>
      <c r="E1005" s="19"/>
      <c r="F1005" s="19"/>
      <c r="O1005" s="20"/>
      <c r="P1005" s="20"/>
    </row>
    <row r="1006" spans="2:16" x14ac:dyDescent="0.7">
      <c r="B1006" s="19"/>
      <c r="C1006" s="19"/>
      <c r="D1006" s="19"/>
      <c r="E1006" s="19"/>
      <c r="F1006" s="19"/>
      <c r="O1006" s="20"/>
      <c r="P1006" s="20"/>
    </row>
    <row r="1007" spans="2:16" x14ac:dyDescent="0.7">
      <c r="B1007" s="19"/>
      <c r="C1007" s="19"/>
      <c r="D1007" s="19"/>
      <c r="E1007" s="19"/>
      <c r="F1007" s="19"/>
      <c r="O1007" s="20"/>
      <c r="P1007" s="20"/>
    </row>
    <row r="1008" spans="2:16" x14ac:dyDescent="0.7">
      <c r="B1008" s="19"/>
      <c r="C1008" s="19"/>
      <c r="D1008" s="19"/>
      <c r="E1008" s="19"/>
      <c r="F1008" s="19"/>
      <c r="O1008" s="20"/>
      <c r="P1008" s="20"/>
    </row>
    <row r="1009" spans="2:16" x14ac:dyDescent="0.7">
      <c r="B1009" s="19"/>
      <c r="C1009" s="19"/>
      <c r="D1009" s="19"/>
      <c r="E1009" s="19"/>
      <c r="F1009" s="19"/>
      <c r="O1009" s="20"/>
      <c r="P1009" s="20"/>
    </row>
    <row r="1010" spans="2:16" x14ac:dyDescent="0.7">
      <c r="B1010" s="19"/>
      <c r="C1010" s="19"/>
      <c r="D1010" s="19"/>
      <c r="E1010" s="19"/>
      <c r="F1010" s="19"/>
      <c r="O1010" s="20"/>
      <c r="P1010" s="20"/>
    </row>
    <row r="1011" spans="2:16" x14ac:dyDescent="0.7">
      <c r="D1011" s="19"/>
      <c r="E1011" s="19"/>
      <c r="F1011" s="19"/>
      <c r="O1011" s="20"/>
      <c r="P1011" s="20"/>
    </row>
  </sheetData>
  <autoFilter ref="A9:BM190" xr:uid="{8E323829-1CF4-4EE4-9511-96EE2EA5955F}">
    <filterColumn colId="4">
      <filters>
        <filter val="นครศรีธรรมราช"/>
      </filters>
    </filterColumn>
    <sortState xmlns:xlrd2="http://schemas.microsoft.com/office/spreadsheetml/2017/richdata2" ref="A124:BM170">
      <sortCondition ref="A9:A190"/>
    </sortState>
  </autoFilter>
  <mergeCells count="80">
    <mergeCell ref="BH7:BH8"/>
    <mergeCell ref="BB7:BB8"/>
    <mergeCell ref="AT7:AT8"/>
    <mergeCell ref="AX7:AX8"/>
    <mergeCell ref="AY7:AY8"/>
    <mergeCell ref="AW5:AW8"/>
    <mergeCell ref="BD6:BF6"/>
    <mergeCell ref="AN6:AT6"/>
    <mergeCell ref="AV5:AV8"/>
    <mergeCell ref="AX5:AZ6"/>
    <mergeCell ref="AU5:AU8"/>
    <mergeCell ref="AZ7:AZ8"/>
    <mergeCell ref="AO7:AO8"/>
    <mergeCell ref="AP7:AP8"/>
    <mergeCell ref="AQ7:AQ8"/>
    <mergeCell ref="AR7:AR8"/>
    <mergeCell ref="AS7:AS8"/>
    <mergeCell ref="L5:L8"/>
    <mergeCell ref="AL7:AL8"/>
    <mergeCell ref="AN7:AN8"/>
    <mergeCell ref="Y7:Y8"/>
    <mergeCell ref="V7:V8"/>
    <mergeCell ref="AE7:AE8"/>
    <mergeCell ref="AF7:AF8"/>
    <mergeCell ref="AG7:AG8"/>
    <mergeCell ref="AI7:AI8"/>
    <mergeCell ref="AK7:AK8"/>
    <mergeCell ref="AD6:AF6"/>
    <mergeCell ref="AG6:AI6"/>
    <mergeCell ref="M5:M8"/>
    <mergeCell ref="O5:O8"/>
    <mergeCell ref="N5:N8"/>
    <mergeCell ref="A4:C4"/>
    <mergeCell ref="A5:A8"/>
    <mergeCell ref="B5:B8"/>
    <mergeCell ref="C5:C8"/>
    <mergeCell ref="K5:K8"/>
    <mergeCell ref="G5:G8"/>
    <mergeCell ref="F5:F8"/>
    <mergeCell ref="D5:D8"/>
    <mergeCell ref="E5:E8"/>
    <mergeCell ref="H5:H8"/>
    <mergeCell ref="J5:J8"/>
    <mergeCell ref="I5:I8"/>
    <mergeCell ref="BM5:BM8"/>
    <mergeCell ref="BJ7:BJ8"/>
    <mergeCell ref="BK7:BK8"/>
    <mergeCell ref="AH7:AH8"/>
    <mergeCell ref="BG7:BG8"/>
    <mergeCell ref="BI7:BI8"/>
    <mergeCell ref="BG6:BI6"/>
    <mergeCell ref="BJ5:BK6"/>
    <mergeCell ref="BD7:BD8"/>
    <mergeCell ref="BE7:BE8"/>
    <mergeCell ref="BF7:BF8"/>
    <mergeCell ref="AJ7:AJ8"/>
    <mergeCell ref="BA7:BA8"/>
    <mergeCell ref="BA6:BB6"/>
    <mergeCell ref="BC6:BC8"/>
    <mergeCell ref="BL5:BL8"/>
    <mergeCell ref="P5:P8"/>
    <mergeCell ref="Y6:AB6"/>
    <mergeCell ref="AB7:AB8"/>
    <mergeCell ref="Z7:Z8"/>
    <mergeCell ref="AA7:AA8"/>
    <mergeCell ref="Q7:Q8"/>
    <mergeCell ref="R7:R8"/>
    <mergeCell ref="S7:S8"/>
    <mergeCell ref="Q5:AC5"/>
    <mergeCell ref="W7:W8"/>
    <mergeCell ref="X7:X8"/>
    <mergeCell ref="U7:U8"/>
    <mergeCell ref="Q6:T6"/>
    <mergeCell ref="U6:X6"/>
    <mergeCell ref="T7:T8"/>
    <mergeCell ref="AD7:AD8"/>
    <mergeCell ref="AC6:AC8"/>
    <mergeCell ref="AD5:AM5"/>
    <mergeCell ref="AJ6:AM6"/>
    <mergeCell ref="AM7:AM8"/>
  </mergeCells>
  <phoneticPr fontId="19" type="noConversion"/>
  <pageMargins left="0" right="0" top="0.74803149606299213" bottom="0" header="0.31496062992125984" footer="0.31496062992125984"/>
  <pageSetup paperSize="9" scale="35" fitToHeight="0" orientation="landscape" r:id="rId1"/>
  <rowBreaks count="2" manualBreakCount="2">
    <brk id="44" max="51" man="1"/>
    <brk id="84" max="51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0064-8C37-4E78-8D88-9E098E29A770}">
  <sheetPr>
    <tabColor rgb="FFFFC000"/>
    <pageSetUpPr fitToPage="1"/>
  </sheetPr>
  <dimension ref="A1:AC833"/>
  <sheetViews>
    <sheetView tabSelected="1" view="pageBreakPreview" zoomScale="60" zoomScaleNormal="50" workbookViewId="0">
      <selection activeCell="D26" sqref="D26"/>
    </sheetView>
  </sheetViews>
  <sheetFormatPr defaultColWidth="12.6640625" defaultRowHeight="21.75" x14ac:dyDescent="0.55000000000000004"/>
  <cols>
    <col min="1" max="1" width="8" style="9" customWidth="1"/>
    <col min="2" max="2" width="31.21875" style="9" customWidth="1"/>
    <col min="3" max="3" width="14.44140625" style="9" bestFit="1" customWidth="1"/>
    <col min="4" max="4" width="16.5546875" style="9" bestFit="1" customWidth="1"/>
    <col min="5" max="5" width="18.6640625" style="9" bestFit="1" customWidth="1"/>
    <col min="6" max="6" width="26.6640625" style="9" bestFit="1" customWidth="1"/>
    <col min="7" max="7" width="32.6640625" style="9" bestFit="1" customWidth="1"/>
    <col min="8" max="8" width="13.5546875" style="11" customWidth="1"/>
    <col min="9" max="9" width="14.21875" style="11" customWidth="1"/>
    <col min="10" max="10" width="17.21875" style="9" customWidth="1"/>
    <col min="11" max="11" width="17.109375" style="9" customWidth="1"/>
    <col min="12" max="12" width="12.6640625" style="9" customWidth="1"/>
    <col min="13" max="16384" width="12.6640625" style="9"/>
  </cols>
  <sheetData>
    <row r="1" spans="1:29" s="3" customFormat="1" ht="35.35" x14ac:dyDescent="0.2">
      <c r="A1" s="159" t="s">
        <v>509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</row>
    <row r="2" spans="1:29" s="3" customFormat="1" ht="35.35" x14ac:dyDescent="0.2">
      <c r="A2" s="217" t="s">
        <v>510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</row>
    <row r="3" spans="1:29" s="3" customFormat="1" ht="35.35" x14ac:dyDescent="0.2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</row>
    <row r="4" spans="1:29" s="7" customFormat="1" ht="49.95" customHeight="1" x14ac:dyDescent="0.2">
      <c r="A4" s="79" t="s">
        <v>511</v>
      </c>
      <c r="B4" s="79"/>
      <c r="C4" s="79"/>
      <c r="D4" s="5"/>
      <c r="E4" s="5"/>
      <c r="F4" s="5"/>
      <c r="G4" s="5"/>
      <c r="H4" s="5"/>
      <c r="I4" s="5"/>
      <c r="J4" s="203"/>
      <c r="K4" s="203"/>
    </row>
    <row r="5" spans="1:29" s="8" customFormat="1" ht="32.950000000000003" customHeight="1" x14ac:dyDescent="0.55000000000000004">
      <c r="A5" s="295" t="s">
        <v>0</v>
      </c>
      <c r="B5" s="295" t="s">
        <v>86</v>
      </c>
      <c r="C5" s="297" t="s">
        <v>1</v>
      </c>
      <c r="D5" s="298" t="s">
        <v>2</v>
      </c>
      <c r="E5" s="300" t="s">
        <v>3</v>
      </c>
      <c r="F5" s="300" t="s">
        <v>101</v>
      </c>
      <c r="G5" s="289" t="s">
        <v>116</v>
      </c>
      <c r="H5" s="291" t="s">
        <v>7</v>
      </c>
      <c r="I5" s="291" t="s">
        <v>6</v>
      </c>
      <c r="J5" s="293" t="s">
        <v>4</v>
      </c>
      <c r="K5" s="293" t="s">
        <v>5</v>
      </c>
    </row>
    <row r="6" spans="1:29" s="8" customFormat="1" ht="32.450000000000003" customHeight="1" x14ac:dyDescent="0.55000000000000004">
      <c r="A6" s="296"/>
      <c r="B6" s="296"/>
      <c r="C6" s="290"/>
      <c r="D6" s="299"/>
      <c r="E6" s="296"/>
      <c r="F6" s="296"/>
      <c r="G6" s="290"/>
      <c r="H6" s="292"/>
      <c r="I6" s="292"/>
      <c r="J6" s="294"/>
      <c r="K6" s="294"/>
    </row>
    <row r="7" spans="1:29" s="90" customFormat="1" ht="21.1" hidden="1" customHeight="1" x14ac:dyDescent="0.55000000000000004">
      <c r="A7" s="91"/>
      <c r="B7" s="91">
        <f t="shared" ref="B7:K7" si="0">SUBTOTAL(3,B8:B23)</f>
        <v>16</v>
      </c>
      <c r="C7" s="91">
        <f t="shared" si="0"/>
        <v>16</v>
      </c>
      <c r="D7" s="91">
        <f t="shared" si="0"/>
        <v>16</v>
      </c>
      <c r="E7" s="91">
        <f t="shared" si="0"/>
        <v>16</v>
      </c>
      <c r="F7" s="91">
        <f t="shared" si="0"/>
        <v>16</v>
      </c>
      <c r="G7" s="91">
        <f t="shared" si="0"/>
        <v>16</v>
      </c>
      <c r="H7" s="91">
        <f t="shared" si="0"/>
        <v>16</v>
      </c>
      <c r="I7" s="91">
        <f t="shared" si="0"/>
        <v>16</v>
      </c>
      <c r="J7" s="91">
        <f t="shared" si="0"/>
        <v>16</v>
      </c>
      <c r="K7" s="91">
        <f t="shared" si="0"/>
        <v>16</v>
      </c>
    </row>
    <row r="8" spans="1:29" s="8" customFormat="1" ht="32.6" x14ac:dyDescent="0.55000000000000004">
      <c r="A8" s="95">
        <v>1</v>
      </c>
      <c r="B8" s="137" t="s">
        <v>122</v>
      </c>
      <c r="C8" s="46" t="s">
        <v>14</v>
      </c>
      <c r="D8" s="46" t="s">
        <v>14</v>
      </c>
      <c r="E8" s="46" t="s">
        <v>10</v>
      </c>
      <c r="F8" s="47" t="s">
        <v>106</v>
      </c>
      <c r="G8" s="56" t="s">
        <v>407</v>
      </c>
      <c r="H8" s="48">
        <v>60</v>
      </c>
      <c r="I8" s="48">
        <v>72</v>
      </c>
      <c r="J8" s="49">
        <v>14.326589</v>
      </c>
      <c r="K8" s="49">
        <v>99.667237999999998</v>
      </c>
    </row>
    <row r="9" spans="1:29" s="8" customFormat="1" ht="32.6" x14ac:dyDescent="0.55000000000000004">
      <c r="A9" s="95">
        <v>2</v>
      </c>
      <c r="B9" s="137" t="s">
        <v>132</v>
      </c>
      <c r="C9" s="46" t="s">
        <v>11</v>
      </c>
      <c r="D9" s="46" t="s">
        <v>9</v>
      </c>
      <c r="E9" s="46" t="s">
        <v>10</v>
      </c>
      <c r="F9" s="47" t="s">
        <v>106</v>
      </c>
      <c r="G9" s="56" t="s">
        <v>408</v>
      </c>
      <c r="H9" s="48">
        <v>60</v>
      </c>
      <c r="I9" s="48">
        <v>72</v>
      </c>
      <c r="J9" s="49">
        <v>14.514783</v>
      </c>
      <c r="K9" s="49">
        <v>99.709058999999996</v>
      </c>
    </row>
    <row r="10" spans="1:29" ht="32.6" x14ac:dyDescent="0.55000000000000004">
      <c r="A10" s="95">
        <v>3</v>
      </c>
      <c r="B10" s="135" t="s">
        <v>125</v>
      </c>
      <c r="C10" s="53" t="s">
        <v>82</v>
      </c>
      <c r="D10" s="53" t="s">
        <v>20</v>
      </c>
      <c r="E10" s="53" t="s">
        <v>18</v>
      </c>
      <c r="F10" s="54" t="s">
        <v>103</v>
      </c>
      <c r="G10" s="56" t="s">
        <v>407</v>
      </c>
      <c r="H10" s="48">
        <v>60</v>
      </c>
      <c r="I10" s="48">
        <v>158</v>
      </c>
      <c r="J10" s="49">
        <v>16.204197000000001</v>
      </c>
      <c r="K10" s="49">
        <v>99.321010999999999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32.6" x14ac:dyDescent="0.55000000000000004">
      <c r="A11" s="95">
        <v>4</v>
      </c>
      <c r="B11" s="135" t="s">
        <v>133</v>
      </c>
      <c r="C11" s="53" t="s">
        <v>21</v>
      </c>
      <c r="D11" s="53" t="s">
        <v>22</v>
      </c>
      <c r="E11" s="53" t="s">
        <v>18</v>
      </c>
      <c r="F11" s="54" t="s">
        <v>103</v>
      </c>
      <c r="G11" s="56" t="s">
        <v>410</v>
      </c>
      <c r="H11" s="48">
        <v>60</v>
      </c>
      <c r="I11" s="48">
        <v>155</v>
      </c>
      <c r="J11" s="49">
        <v>15.993741</v>
      </c>
      <c r="K11" s="49">
        <v>99.364570999999998</v>
      </c>
    </row>
    <row r="12" spans="1:29" ht="32.6" x14ac:dyDescent="0.55000000000000004">
      <c r="A12" s="95">
        <v>5</v>
      </c>
      <c r="B12" s="136" t="s">
        <v>126</v>
      </c>
      <c r="C12" s="55" t="s">
        <v>83</v>
      </c>
      <c r="D12" s="55" t="s">
        <v>24</v>
      </c>
      <c r="E12" s="55" t="s">
        <v>25</v>
      </c>
      <c r="F12" s="47" t="s">
        <v>104</v>
      </c>
      <c r="G12" s="56" t="s">
        <v>407</v>
      </c>
      <c r="H12" s="48">
        <v>60</v>
      </c>
      <c r="I12" s="48">
        <v>186</v>
      </c>
      <c r="J12" s="49">
        <v>16.859711999999998</v>
      </c>
      <c r="K12" s="49">
        <v>102.860911</v>
      </c>
    </row>
    <row r="13" spans="1:29" ht="32.6" x14ac:dyDescent="0.55000000000000004">
      <c r="A13" s="95">
        <v>6</v>
      </c>
      <c r="B13" s="136" t="s">
        <v>134</v>
      </c>
      <c r="C13" s="55" t="s">
        <v>30</v>
      </c>
      <c r="D13" s="55" t="s">
        <v>29</v>
      </c>
      <c r="E13" s="55" t="s">
        <v>25</v>
      </c>
      <c r="F13" s="47" t="s">
        <v>104</v>
      </c>
      <c r="G13" s="56" t="s">
        <v>408</v>
      </c>
      <c r="H13" s="48">
        <v>60</v>
      </c>
      <c r="I13" s="48">
        <v>200</v>
      </c>
      <c r="J13" s="49">
        <v>16.919523999999999</v>
      </c>
      <c r="K13" s="49">
        <v>102.72752300000001</v>
      </c>
    </row>
    <row r="14" spans="1:29" ht="32.6" x14ac:dyDescent="0.55000000000000004">
      <c r="A14" s="95">
        <v>7</v>
      </c>
      <c r="B14" s="136" t="s">
        <v>127</v>
      </c>
      <c r="C14" s="55" t="s">
        <v>84</v>
      </c>
      <c r="D14" s="55" t="s">
        <v>35</v>
      </c>
      <c r="E14" s="55" t="s">
        <v>33</v>
      </c>
      <c r="F14" s="47" t="s">
        <v>105</v>
      </c>
      <c r="G14" s="56" t="s">
        <v>407</v>
      </c>
      <c r="H14" s="48">
        <v>60</v>
      </c>
      <c r="I14" s="48">
        <v>20</v>
      </c>
      <c r="J14" s="49">
        <v>12.80444</v>
      </c>
      <c r="K14" s="49">
        <v>102.114643</v>
      </c>
    </row>
    <row r="15" spans="1:29" ht="32.6" x14ac:dyDescent="0.55000000000000004">
      <c r="A15" s="95">
        <v>8</v>
      </c>
      <c r="B15" s="136" t="s">
        <v>136</v>
      </c>
      <c r="C15" s="55" t="s">
        <v>34</v>
      </c>
      <c r="D15" s="55" t="s">
        <v>85</v>
      </c>
      <c r="E15" s="55" t="s">
        <v>33</v>
      </c>
      <c r="F15" s="47" t="s">
        <v>105</v>
      </c>
      <c r="G15" s="56" t="s">
        <v>409</v>
      </c>
      <c r="H15" s="48">
        <v>60</v>
      </c>
      <c r="I15" s="48">
        <v>43</v>
      </c>
      <c r="J15" s="49">
        <v>12.935093999999999</v>
      </c>
      <c r="K15" s="49">
        <v>102.05857399999999</v>
      </c>
    </row>
    <row r="16" spans="1:29" ht="32.6" x14ac:dyDescent="0.55000000000000004">
      <c r="A16" s="95">
        <v>9</v>
      </c>
      <c r="B16" s="136" t="s">
        <v>128</v>
      </c>
      <c r="C16" s="55" t="s">
        <v>44</v>
      </c>
      <c r="D16" s="55" t="s">
        <v>44</v>
      </c>
      <c r="E16" s="55" t="s">
        <v>40</v>
      </c>
      <c r="F16" s="47" t="s">
        <v>107</v>
      </c>
      <c r="G16" s="56" t="s">
        <v>407</v>
      </c>
      <c r="H16" s="48">
        <v>60</v>
      </c>
      <c r="I16" s="48">
        <v>23</v>
      </c>
      <c r="J16" s="49">
        <v>7.3856919999999997</v>
      </c>
      <c r="K16" s="49">
        <v>99.666228000000004</v>
      </c>
    </row>
    <row r="17" spans="1:11" ht="32.6" x14ac:dyDescent="0.55000000000000004">
      <c r="A17" s="95">
        <v>10</v>
      </c>
      <c r="B17" s="136" t="s">
        <v>137</v>
      </c>
      <c r="C17" s="55" t="s">
        <v>41</v>
      </c>
      <c r="D17" s="55" t="s">
        <v>39</v>
      </c>
      <c r="E17" s="55" t="s">
        <v>40</v>
      </c>
      <c r="F17" s="47" t="s">
        <v>107</v>
      </c>
      <c r="G17" s="56" t="s">
        <v>408</v>
      </c>
      <c r="H17" s="48">
        <v>60</v>
      </c>
      <c r="I17" s="48">
        <v>55</v>
      </c>
      <c r="J17" s="49">
        <v>7.5242699999999996</v>
      </c>
      <c r="K17" s="49">
        <v>99.758809999999997</v>
      </c>
    </row>
    <row r="18" spans="1:11" ht="32.6" x14ac:dyDescent="0.55000000000000004">
      <c r="A18" s="95">
        <v>11</v>
      </c>
      <c r="B18" s="136" t="s">
        <v>129</v>
      </c>
      <c r="C18" s="55" t="s">
        <v>50</v>
      </c>
      <c r="D18" s="55" t="s">
        <v>50</v>
      </c>
      <c r="E18" s="55" t="s">
        <v>48</v>
      </c>
      <c r="F18" s="47" t="s">
        <v>104</v>
      </c>
      <c r="G18" s="56" t="s">
        <v>407</v>
      </c>
      <c r="H18" s="48">
        <v>60</v>
      </c>
      <c r="I18" s="48">
        <v>417</v>
      </c>
      <c r="J18" s="49">
        <v>14.417370999999999</v>
      </c>
      <c r="K18" s="49">
        <v>101.849906</v>
      </c>
    </row>
    <row r="19" spans="1:11" ht="32.6" x14ac:dyDescent="0.55000000000000004">
      <c r="A19" s="95">
        <v>12</v>
      </c>
      <c r="B19" s="136" t="s">
        <v>138</v>
      </c>
      <c r="C19" s="55" t="s">
        <v>46</v>
      </c>
      <c r="D19" s="55" t="s">
        <v>47</v>
      </c>
      <c r="E19" s="55" t="s">
        <v>48</v>
      </c>
      <c r="F19" s="47" t="s">
        <v>104</v>
      </c>
      <c r="G19" s="56" t="s">
        <v>304</v>
      </c>
      <c r="H19" s="48">
        <v>60</v>
      </c>
      <c r="I19" s="48">
        <v>426</v>
      </c>
      <c r="J19" s="49">
        <v>14.480402</v>
      </c>
      <c r="K19" s="49">
        <v>101.726573</v>
      </c>
    </row>
    <row r="20" spans="1:11" ht="32.6" x14ac:dyDescent="0.55000000000000004">
      <c r="A20" s="95">
        <v>13</v>
      </c>
      <c r="B20" s="136" t="s">
        <v>130</v>
      </c>
      <c r="C20" s="55" t="s">
        <v>60</v>
      </c>
      <c r="D20" s="55" t="s">
        <v>60</v>
      </c>
      <c r="E20" s="55" t="s">
        <v>54</v>
      </c>
      <c r="F20" s="47" t="s">
        <v>107</v>
      </c>
      <c r="G20" s="56" t="s">
        <v>407</v>
      </c>
      <c r="H20" s="48">
        <v>60</v>
      </c>
      <c r="I20" s="48">
        <v>11</v>
      </c>
      <c r="J20" s="49">
        <v>8.0405899999999999</v>
      </c>
      <c r="K20" s="49">
        <v>100.27467</v>
      </c>
    </row>
    <row r="21" spans="1:11" ht="32.6" x14ac:dyDescent="0.55000000000000004">
      <c r="A21" s="95">
        <v>14</v>
      </c>
      <c r="B21" s="136" t="s">
        <v>499</v>
      </c>
      <c r="C21" s="55" t="s">
        <v>55</v>
      </c>
      <c r="D21" s="55" t="s">
        <v>56</v>
      </c>
      <c r="E21" s="55" t="s">
        <v>54</v>
      </c>
      <c r="F21" s="47" t="s">
        <v>107</v>
      </c>
      <c r="G21" s="56" t="s">
        <v>500</v>
      </c>
      <c r="H21" s="48">
        <v>60</v>
      </c>
      <c r="I21" s="48">
        <v>10</v>
      </c>
      <c r="J21" s="49">
        <v>8.2058400000000002</v>
      </c>
      <c r="K21" s="49">
        <v>100.153716</v>
      </c>
    </row>
    <row r="22" spans="1:11" ht="32.6" x14ac:dyDescent="0.55000000000000004">
      <c r="A22" s="95">
        <v>15</v>
      </c>
      <c r="B22" s="136" t="s">
        <v>131</v>
      </c>
      <c r="C22" s="55" t="s">
        <v>412</v>
      </c>
      <c r="D22" s="55" t="s">
        <v>66</v>
      </c>
      <c r="E22" s="55" t="s">
        <v>67</v>
      </c>
      <c r="F22" s="54" t="s">
        <v>103</v>
      </c>
      <c r="G22" s="56" t="s">
        <v>407</v>
      </c>
      <c r="H22" s="48">
        <v>60</v>
      </c>
      <c r="I22" s="48">
        <v>55</v>
      </c>
      <c r="J22" s="49">
        <v>16.029156</v>
      </c>
      <c r="K22" s="49">
        <v>100.627809</v>
      </c>
    </row>
    <row r="23" spans="1:11" ht="32.6" x14ac:dyDescent="0.55000000000000004">
      <c r="A23" s="95">
        <v>16</v>
      </c>
      <c r="B23" s="136" t="s">
        <v>139</v>
      </c>
      <c r="C23" s="55" t="s">
        <v>65</v>
      </c>
      <c r="D23" s="55" t="s">
        <v>66</v>
      </c>
      <c r="E23" s="55" t="s">
        <v>67</v>
      </c>
      <c r="F23" s="54" t="s">
        <v>103</v>
      </c>
      <c r="G23" s="56" t="s">
        <v>408</v>
      </c>
      <c r="H23" s="48">
        <v>60</v>
      </c>
      <c r="I23" s="48">
        <v>74</v>
      </c>
      <c r="J23" s="49">
        <v>16.016102</v>
      </c>
      <c r="K23" s="49" t="s">
        <v>140</v>
      </c>
    </row>
    <row r="24" spans="1:11" ht="32.6" x14ac:dyDescent="0.5500000000000000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</row>
    <row r="25" spans="1:11" x14ac:dyDescent="0.55000000000000004">
      <c r="A25" s="3"/>
      <c r="B25" s="10"/>
      <c r="C25" s="10"/>
      <c r="D25" s="12"/>
      <c r="E25" s="12"/>
      <c r="F25" s="12"/>
      <c r="G25" s="12"/>
      <c r="H25" s="4"/>
      <c r="I25" s="4"/>
      <c r="J25" s="4"/>
      <c r="K25" s="4"/>
    </row>
    <row r="26" spans="1:11" ht="24.45" x14ac:dyDescent="0.55000000000000004">
      <c r="B26" s="202"/>
      <c r="C26" s="202"/>
      <c r="D26" s="10"/>
      <c r="E26" s="10"/>
      <c r="F26" s="10"/>
      <c r="G26" s="10"/>
      <c r="J26" s="11"/>
      <c r="K26" s="11"/>
    </row>
    <row r="27" spans="1:11" x14ac:dyDescent="0.55000000000000004">
      <c r="B27" s="10"/>
      <c r="C27" s="45"/>
      <c r="D27" s="10"/>
      <c r="E27" s="10"/>
      <c r="F27" s="10"/>
      <c r="G27" s="10"/>
      <c r="J27" s="11"/>
      <c r="K27" s="11"/>
    </row>
    <row r="28" spans="1:11" x14ac:dyDescent="0.55000000000000004">
      <c r="B28" s="10"/>
      <c r="C28" s="45"/>
      <c r="D28" s="10"/>
      <c r="E28" s="10"/>
      <c r="F28" s="10"/>
      <c r="G28" s="10"/>
      <c r="J28" s="11"/>
      <c r="K28" s="11"/>
    </row>
    <row r="29" spans="1:11" x14ac:dyDescent="0.55000000000000004">
      <c r="B29" s="10"/>
      <c r="C29" s="10"/>
      <c r="D29" s="10"/>
      <c r="E29" s="10"/>
      <c r="F29" s="10"/>
      <c r="G29" s="10"/>
      <c r="J29" s="11"/>
      <c r="K29" s="11"/>
    </row>
    <row r="30" spans="1:11" x14ac:dyDescent="0.55000000000000004">
      <c r="B30" s="10"/>
      <c r="C30" s="10"/>
      <c r="D30" s="10"/>
      <c r="E30" s="10"/>
      <c r="F30" s="10"/>
      <c r="G30" s="10"/>
      <c r="J30" s="11"/>
      <c r="K30" s="11"/>
    </row>
    <row r="31" spans="1:11" x14ac:dyDescent="0.55000000000000004">
      <c r="B31" s="10"/>
      <c r="C31" s="10"/>
      <c r="D31" s="10"/>
      <c r="E31" s="10"/>
      <c r="F31" s="10"/>
      <c r="G31" s="10"/>
      <c r="J31" s="11"/>
      <c r="K31" s="11"/>
    </row>
    <row r="32" spans="1:11" x14ac:dyDescent="0.55000000000000004">
      <c r="B32" s="10"/>
      <c r="C32" s="10"/>
      <c r="D32" s="10"/>
      <c r="E32" s="10"/>
      <c r="F32" s="10"/>
      <c r="G32" s="10"/>
      <c r="J32" s="11"/>
      <c r="K32" s="11"/>
    </row>
    <row r="33" spans="2:11" x14ac:dyDescent="0.55000000000000004">
      <c r="B33" s="10"/>
      <c r="C33" s="10"/>
      <c r="D33" s="10"/>
      <c r="E33" s="10"/>
      <c r="F33" s="10"/>
      <c r="G33" s="10"/>
      <c r="J33" s="11"/>
      <c r="K33" s="11"/>
    </row>
    <row r="34" spans="2:11" x14ac:dyDescent="0.55000000000000004">
      <c r="B34" s="10"/>
      <c r="C34" s="10"/>
      <c r="D34" s="10"/>
      <c r="E34" s="10"/>
      <c r="F34" s="10"/>
      <c r="G34" s="10"/>
      <c r="J34" s="11"/>
      <c r="K34" s="11"/>
    </row>
    <row r="35" spans="2:11" x14ac:dyDescent="0.55000000000000004">
      <c r="B35" s="10"/>
      <c r="C35" s="10"/>
      <c r="D35" s="10"/>
      <c r="E35" s="10"/>
      <c r="F35" s="10"/>
      <c r="G35" s="10"/>
      <c r="J35" s="11"/>
      <c r="K35" s="11"/>
    </row>
    <row r="36" spans="2:11" x14ac:dyDescent="0.55000000000000004">
      <c r="B36" s="10"/>
      <c r="C36" s="10"/>
      <c r="D36" s="10"/>
      <c r="E36" s="10"/>
      <c r="F36" s="10"/>
      <c r="G36" s="10"/>
      <c r="J36" s="11"/>
      <c r="K36" s="11"/>
    </row>
    <row r="37" spans="2:11" x14ac:dyDescent="0.55000000000000004">
      <c r="B37" s="10"/>
      <c r="C37" s="10"/>
      <c r="D37" s="10"/>
      <c r="E37" s="10"/>
      <c r="F37" s="10"/>
      <c r="G37" s="10"/>
      <c r="J37" s="11"/>
      <c r="K37" s="11"/>
    </row>
    <row r="38" spans="2:11" x14ac:dyDescent="0.55000000000000004">
      <c r="B38" s="10"/>
      <c r="C38" s="10"/>
      <c r="D38" s="10"/>
      <c r="E38" s="10"/>
      <c r="F38" s="10"/>
      <c r="G38" s="10"/>
      <c r="J38" s="11"/>
      <c r="K38" s="11"/>
    </row>
    <row r="39" spans="2:11" x14ac:dyDescent="0.55000000000000004">
      <c r="B39" s="10"/>
      <c r="C39" s="10"/>
      <c r="D39" s="10"/>
      <c r="E39" s="10"/>
      <c r="F39" s="10"/>
      <c r="G39" s="10"/>
      <c r="J39" s="11"/>
      <c r="K39" s="11"/>
    </row>
    <row r="40" spans="2:11" x14ac:dyDescent="0.55000000000000004">
      <c r="B40" s="10"/>
      <c r="C40" s="10"/>
      <c r="D40" s="10"/>
      <c r="E40" s="10"/>
      <c r="F40" s="10"/>
      <c r="G40" s="10"/>
      <c r="J40" s="11"/>
      <c r="K40" s="11"/>
    </row>
    <row r="41" spans="2:11" x14ac:dyDescent="0.55000000000000004">
      <c r="B41" s="10"/>
      <c r="C41" s="10"/>
      <c r="D41" s="10"/>
      <c r="E41" s="10"/>
      <c r="F41" s="10"/>
      <c r="G41" s="10"/>
      <c r="J41" s="11"/>
      <c r="K41" s="11"/>
    </row>
    <row r="42" spans="2:11" x14ac:dyDescent="0.55000000000000004">
      <c r="B42" s="10"/>
      <c r="C42" s="10"/>
      <c r="D42" s="10"/>
      <c r="E42" s="10"/>
      <c r="F42" s="10"/>
      <c r="G42" s="10"/>
      <c r="J42" s="11"/>
      <c r="K42" s="11"/>
    </row>
    <row r="43" spans="2:11" x14ac:dyDescent="0.55000000000000004">
      <c r="B43" s="10"/>
      <c r="C43" s="10"/>
      <c r="D43" s="10"/>
      <c r="E43" s="10"/>
      <c r="F43" s="10"/>
      <c r="G43" s="10"/>
      <c r="J43" s="11"/>
      <c r="K43" s="11"/>
    </row>
    <row r="44" spans="2:11" x14ac:dyDescent="0.55000000000000004">
      <c r="B44" s="10"/>
      <c r="C44" s="10"/>
      <c r="D44" s="10"/>
      <c r="E44" s="10"/>
      <c r="F44" s="10"/>
      <c r="G44" s="10"/>
      <c r="J44" s="11"/>
      <c r="K44" s="11"/>
    </row>
    <row r="45" spans="2:11" x14ac:dyDescent="0.55000000000000004">
      <c r="B45" s="10"/>
      <c r="C45" s="10"/>
      <c r="D45" s="10"/>
      <c r="E45" s="10"/>
      <c r="F45" s="10"/>
      <c r="G45" s="10"/>
      <c r="J45" s="11"/>
      <c r="K45" s="11"/>
    </row>
    <row r="46" spans="2:11" x14ac:dyDescent="0.55000000000000004">
      <c r="B46" s="10"/>
      <c r="C46" s="10"/>
      <c r="D46" s="10"/>
      <c r="E46" s="10"/>
      <c r="F46" s="10"/>
      <c r="G46" s="10"/>
      <c r="J46" s="11"/>
      <c r="K46" s="11"/>
    </row>
    <row r="47" spans="2:11" x14ac:dyDescent="0.55000000000000004">
      <c r="B47" s="10"/>
      <c r="C47" s="10"/>
      <c r="D47" s="10"/>
      <c r="E47" s="10"/>
      <c r="F47" s="10"/>
      <c r="G47" s="10"/>
      <c r="J47" s="11"/>
      <c r="K47" s="11"/>
    </row>
    <row r="48" spans="2:11" x14ac:dyDescent="0.55000000000000004">
      <c r="B48" s="10"/>
      <c r="C48" s="10"/>
      <c r="D48" s="10"/>
      <c r="E48" s="10"/>
      <c r="F48" s="10"/>
      <c r="G48" s="10"/>
      <c r="J48" s="11"/>
      <c r="K48" s="11"/>
    </row>
    <row r="49" spans="2:11" x14ac:dyDescent="0.55000000000000004">
      <c r="B49" s="10"/>
      <c r="C49" s="10"/>
      <c r="D49" s="10"/>
      <c r="E49" s="10"/>
      <c r="F49" s="10"/>
      <c r="G49" s="10"/>
      <c r="J49" s="11"/>
      <c r="K49" s="11"/>
    </row>
    <row r="50" spans="2:11" x14ac:dyDescent="0.55000000000000004">
      <c r="B50" s="10"/>
      <c r="C50" s="10"/>
      <c r="D50" s="10"/>
      <c r="E50" s="10"/>
      <c r="F50" s="10"/>
      <c r="G50" s="10"/>
      <c r="J50" s="11"/>
      <c r="K50" s="11"/>
    </row>
    <row r="51" spans="2:11" x14ac:dyDescent="0.55000000000000004">
      <c r="B51" s="10"/>
      <c r="C51" s="10"/>
      <c r="D51" s="10"/>
      <c r="E51" s="10"/>
      <c r="F51" s="10"/>
      <c r="G51" s="10"/>
      <c r="J51" s="11"/>
      <c r="K51" s="11"/>
    </row>
    <row r="52" spans="2:11" x14ac:dyDescent="0.55000000000000004">
      <c r="B52" s="10"/>
      <c r="C52" s="10"/>
      <c r="D52" s="10"/>
      <c r="E52" s="10"/>
      <c r="F52" s="10"/>
      <c r="G52" s="10"/>
      <c r="J52" s="11"/>
      <c r="K52" s="11"/>
    </row>
    <row r="53" spans="2:11" x14ac:dyDescent="0.55000000000000004">
      <c r="B53" s="10"/>
      <c r="C53" s="10"/>
      <c r="D53" s="10"/>
      <c r="E53" s="10"/>
      <c r="F53" s="10"/>
      <c r="G53" s="10"/>
      <c r="J53" s="11"/>
      <c r="K53" s="11"/>
    </row>
    <row r="54" spans="2:11" x14ac:dyDescent="0.55000000000000004">
      <c r="B54" s="10"/>
      <c r="C54" s="10"/>
      <c r="D54" s="10"/>
      <c r="E54" s="10"/>
      <c r="F54" s="10"/>
      <c r="G54" s="10"/>
      <c r="J54" s="11"/>
      <c r="K54" s="11"/>
    </row>
    <row r="55" spans="2:11" x14ac:dyDescent="0.55000000000000004">
      <c r="B55" s="10"/>
      <c r="C55" s="10"/>
      <c r="D55" s="10"/>
      <c r="E55" s="10"/>
      <c r="F55" s="10"/>
      <c r="G55" s="10"/>
      <c r="J55" s="11"/>
      <c r="K55" s="11"/>
    </row>
    <row r="56" spans="2:11" x14ac:dyDescent="0.55000000000000004">
      <c r="B56" s="10"/>
      <c r="C56" s="10"/>
      <c r="D56" s="10"/>
      <c r="E56" s="10"/>
      <c r="F56" s="10"/>
      <c r="G56" s="10"/>
      <c r="J56" s="11"/>
      <c r="K56" s="11"/>
    </row>
    <row r="57" spans="2:11" x14ac:dyDescent="0.55000000000000004">
      <c r="B57" s="10"/>
      <c r="C57" s="10"/>
      <c r="D57" s="10"/>
      <c r="E57" s="10"/>
      <c r="F57" s="10"/>
      <c r="G57" s="10"/>
      <c r="J57" s="11"/>
      <c r="K57" s="11"/>
    </row>
    <row r="58" spans="2:11" x14ac:dyDescent="0.55000000000000004">
      <c r="B58" s="10"/>
      <c r="C58" s="10"/>
      <c r="D58" s="10"/>
      <c r="E58" s="10"/>
      <c r="F58" s="10"/>
      <c r="G58" s="10"/>
      <c r="J58" s="11"/>
      <c r="K58" s="11"/>
    </row>
    <row r="59" spans="2:11" x14ac:dyDescent="0.55000000000000004">
      <c r="B59" s="10"/>
      <c r="C59" s="10"/>
      <c r="D59" s="10"/>
      <c r="E59" s="10"/>
      <c r="F59" s="10"/>
      <c r="G59" s="10"/>
      <c r="J59" s="11"/>
      <c r="K59" s="11"/>
    </row>
    <row r="60" spans="2:11" x14ac:dyDescent="0.55000000000000004">
      <c r="B60" s="10"/>
      <c r="C60" s="10"/>
      <c r="D60" s="10"/>
      <c r="E60" s="10"/>
      <c r="F60" s="10"/>
      <c r="G60" s="10"/>
      <c r="J60" s="11"/>
      <c r="K60" s="11"/>
    </row>
    <row r="61" spans="2:11" x14ac:dyDescent="0.55000000000000004">
      <c r="B61" s="10"/>
      <c r="C61" s="10"/>
      <c r="D61" s="10"/>
      <c r="E61" s="10"/>
      <c r="F61" s="10"/>
      <c r="G61" s="10"/>
      <c r="J61" s="11"/>
      <c r="K61" s="11"/>
    </row>
    <row r="62" spans="2:11" x14ac:dyDescent="0.55000000000000004">
      <c r="B62" s="10"/>
      <c r="C62" s="10"/>
      <c r="D62" s="10"/>
      <c r="E62" s="10"/>
      <c r="F62" s="10"/>
      <c r="G62" s="10"/>
      <c r="J62" s="11"/>
      <c r="K62" s="11"/>
    </row>
    <row r="63" spans="2:11" x14ac:dyDescent="0.55000000000000004">
      <c r="B63" s="10"/>
      <c r="C63" s="10"/>
      <c r="D63" s="10"/>
      <c r="E63" s="10"/>
      <c r="F63" s="10"/>
      <c r="G63" s="10"/>
      <c r="J63" s="11"/>
      <c r="K63" s="11"/>
    </row>
    <row r="64" spans="2:11" x14ac:dyDescent="0.55000000000000004">
      <c r="B64" s="10"/>
      <c r="C64" s="10"/>
      <c r="D64" s="10"/>
      <c r="E64" s="10"/>
      <c r="F64" s="10"/>
      <c r="G64" s="10"/>
      <c r="J64" s="11"/>
      <c r="K64" s="11"/>
    </row>
    <row r="65" spans="2:11" x14ac:dyDescent="0.55000000000000004">
      <c r="B65" s="10"/>
      <c r="C65" s="10"/>
      <c r="D65" s="10"/>
      <c r="E65" s="10"/>
      <c r="F65" s="10"/>
      <c r="G65" s="10"/>
      <c r="J65" s="11"/>
      <c r="K65" s="11"/>
    </row>
    <row r="66" spans="2:11" x14ac:dyDescent="0.55000000000000004">
      <c r="B66" s="10"/>
      <c r="C66" s="10"/>
      <c r="D66" s="10"/>
      <c r="E66" s="10"/>
      <c r="F66" s="10"/>
      <c r="G66" s="10"/>
      <c r="J66" s="11"/>
      <c r="K66" s="11"/>
    </row>
    <row r="67" spans="2:11" x14ac:dyDescent="0.55000000000000004">
      <c r="B67" s="10"/>
      <c r="C67" s="10"/>
      <c r="D67" s="10"/>
      <c r="E67" s="10"/>
      <c r="F67" s="10"/>
      <c r="G67" s="10"/>
      <c r="J67" s="11"/>
      <c r="K67" s="11"/>
    </row>
    <row r="68" spans="2:11" x14ac:dyDescent="0.55000000000000004">
      <c r="B68" s="10"/>
      <c r="C68" s="10"/>
      <c r="D68" s="10"/>
      <c r="E68" s="10"/>
      <c r="F68" s="10"/>
      <c r="G68" s="10"/>
      <c r="J68" s="11"/>
      <c r="K68" s="11"/>
    </row>
    <row r="69" spans="2:11" x14ac:dyDescent="0.55000000000000004">
      <c r="B69" s="10"/>
      <c r="C69" s="10"/>
      <c r="D69" s="10"/>
      <c r="E69" s="10"/>
      <c r="F69" s="10"/>
      <c r="G69" s="10"/>
      <c r="J69" s="11"/>
      <c r="K69" s="11"/>
    </row>
    <row r="70" spans="2:11" x14ac:dyDescent="0.55000000000000004">
      <c r="B70" s="10"/>
      <c r="C70" s="10"/>
      <c r="D70" s="10"/>
      <c r="E70" s="10"/>
      <c r="F70" s="10"/>
      <c r="G70" s="10"/>
      <c r="J70" s="11"/>
      <c r="K70" s="11"/>
    </row>
    <row r="71" spans="2:11" x14ac:dyDescent="0.55000000000000004">
      <c r="B71" s="10"/>
      <c r="C71" s="10"/>
      <c r="D71" s="10"/>
      <c r="E71" s="10"/>
      <c r="F71" s="10"/>
      <c r="G71" s="10"/>
      <c r="J71" s="11"/>
      <c r="K71" s="11"/>
    </row>
    <row r="72" spans="2:11" x14ac:dyDescent="0.55000000000000004">
      <c r="B72" s="10"/>
      <c r="C72" s="10"/>
      <c r="D72" s="10"/>
      <c r="E72" s="10"/>
      <c r="F72" s="10"/>
      <c r="G72" s="10"/>
      <c r="J72" s="11"/>
      <c r="K72" s="11"/>
    </row>
    <row r="73" spans="2:11" x14ac:dyDescent="0.55000000000000004">
      <c r="B73" s="10"/>
      <c r="C73" s="10"/>
      <c r="D73" s="10"/>
      <c r="E73" s="10"/>
      <c r="F73" s="10"/>
      <c r="G73" s="10"/>
      <c r="J73" s="11"/>
      <c r="K73" s="11"/>
    </row>
    <row r="74" spans="2:11" x14ac:dyDescent="0.55000000000000004">
      <c r="B74" s="10"/>
      <c r="C74" s="10"/>
      <c r="D74" s="10"/>
      <c r="E74" s="10"/>
      <c r="F74" s="10"/>
      <c r="G74" s="10"/>
      <c r="J74" s="11"/>
      <c r="K74" s="11"/>
    </row>
    <row r="75" spans="2:11" x14ac:dyDescent="0.55000000000000004">
      <c r="B75" s="10"/>
      <c r="C75" s="10"/>
      <c r="D75" s="10"/>
      <c r="E75" s="10"/>
      <c r="F75" s="10"/>
      <c r="G75" s="10"/>
      <c r="J75" s="11"/>
      <c r="K75" s="11"/>
    </row>
    <row r="76" spans="2:11" x14ac:dyDescent="0.55000000000000004">
      <c r="B76" s="10"/>
      <c r="C76" s="10"/>
      <c r="D76" s="10"/>
      <c r="E76" s="10"/>
      <c r="F76" s="10"/>
      <c r="G76" s="10"/>
      <c r="J76" s="11"/>
      <c r="K76" s="11"/>
    </row>
    <row r="77" spans="2:11" x14ac:dyDescent="0.55000000000000004">
      <c r="B77" s="10"/>
      <c r="C77" s="10"/>
      <c r="D77" s="10"/>
      <c r="E77" s="10"/>
      <c r="F77" s="10"/>
      <c r="G77" s="10"/>
      <c r="J77" s="11"/>
      <c r="K77" s="11"/>
    </row>
    <row r="78" spans="2:11" x14ac:dyDescent="0.55000000000000004">
      <c r="B78" s="10"/>
      <c r="C78" s="10"/>
      <c r="D78" s="10"/>
      <c r="E78" s="10"/>
      <c r="F78" s="10"/>
      <c r="G78" s="10"/>
      <c r="J78" s="11"/>
      <c r="K78" s="11"/>
    </row>
    <row r="79" spans="2:11" x14ac:dyDescent="0.55000000000000004">
      <c r="B79" s="10"/>
      <c r="C79" s="10"/>
      <c r="D79" s="10"/>
      <c r="E79" s="10"/>
      <c r="F79" s="10"/>
      <c r="G79" s="10"/>
      <c r="J79" s="11"/>
      <c r="K79" s="11"/>
    </row>
    <row r="80" spans="2:11" x14ac:dyDescent="0.55000000000000004">
      <c r="B80" s="10"/>
      <c r="C80" s="10"/>
      <c r="D80" s="10"/>
      <c r="E80" s="10"/>
      <c r="F80" s="10"/>
      <c r="G80" s="10"/>
      <c r="J80" s="11"/>
      <c r="K80" s="11"/>
    </row>
    <row r="81" spans="2:11" x14ac:dyDescent="0.55000000000000004">
      <c r="B81" s="10"/>
      <c r="C81" s="10"/>
      <c r="D81" s="10"/>
      <c r="E81" s="10"/>
      <c r="F81" s="10"/>
      <c r="G81" s="10"/>
      <c r="J81" s="11"/>
      <c r="K81" s="11"/>
    </row>
    <row r="82" spans="2:11" x14ac:dyDescent="0.55000000000000004">
      <c r="B82" s="10"/>
      <c r="C82" s="10"/>
      <c r="D82" s="10"/>
      <c r="E82" s="10"/>
      <c r="F82" s="10"/>
      <c r="G82" s="10"/>
      <c r="J82" s="11"/>
      <c r="K82" s="11"/>
    </row>
    <row r="83" spans="2:11" x14ac:dyDescent="0.55000000000000004">
      <c r="B83" s="10"/>
      <c r="C83" s="10"/>
      <c r="D83" s="10"/>
      <c r="E83" s="10"/>
      <c r="F83" s="10"/>
      <c r="G83" s="10"/>
      <c r="J83" s="11"/>
      <c r="K83" s="11"/>
    </row>
    <row r="84" spans="2:11" x14ac:dyDescent="0.55000000000000004">
      <c r="B84" s="10"/>
      <c r="C84" s="10"/>
      <c r="D84" s="10"/>
      <c r="E84" s="10"/>
      <c r="F84" s="10"/>
      <c r="G84" s="10"/>
      <c r="J84" s="11"/>
      <c r="K84" s="11"/>
    </row>
    <row r="85" spans="2:11" x14ac:dyDescent="0.55000000000000004">
      <c r="B85" s="10"/>
      <c r="C85" s="10"/>
      <c r="D85" s="10"/>
      <c r="E85" s="10"/>
      <c r="F85" s="10"/>
      <c r="G85" s="10"/>
      <c r="J85" s="11"/>
      <c r="K85" s="11"/>
    </row>
    <row r="86" spans="2:11" x14ac:dyDescent="0.55000000000000004">
      <c r="B86" s="10"/>
      <c r="C86" s="10"/>
      <c r="D86" s="10"/>
      <c r="E86" s="10"/>
      <c r="F86" s="10"/>
      <c r="G86" s="10"/>
      <c r="J86" s="11"/>
      <c r="K86" s="11"/>
    </row>
    <row r="87" spans="2:11" x14ac:dyDescent="0.55000000000000004">
      <c r="B87" s="10"/>
      <c r="C87" s="10"/>
      <c r="D87" s="10"/>
      <c r="E87" s="10"/>
      <c r="F87" s="10"/>
      <c r="G87" s="10"/>
      <c r="J87" s="11"/>
      <c r="K87" s="11"/>
    </row>
    <row r="88" spans="2:11" x14ac:dyDescent="0.55000000000000004">
      <c r="B88" s="10"/>
      <c r="C88" s="10"/>
      <c r="D88" s="10"/>
      <c r="E88" s="10"/>
      <c r="F88" s="10"/>
      <c r="G88" s="10"/>
      <c r="J88" s="11"/>
      <c r="K88" s="11"/>
    </row>
    <row r="89" spans="2:11" x14ac:dyDescent="0.55000000000000004">
      <c r="B89" s="10"/>
      <c r="C89" s="10"/>
      <c r="D89" s="10"/>
      <c r="E89" s="10"/>
      <c r="F89" s="10"/>
      <c r="G89" s="10"/>
      <c r="J89" s="11"/>
      <c r="K89" s="11"/>
    </row>
    <row r="90" spans="2:11" x14ac:dyDescent="0.55000000000000004">
      <c r="B90" s="10"/>
      <c r="C90" s="10"/>
      <c r="D90" s="10"/>
      <c r="E90" s="10"/>
      <c r="F90" s="10"/>
      <c r="G90" s="10"/>
      <c r="J90" s="11"/>
      <c r="K90" s="11"/>
    </row>
    <row r="91" spans="2:11" x14ac:dyDescent="0.55000000000000004">
      <c r="B91" s="10"/>
      <c r="C91" s="10"/>
      <c r="D91" s="10"/>
      <c r="E91" s="10"/>
      <c r="F91" s="10"/>
      <c r="G91" s="10"/>
      <c r="J91" s="11"/>
      <c r="K91" s="11"/>
    </row>
    <row r="92" spans="2:11" x14ac:dyDescent="0.55000000000000004">
      <c r="B92" s="10"/>
      <c r="C92" s="10"/>
      <c r="D92" s="10"/>
      <c r="E92" s="10"/>
      <c r="F92" s="10"/>
      <c r="G92" s="10"/>
      <c r="J92" s="11"/>
      <c r="K92" s="11"/>
    </row>
    <row r="93" spans="2:11" x14ac:dyDescent="0.55000000000000004">
      <c r="B93" s="10"/>
      <c r="C93" s="10"/>
      <c r="D93" s="10"/>
      <c r="E93" s="10"/>
      <c r="F93" s="10"/>
      <c r="G93" s="10"/>
      <c r="J93" s="11"/>
      <c r="K93" s="11"/>
    </row>
    <row r="94" spans="2:11" x14ac:dyDescent="0.55000000000000004">
      <c r="B94" s="10"/>
      <c r="C94" s="10"/>
      <c r="D94" s="10"/>
      <c r="E94" s="10"/>
      <c r="F94" s="10"/>
      <c r="G94" s="10"/>
      <c r="J94" s="11"/>
      <c r="K94" s="11"/>
    </row>
    <row r="95" spans="2:11" x14ac:dyDescent="0.55000000000000004">
      <c r="B95" s="10"/>
      <c r="C95" s="10"/>
      <c r="D95" s="10"/>
      <c r="E95" s="10"/>
      <c r="F95" s="10"/>
      <c r="G95" s="10"/>
      <c r="J95" s="11"/>
      <c r="K95" s="11"/>
    </row>
    <row r="96" spans="2:11" x14ac:dyDescent="0.55000000000000004">
      <c r="B96" s="10"/>
      <c r="C96" s="10"/>
      <c r="D96" s="10"/>
      <c r="E96" s="10"/>
      <c r="F96" s="10"/>
      <c r="G96" s="10"/>
      <c r="J96" s="11"/>
      <c r="K96" s="11"/>
    </row>
    <row r="97" spans="2:11" x14ac:dyDescent="0.55000000000000004">
      <c r="B97" s="10"/>
      <c r="C97" s="10"/>
      <c r="D97" s="10"/>
      <c r="E97" s="10"/>
      <c r="F97" s="10"/>
      <c r="G97" s="10"/>
      <c r="J97" s="11"/>
      <c r="K97" s="11"/>
    </row>
    <row r="98" spans="2:11" x14ac:dyDescent="0.55000000000000004">
      <c r="B98" s="10"/>
      <c r="C98" s="10"/>
      <c r="D98" s="10"/>
      <c r="E98" s="10"/>
      <c r="F98" s="10"/>
      <c r="G98" s="10"/>
      <c r="J98" s="11"/>
      <c r="K98" s="11"/>
    </row>
    <row r="99" spans="2:11" x14ac:dyDescent="0.55000000000000004">
      <c r="B99" s="10"/>
      <c r="C99" s="10"/>
      <c r="D99" s="10"/>
      <c r="E99" s="10"/>
      <c r="F99" s="10"/>
      <c r="G99" s="10"/>
      <c r="J99" s="11"/>
      <c r="K99" s="11"/>
    </row>
    <row r="100" spans="2:11" x14ac:dyDescent="0.55000000000000004">
      <c r="B100" s="10"/>
      <c r="C100" s="10"/>
      <c r="D100" s="10"/>
      <c r="E100" s="10"/>
      <c r="F100" s="10"/>
      <c r="G100" s="10"/>
      <c r="J100" s="11"/>
      <c r="K100" s="11"/>
    </row>
    <row r="101" spans="2:11" x14ac:dyDescent="0.55000000000000004">
      <c r="B101" s="10"/>
      <c r="C101" s="10"/>
      <c r="D101" s="10"/>
      <c r="E101" s="10"/>
      <c r="F101" s="10"/>
      <c r="G101" s="10"/>
      <c r="J101" s="11"/>
      <c r="K101" s="11"/>
    </row>
    <row r="102" spans="2:11" x14ac:dyDescent="0.55000000000000004">
      <c r="B102" s="10"/>
      <c r="C102" s="10"/>
      <c r="D102" s="10"/>
      <c r="E102" s="10"/>
      <c r="F102" s="10"/>
      <c r="G102" s="10"/>
      <c r="J102" s="11"/>
      <c r="K102" s="11"/>
    </row>
    <row r="103" spans="2:11" x14ac:dyDescent="0.55000000000000004">
      <c r="B103" s="10"/>
      <c r="C103" s="10"/>
      <c r="D103" s="10"/>
      <c r="E103" s="10"/>
      <c r="F103" s="10"/>
      <c r="G103" s="10"/>
      <c r="J103" s="11"/>
      <c r="K103" s="11"/>
    </row>
    <row r="104" spans="2:11" x14ac:dyDescent="0.55000000000000004">
      <c r="B104" s="10"/>
      <c r="C104" s="10"/>
      <c r="D104" s="10"/>
      <c r="E104" s="10"/>
      <c r="F104" s="10"/>
      <c r="G104" s="10"/>
      <c r="J104" s="11"/>
      <c r="K104" s="11"/>
    </row>
    <row r="105" spans="2:11" x14ac:dyDescent="0.55000000000000004">
      <c r="B105" s="10"/>
      <c r="C105" s="10"/>
      <c r="D105" s="10"/>
      <c r="E105" s="10"/>
      <c r="F105" s="10"/>
      <c r="G105" s="10"/>
      <c r="J105" s="11"/>
      <c r="K105" s="11"/>
    </row>
    <row r="106" spans="2:11" x14ac:dyDescent="0.55000000000000004">
      <c r="B106" s="10"/>
      <c r="C106" s="10"/>
      <c r="D106" s="10"/>
      <c r="E106" s="10"/>
      <c r="F106" s="10"/>
      <c r="G106" s="10"/>
      <c r="J106" s="11"/>
      <c r="K106" s="11"/>
    </row>
    <row r="107" spans="2:11" x14ac:dyDescent="0.55000000000000004">
      <c r="B107" s="10"/>
      <c r="C107" s="10"/>
      <c r="D107" s="10"/>
      <c r="E107" s="10"/>
      <c r="F107" s="10"/>
      <c r="G107" s="10"/>
      <c r="J107" s="11"/>
      <c r="K107" s="11"/>
    </row>
    <row r="108" spans="2:11" x14ac:dyDescent="0.55000000000000004">
      <c r="B108" s="10"/>
      <c r="C108" s="10"/>
      <c r="D108" s="10"/>
      <c r="E108" s="10"/>
      <c r="F108" s="10"/>
      <c r="G108" s="10"/>
      <c r="J108" s="11"/>
      <c r="K108" s="11"/>
    </row>
    <row r="109" spans="2:11" x14ac:dyDescent="0.55000000000000004">
      <c r="B109" s="10"/>
      <c r="C109" s="10"/>
      <c r="D109" s="10"/>
      <c r="E109" s="10"/>
      <c r="F109" s="10"/>
      <c r="G109" s="10"/>
      <c r="J109" s="11"/>
      <c r="K109" s="11"/>
    </row>
    <row r="110" spans="2:11" x14ac:dyDescent="0.55000000000000004">
      <c r="B110" s="10"/>
      <c r="C110" s="10"/>
      <c r="D110" s="10"/>
      <c r="E110" s="10"/>
      <c r="F110" s="10"/>
      <c r="G110" s="10"/>
      <c r="J110" s="11"/>
      <c r="K110" s="11"/>
    </row>
    <row r="111" spans="2:11" x14ac:dyDescent="0.55000000000000004">
      <c r="B111" s="10"/>
      <c r="C111" s="10"/>
      <c r="D111" s="10"/>
      <c r="E111" s="10"/>
      <c r="F111" s="10"/>
      <c r="G111" s="10"/>
      <c r="J111" s="11"/>
      <c r="K111" s="11"/>
    </row>
    <row r="112" spans="2:11" x14ac:dyDescent="0.55000000000000004">
      <c r="B112" s="10"/>
      <c r="C112" s="10"/>
      <c r="D112" s="10"/>
      <c r="E112" s="10"/>
      <c r="F112" s="10"/>
      <c r="G112" s="10"/>
      <c r="J112" s="11"/>
      <c r="K112" s="11"/>
    </row>
    <row r="113" spans="1:11" x14ac:dyDescent="0.55000000000000004">
      <c r="B113" s="10"/>
      <c r="C113" s="10"/>
      <c r="D113" s="10"/>
      <c r="E113" s="10"/>
      <c r="F113" s="10"/>
      <c r="G113" s="10"/>
      <c r="J113" s="11"/>
      <c r="K113" s="11"/>
    </row>
    <row r="114" spans="1:11" x14ac:dyDescent="0.55000000000000004">
      <c r="B114" s="10"/>
      <c r="C114" s="10"/>
      <c r="D114" s="10"/>
      <c r="E114" s="10"/>
      <c r="F114" s="10"/>
      <c r="G114" s="10"/>
      <c r="J114" s="11"/>
      <c r="K114" s="11"/>
    </row>
    <row r="115" spans="1:11" x14ac:dyDescent="0.55000000000000004">
      <c r="B115" s="10"/>
      <c r="C115" s="10"/>
      <c r="D115" s="10"/>
      <c r="E115" s="10"/>
      <c r="F115" s="10"/>
      <c r="G115" s="10"/>
      <c r="J115" s="11"/>
      <c r="K115" s="11"/>
    </row>
    <row r="116" spans="1:11" x14ac:dyDescent="0.55000000000000004">
      <c r="B116" s="10"/>
      <c r="C116" s="10"/>
      <c r="D116" s="10"/>
      <c r="E116" s="10"/>
      <c r="F116" s="10"/>
      <c r="G116" s="10"/>
      <c r="J116" s="11"/>
      <c r="K116" s="11"/>
    </row>
    <row r="117" spans="1:11" x14ac:dyDescent="0.55000000000000004">
      <c r="B117" s="10"/>
      <c r="C117" s="10"/>
      <c r="D117" s="10"/>
      <c r="E117" s="10"/>
      <c r="F117" s="10"/>
      <c r="G117" s="10"/>
      <c r="J117" s="11"/>
      <c r="K117" s="11"/>
    </row>
    <row r="118" spans="1:11" x14ac:dyDescent="0.55000000000000004">
      <c r="B118" s="10"/>
      <c r="C118" s="10"/>
      <c r="D118" s="10"/>
      <c r="E118" s="10"/>
      <c r="F118" s="10"/>
      <c r="G118" s="10"/>
      <c r="J118" s="11"/>
      <c r="K118" s="11"/>
    </row>
    <row r="119" spans="1:11" s="11" customFormat="1" x14ac:dyDescent="0.55000000000000004">
      <c r="A119" s="9"/>
      <c r="B119" s="10"/>
      <c r="C119" s="10"/>
      <c r="D119" s="10"/>
      <c r="E119" s="10"/>
      <c r="F119" s="10"/>
      <c r="G119" s="10"/>
    </row>
    <row r="120" spans="1:11" s="11" customFormat="1" x14ac:dyDescent="0.55000000000000004">
      <c r="A120" s="9"/>
      <c r="B120" s="10"/>
      <c r="C120" s="10"/>
      <c r="D120" s="10"/>
      <c r="E120" s="10"/>
      <c r="F120" s="10"/>
      <c r="G120" s="10"/>
    </row>
    <row r="121" spans="1:11" s="11" customFormat="1" x14ac:dyDescent="0.55000000000000004">
      <c r="A121" s="9"/>
      <c r="B121" s="10"/>
      <c r="C121" s="10"/>
      <c r="D121" s="10"/>
      <c r="E121" s="10"/>
      <c r="F121" s="10"/>
      <c r="G121" s="10"/>
    </row>
    <row r="122" spans="1:11" s="11" customFormat="1" x14ac:dyDescent="0.55000000000000004">
      <c r="A122" s="9"/>
      <c r="B122" s="10"/>
      <c r="C122" s="10"/>
      <c r="D122" s="10"/>
      <c r="E122" s="10"/>
      <c r="F122" s="10"/>
      <c r="G122" s="10"/>
    </row>
    <row r="123" spans="1:11" s="11" customFormat="1" x14ac:dyDescent="0.55000000000000004">
      <c r="A123" s="9"/>
      <c r="B123" s="10"/>
      <c r="C123" s="10"/>
      <c r="D123" s="10"/>
      <c r="E123" s="10"/>
      <c r="F123" s="10"/>
      <c r="G123" s="10"/>
    </row>
    <row r="124" spans="1:11" s="11" customFormat="1" x14ac:dyDescent="0.55000000000000004">
      <c r="A124" s="9"/>
      <c r="B124" s="10"/>
      <c r="C124" s="10"/>
      <c r="D124" s="10"/>
      <c r="E124" s="10"/>
      <c r="F124" s="10"/>
      <c r="G124" s="10"/>
    </row>
    <row r="125" spans="1:11" s="11" customFormat="1" x14ac:dyDescent="0.55000000000000004">
      <c r="A125" s="9"/>
      <c r="B125" s="10"/>
      <c r="C125" s="10"/>
      <c r="D125" s="10"/>
      <c r="E125" s="10"/>
      <c r="F125" s="10"/>
      <c r="G125" s="10"/>
    </row>
    <row r="126" spans="1:11" s="11" customFormat="1" x14ac:dyDescent="0.55000000000000004">
      <c r="A126" s="9"/>
      <c r="B126" s="10"/>
      <c r="C126" s="10"/>
      <c r="D126" s="10"/>
      <c r="E126" s="10"/>
      <c r="F126" s="10"/>
      <c r="G126" s="10"/>
    </row>
    <row r="127" spans="1:11" s="11" customFormat="1" x14ac:dyDescent="0.55000000000000004">
      <c r="A127" s="9"/>
      <c r="B127" s="10"/>
      <c r="C127" s="10"/>
      <c r="D127" s="10"/>
      <c r="E127" s="10"/>
      <c r="F127" s="10"/>
      <c r="G127" s="10"/>
    </row>
    <row r="128" spans="1:11" s="11" customFormat="1" x14ac:dyDescent="0.55000000000000004">
      <c r="A128" s="9"/>
      <c r="B128" s="10"/>
      <c r="C128" s="10"/>
      <c r="D128" s="10"/>
      <c r="E128" s="10"/>
      <c r="F128" s="10"/>
      <c r="G128" s="10"/>
    </row>
    <row r="129" spans="1:7" s="11" customFormat="1" x14ac:dyDescent="0.55000000000000004">
      <c r="A129" s="9"/>
      <c r="B129" s="10"/>
      <c r="C129" s="10"/>
      <c r="D129" s="10"/>
      <c r="E129" s="10"/>
      <c r="F129" s="10"/>
      <c r="G129" s="10"/>
    </row>
    <row r="130" spans="1:7" s="11" customFormat="1" x14ac:dyDescent="0.55000000000000004">
      <c r="A130" s="9"/>
      <c r="B130" s="10"/>
      <c r="C130" s="10"/>
      <c r="D130" s="10"/>
      <c r="E130" s="10"/>
      <c r="F130" s="10"/>
      <c r="G130" s="10"/>
    </row>
    <row r="131" spans="1:7" s="11" customFormat="1" x14ac:dyDescent="0.55000000000000004">
      <c r="A131" s="9"/>
      <c r="B131" s="10"/>
      <c r="C131" s="10"/>
      <c r="D131" s="10"/>
      <c r="E131" s="10"/>
      <c r="F131" s="10"/>
      <c r="G131" s="10"/>
    </row>
    <row r="132" spans="1:7" s="11" customFormat="1" x14ac:dyDescent="0.55000000000000004">
      <c r="A132" s="9"/>
      <c r="B132" s="10"/>
      <c r="C132" s="10"/>
      <c r="D132" s="10"/>
      <c r="E132" s="10"/>
      <c r="F132" s="10"/>
      <c r="G132" s="10"/>
    </row>
    <row r="133" spans="1:7" s="11" customFormat="1" x14ac:dyDescent="0.55000000000000004">
      <c r="A133" s="9"/>
      <c r="B133" s="10"/>
      <c r="C133" s="10"/>
      <c r="D133" s="10"/>
      <c r="E133" s="10"/>
      <c r="F133" s="10"/>
      <c r="G133" s="10"/>
    </row>
    <row r="134" spans="1:7" s="11" customFormat="1" x14ac:dyDescent="0.55000000000000004">
      <c r="A134" s="9"/>
      <c r="B134" s="10"/>
      <c r="C134" s="10"/>
      <c r="D134" s="10"/>
      <c r="E134" s="10"/>
      <c r="F134" s="10"/>
      <c r="G134" s="10"/>
    </row>
    <row r="135" spans="1:7" s="11" customFormat="1" x14ac:dyDescent="0.55000000000000004">
      <c r="A135" s="9"/>
      <c r="B135" s="10"/>
      <c r="C135" s="10"/>
      <c r="D135" s="10"/>
      <c r="E135" s="10"/>
      <c r="F135" s="10"/>
      <c r="G135" s="10"/>
    </row>
    <row r="136" spans="1:7" s="11" customFormat="1" x14ac:dyDescent="0.55000000000000004">
      <c r="A136" s="9"/>
      <c r="B136" s="10"/>
      <c r="C136" s="10"/>
      <c r="D136" s="10"/>
      <c r="E136" s="10"/>
      <c r="F136" s="10"/>
      <c r="G136" s="10"/>
    </row>
    <row r="137" spans="1:7" s="11" customFormat="1" x14ac:dyDescent="0.55000000000000004">
      <c r="A137" s="9"/>
      <c r="B137" s="10"/>
      <c r="C137" s="10"/>
      <c r="D137" s="10"/>
      <c r="E137" s="10"/>
      <c r="F137" s="10"/>
      <c r="G137" s="10"/>
    </row>
    <row r="138" spans="1:7" s="11" customFormat="1" x14ac:dyDescent="0.55000000000000004">
      <c r="A138" s="9"/>
      <c r="B138" s="10"/>
      <c r="C138" s="10"/>
      <c r="D138" s="10"/>
      <c r="E138" s="10"/>
      <c r="F138" s="10"/>
      <c r="G138" s="10"/>
    </row>
    <row r="139" spans="1:7" s="11" customFormat="1" x14ac:dyDescent="0.55000000000000004">
      <c r="A139" s="9"/>
      <c r="B139" s="10"/>
      <c r="C139" s="10"/>
      <c r="D139" s="10"/>
      <c r="E139" s="10"/>
      <c r="F139" s="10"/>
      <c r="G139" s="10"/>
    </row>
    <row r="140" spans="1:7" s="11" customFormat="1" x14ac:dyDescent="0.55000000000000004">
      <c r="A140" s="9"/>
      <c r="B140" s="10"/>
      <c r="C140" s="10"/>
      <c r="D140" s="10"/>
      <c r="E140" s="10"/>
      <c r="F140" s="10"/>
      <c r="G140" s="10"/>
    </row>
    <row r="141" spans="1:7" s="11" customFormat="1" x14ac:dyDescent="0.55000000000000004">
      <c r="A141" s="9"/>
      <c r="B141" s="10"/>
      <c r="C141" s="10"/>
      <c r="D141" s="10"/>
      <c r="E141" s="10"/>
      <c r="F141" s="10"/>
      <c r="G141" s="10"/>
    </row>
    <row r="142" spans="1:7" s="11" customFormat="1" x14ac:dyDescent="0.55000000000000004">
      <c r="A142" s="9"/>
      <c r="B142" s="10"/>
      <c r="C142" s="10"/>
      <c r="D142" s="10"/>
      <c r="E142" s="10"/>
      <c r="F142" s="10"/>
      <c r="G142" s="10"/>
    </row>
    <row r="143" spans="1:7" s="11" customFormat="1" x14ac:dyDescent="0.55000000000000004">
      <c r="A143" s="9"/>
      <c r="B143" s="10"/>
      <c r="C143" s="10"/>
      <c r="D143" s="10"/>
      <c r="E143" s="10"/>
      <c r="F143" s="10"/>
      <c r="G143" s="10"/>
    </row>
    <row r="144" spans="1:7" s="11" customFormat="1" x14ac:dyDescent="0.55000000000000004">
      <c r="A144" s="9"/>
      <c r="B144" s="10"/>
      <c r="C144" s="10"/>
      <c r="D144" s="10"/>
      <c r="E144" s="10"/>
      <c r="F144" s="10"/>
      <c r="G144" s="10"/>
    </row>
    <row r="145" spans="1:7" s="11" customFormat="1" x14ac:dyDescent="0.55000000000000004">
      <c r="A145" s="9"/>
      <c r="B145" s="10"/>
      <c r="C145" s="10"/>
      <c r="D145" s="10"/>
      <c r="E145" s="10"/>
      <c r="F145" s="10"/>
      <c r="G145" s="10"/>
    </row>
    <row r="146" spans="1:7" s="11" customFormat="1" x14ac:dyDescent="0.55000000000000004">
      <c r="A146" s="9"/>
      <c r="B146" s="10"/>
      <c r="C146" s="10"/>
      <c r="D146" s="10"/>
      <c r="E146" s="10"/>
      <c r="F146" s="10"/>
      <c r="G146" s="10"/>
    </row>
    <row r="147" spans="1:7" s="11" customFormat="1" x14ac:dyDescent="0.55000000000000004">
      <c r="A147" s="9"/>
      <c r="B147" s="10"/>
      <c r="C147" s="10"/>
      <c r="D147" s="10"/>
      <c r="E147" s="10"/>
      <c r="F147" s="10"/>
      <c r="G147" s="10"/>
    </row>
    <row r="148" spans="1:7" s="11" customFormat="1" x14ac:dyDescent="0.55000000000000004">
      <c r="A148" s="9"/>
      <c r="B148" s="10"/>
      <c r="C148" s="10"/>
      <c r="D148" s="10"/>
      <c r="E148" s="10"/>
      <c r="F148" s="10"/>
      <c r="G148" s="10"/>
    </row>
    <row r="149" spans="1:7" s="11" customFormat="1" x14ac:dyDescent="0.55000000000000004">
      <c r="A149" s="9"/>
      <c r="B149" s="10"/>
      <c r="C149" s="10"/>
      <c r="D149" s="10"/>
      <c r="E149" s="10"/>
      <c r="F149" s="10"/>
      <c r="G149" s="10"/>
    </row>
    <row r="150" spans="1:7" s="11" customFormat="1" x14ac:dyDescent="0.55000000000000004">
      <c r="A150" s="9"/>
      <c r="B150" s="10"/>
      <c r="C150" s="10"/>
      <c r="D150" s="10"/>
      <c r="E150" s="10"/>
      <c r="F150" s="10"/>
      <c r="G150" s="10"/>
    </row>
    <row r="151" spans="1:7" s="11" customFormat="1" x14ac:dyDescent="0.55000000000000004">
      <c r="A151" s="9"/>
      <c r="B151" s="10"/>
      <c r="C151" s="10"/>
      <c r="D151" s="10"/>
      <c r="E151" s="10"/>
      <c r="F151" s="10"/>
      <c r="G151" s="10"/>
    </row>
    <row r="152" spans="1:7" s="11" customFormat="1" x14ac:dyDescent="0.55000000000000004">
      <c r="A152" s="9"/>
      <c r="B152" s="10"/>
      <c r="C152" s="10"/>
      <c r="D152" s="10"/>
      <c r="E152" s="10"/>
      <c r="F152" s="10"/>
      <c r="G152" s="10"/>
    </row>
    <row r="153" spans="1:7" s="11" customFormat="1" x14ac:dyDescent="0.55000000000000004">
      <c r="A153" s="9"/>
      <c r="B153" s="10"/>
      <c r="C153" s="10"/>
      <c r="D153" s="10"/>
      <c r="E153" s="10"/>
      <c r="F153" s="10"/>
      <c r="G153" s="10"/>
    </row>
    <row r="154" spans="1:7" s="11" customFormat="1" x14ac:dyDescent="0.55000000000000004">
      <c r="A154" s="9"/>
      <c r="B154" s="10"/>
      <c r="C154" s="10"/>
      <c r="D154" s="10"/>
      <c r="E154" s="10"/>
      <c r="F154" s="10"/>
      <c r="G154" s="10"/>
    </row>
    <row r="155" spans="1:7" s="11" customFormat="1" x14ac:dyDescent="0.55000000000000004">
      <c r="A155" s="9"/>
      <c r="B155" s="10"/>
      <c r="C155" s="10"/>
      <c r="D155" s="10"/>
      <c r="E155" s="10"/>
      <c r="F155" s="10"/>
      <c r="G155" s="10"/>
    </row>
    <row r="156" spans="1:7" s="11" customFormat="1" x14ac:dyDescent="0.55000000000000004">
      <c r="A156" s="9"/>
      <c r="B156" s="10"/>
      <c r="C156" s="10"/>
      <c r="D156" s="10"/>
      <c r="E156" s="10"/>
      <c r="F156" s="10"/>
      <c r="G156" s="10"/>
    </row>
    <row r="157" spans="1:7" s="11" customFormat="1" x14ac:dyDescent="0.55000000000000004">
      <c r="A157" s="9"/>
      <c r="B157" s="10"/>
      <c r="C157" s="10"/>
      <c r="D157" s="10"/>
      <c r="E157" s="10"/>
      <c r="F157" s="10"/>
      <c r="G157" s="10"/>
    </row>
    <row r="158" spans="1:7" s="11" customFormat="1" x14ac:dyDescent="0.55000000000000004">
      <c r="A158" s="9"/>
      <c r="B158" s="10"/>
      <c r="C158" s="10"/>
      <c r="D158" s="10"/>
      <c r="E158" s="10"/>
      <c r="F158" s="10"/>
      <c r="G158" s="10"/>
    </row>
    <row r="159" spans="1:7" s="11" customFormat="1" x14ac:dyDescent="0.55000000000000004">
      <c r="A159" s="9"/>
      <c r="B159" s="10"/>
      <c r="C159" s="10"/>
      <c r="D159" s="10"/>
      <c r="E159" s="10"/>
      <c r="F159" s="10"/>
      <c r="G159" s="10"/>
    </row>
    <row r="160" spans="1:7" s="11" customFormat="1" x14ac:dyDescent="0.55000000000000004">
      <c r="A160" s="9"/>
      <c r="B160" s="10"/>
      <c r="C160" s="10"/>
      <c r="D160" s="10"/>
      <c r="E160" s="10"/>
      <c r="F160" s="10"/>
      <c r="G160" s="10"/>
    </row>
    <row r="161" spans="1:7" s="11" customFormat="1" x14ac:dyDescent="0.55000000000000004">
      <c r="A161" s="9"/>
      <c r="B161" s="10"/>
      <c r="C161" s="10"/>
      <c r="D161" s="10"/>
      <c r="E161" s="10"/>
      <c r="F161" s="10"/>
      <c r="G161" s="10"/>
    </row>
    <row r="162" spans="1:7" s="11" customFormat="1" x14ac:dyDescent="0.55000000000000004">
      <c r="A162" s="9"/>
      <c r="B162" s="10"/>
      <c r="C162" s="10"/>
      <c r="D162" s="10"/>
      <c r="E162" s="10"/>
      <c r="F162" s="10"/>
      <c r="G162" s="10"/>
    </row>
    <row r="163" spans="1:7" s="11" customFormat="1" x14ac:dyDescent="0.55000000000000004">
      <c r="A163" s="9"/>
      <c r="B163" s="10"/>
      <c r="C163" s="10"/>
      <c r="D163" s="10"/>
      <c r="E163" s="10"/>
      <c r="F163" s="10"/>
      <c r="G163" s="10"/>
    </row>
    <row r="164" spans="1:7" s="11" customFormat="1" x14ac:dyDescent="0.55000000000000004">
      <c r="A164" s="9"/>
      <c r="B164" s="10"/>
      <c r="C164" s="10"/>
      <c r="D164" s="10"/>
      <c r="E164" s="10"/>
      <c r="F164" s="10"/>
      <c r="G164" s="10"/>
    </row>
    <row r="165" spans="1:7" s="11" customFormat="1" x14ac:dyDescent="0.55000000000000004">
      <c r="A165" s="9"/>
      <c r="B165" s="10"/>
      <c r="C165" s="10"/>
      <c r="D165" s="10"/>
      <c r="E165" s="10"/>
      <c r="F165" s="10"/>
      <c r="G165" s="10"/>
    </row>
    <row r="166" spans="1:7" s="11" customFormat="1" x14ac:dyDescent="0.55000000000000004">
      <c r="A166" s="9"/>
      <c r="B166" s="10"/>
      <c r="C166" s="10"/>
      <c r="D166" s="10"/>
      <c r="E166" s="10"/>
      <c r="F166" s="10"/>
      <c r="G166" s="10"/>
    </row>
    <row r="167" spans="1:7" s="11" customFormat="1" x14ac:dyDescent="0.55000000000000004">
      <c r="A167" s="9"/>
      <c r="B167" s="10"/>
      <c r="C167" s="10"/>
      <c r="D167" s="10"/>
      <c r="E167" s="10"/>
      <c r="F167" s="10"/>
      <c r="G167" s="10"/>
    </row>
    <row r="168" spans="1:7" s="11" customFormat="1" x14ac:dyDescent="0.55000000000000004">
      <c r="A168" s="9"/>
      <c r="B168" s="10"/>
      <c r="C168" s="10"/>
      <c r="D168" s="10"/>
      <c r="E168" s="10"/>
      <c r="F168" s="10"/>
      <c r="G168" s="10"/>
    </row>
    <row r="169" spans="1:7" s="11" customFormat="1" x14ac:dyDescent="0.55000000000000004">
      <c r="A169" s="9"/>
      <c r="B169" s="10"/>
      <c r="C169" s="10"/>
      <c r="D169" s="10"/>
      <c r="E169" s="10"/>
      <c r="F169" s="10"/>
      <c r="G169" s="10"/>
    </row>
    <row r="170" spans="1:7" s="11" customFormat="1" x14ac:dyDescent="0.55000000000000004">
      <c r="A170" s="9"/>
      <c r="B170" s="10"/>
      <c r="C170" s="10"/>
      <c r="D170" s="10"/>
      <c r="E170" s="10"/>
      <c r="F170" s="10"/>
      <c r="G170" s="10"/>
    </row>
    <row r="171" spans="1:7" s="11" customFormat="1" x14ac:dyDescent="0.55000000000000004">
      <c r="A171" s="9"/>
      <c r="B171" s="10"/>
      <c r="C171" s="10"/>
      <c r="D171" s="10"/>
      <c r="E171" s="10"/>
      <c r="F171" s="10"/>
      <c r="G171" s="10"/>
    </row>
    <row r="172" spans="1:7" s="11" customFormat="1" x14ac:dyDescent="0.55000000000000004">
      <c r="A172" s="9"/>
      <c r="B172" s="10"/>
      <c r="C172" s="10"/>
      <c r="D172" s="10"/>
      <c r="E172" s="10"/>
      <c r="F172" s="10"/>
      <c r="G172" s="10"/>
    </row>
    <row r="173" spans="1:7" s="11" customFormat="1" x14ac:dyDescent="0.55000000000000004">
      <c r="A173" s="9"/>
      <c r="B173" s="10"/>
      <c r="C173" s="10"/>
      <c r="D173" s="10"/>
      <c r="E173" s="10"/>
      <c r="F173" s="10"/>
      <c r="G173" s="10"/>
    </row>
    <row r="174" spans="1:7" s="11" customFormat="1" x14ac:dyDescent="0.55000000000000004">
      <c r="A174" s="9"/>
      <c r="B174" s="10"/>
      <c r="C174" s="10"/>
      <c r="D174" s="10"/>
      <c r="E174" s="10"/>
      <c r="F174" s="10"/>
      <c r="G174" s="10"/>
    </row>
    <row r="175" spans="1:7" s="11" customFormat="1" x14ac:dyDescent="0.55000000000000004">
      <c r="A175" s="9"/>
      <c r="B175" s="10"/>
      <c r="C175" s="10"/>
      <c r="D175" s="10"/>
      <c r="E175" s="10"/>
      <c r="F175" s="10"/>
      <c r="G175" s="10"/>
    </row>
    <row r="176" spans="1:7" s="11" customFormat="1" x14ac:dyDescent="0.55000000000000004">
      <c r="A176" s="9"/>
      <c r="B176" s="10"/>
      <c r="C176" s="10"/>
      <c r="D176" s="10"/>
      <c r="E176" s="10"/>
      <c r="F176" s="10"/>
      <c r="G176" s="10"/>
    </row>
    <row r="177" spans="1:7" s="11" customFormat="1" x14ac:dyDescent="0.55000000000000004">
      <c r="A177" s="9"/>
      <c r="B177" s="10"/>
      <c r="C177" s="10"/>
      <c r="D177" s="10"/>
      <c r="E177" s="10"/>
      <c r="F177" s="10"/>
      <c r="G177" s="10"/>
    </row>
    <row r="178" spans="1:7" s="11" customFormat="1" x14ac:dyDescent="0.55000000000000004">
      <c r="A178" s="9"/>
      <c r="B178" s="10"/>
      <c r="C178" s="10"/>
      <c r="D178" s="10"/>
      <c r="E178" s="10"/>
      <c r="F178" s="10"/>
      <c r="G178" s="10"/>
    </row>
    <row r="179" spans="1:7" s="11" customFormat="1" x14ac:dyDescent="0.55000000000000004">
      <c r="A179" s="9"/>
      <c r="B179" s="10"/>
      <c r="C179" s="10"/>
      <c r="D179" s="10"/>
      <c r="E179" s="10"/>
      <c r="F179" s="10"/>
      <c r="G179" s="10"/>
    </row>
    <row r="180" spans="1:7" s="11" customFormat="1" x14ac:dyDescent="0.55000000000000004">
      <c r="A180" s="9"/>
      <c r="B180" s="10"/>
      <c r="C180" s="10"/>
      <c r="D180" s="10"/>
      <c r="E180" s="10"/>
      <c r="F180" s="10"/>
      <c r="G180" s="10"/>
    </row>
    <row r="181" spans="1:7" s="11" customFormat="1" x14ac:dyDescent="0.55000000000000004">
      <c r="A181" s="9"/>
      <c r="B181" s="10"/>
      <c r="C181" s="10"/>
      <c r="D181" s="10"/>
      <c r="E181" s="10"/>
      <c r="F181" s="10"/>
      <c r="G181" s="10"/>
    </row>
    <row r="182" spans="1:7" s="11" customFormat="1" x14ac:dyDescent="0.55000000000000004">
      <c r="A182" s="9"/>
      <c r="B182" s="10"/>
      <c r="C182" s="10"/>
      <c r="D182" s="10"/>
      <c r="E182" s="10"/>
      <c r="F182" s="10"/>
      <c r="G182" s="10"/>
    </row>
    <row r="183" spans="1:7" s="11" customFormat="1" x14ac:dyDescent="0.55000000000000004">
      <c r="A183" s="9"/>
      <c r="B183" s="10"/>
      <c r="C183" s="10"/>
      <c r="D183" s="10"/>
      <c r="E183" s="10"/>
      <c r="F183" s="10"/>
      <c r="G183" s="10"/>
    </row>
    <row r="184" spans="1:7" s="11" customFormat="1" x14ac:dyDescent="0.55000000000000004">
      <c r="A184" s="9"/>
      <c r="B184" s="10"/>
      <c r="C184" s="10"/>
      <c r="D184" s="10"/>
      <c r="E184" s="10"/>
      <c r="F184" s="10"/>
      <c r="G184" s="10"/>
    </row>
    <row r="185" spans="1:7" s="11" customFormat="1" x14ac:dyDescent="0.55000000000000004">
      <c r="A185" s="9"/>
      <c r="B185" s="10"/>
      <c r="C185" s="10"/>
      <c r="D185" s="10"/>
      <c r="E185" s="10"/>
      <c r="F185" s="10"/>
      <c r="G185" s="10"/>
    </row>
    <row r="186" spans="1:7" s="11" customFormat="1" x14ac:dyDescent="0.55000000000000004">
      <c r="A186" s="9"/>
      <c r="B186" s="10"/>
      <c r="C186" s="10"/>
      <c r="D186" s="10"/>
      <c r="E186" s="10"/>
      <c r="F186" s="10"/>
      <c r="G186" s="10"/>
    </row>
    <row r="187" spans="1:7" s="11" customFormat="1" x14ac:dyDescent="0.55000000000000004">
      <c r="A187" s="9"/>
      <c r="B187" s="10"/>
      <c r="C187" s="10"/>
      <c r="D187" s="10"/>
      <c r="E187" s="10"/>
      <c r="F187" s="10"/>
      <c r="G187" s="10"/>
    </row>
    <row r="188" spans="1:7" s="11" customFormat="1" x14ac:dyDescent="0.55000000000000004">
      <c r="A188" s="9"/>
      <c r="B188" s="10"/>
      <c r="C188" s="10"/>
      <c r="D188" s="10"/>
      <c r="E188" s="10"/>
      <c r="F188" s="10"/>
      <c r="G188" s="10"/>
    </row>
    <row r="189" spans="1:7" s="11" customFormat="1" x14ac:dyDescent="0.55000000000000004">
      <c r="A189" s="9"/>
      <c r="B189" s="10"/>
      <c r="C189" s="10"/>
      <c r="D189" s="10"/>
      <c r="E189" s="10"/>
      <c r="F189" s="10"/>
      <c r="G189" s="10"/>
    </row>
    <row r="190" spans="1:7" s="11" customFormat="1" x14ac:dyDescent="0.55000000000000004">
      <c r="A190" s="9"/>
      <c r="B190" s="10"/>
      <c r="C190" s="10"/>
      <c r="D190" s="10"/>
      <c r="E190" s="10"/>
      <c r="F190" s="10"/>
      <c r="G190" s="10"/>
    </row>
    <row r="191" spans="1:7" s="11" customFormat="1" x14ac:dyDescent="0.55000000000000004">
      <c r="A191" s="9"/>
      <c r="B191" s="10"/>
      <c r="C191" s="10"/>
      <c r="D191" s="10"/>
      <c r="E191" s="10"/>
      <c r="F191" s="10"/>
      <c r="G191" s="10"/>
    </row>
    <row r="192" spans="1:7" s="11" customFormat="1" x14ac:dyDescent="0.55000000000000004">
      <c r="A192" s="9"/>
      <c r="B192" s="10"/>
      <c r="C192" s="10"/>
      <c r="D192" s="10"/>
      <c r="E192" s="10"/>
      <c r="F192" s="10"/>
      <c r="G192" s="10"/>
    </row>
    <row r="193" spans="1:7" s="11" customFormat="1" x14ac:dyDescent="0.55000000000000004">
      <c r="A193" s="9"/>
      <c r="B193" s="10"/>
      <c r="C193" s="10"/>
      <c r="D193" s="10"/>
      <c r="E193" s="10"/>
      <c r="F193" s="10"/>
      <c r="G193" s="10"/>
    </row>
    <row r="194" spans="1:7" s="11" customFormat="1" x14ac:dyDescent="0.55000000000000004">
      <c r="A194" s="9"/>
      <c r="B194" s="10"/>
      <c r="C194" s="10"/>
      <c r="D194" s="10"/>
      <c r="E194" s="10"/>
      <c r="F194" s="10"/>
      <c r="G194" s="10"/>
    </row>
    <row r="195" spans="1:7" s="11" customFormat="1" x14ac:dyDescent="0.55000000000000004">
      <c r="A195" s="9"/>
      <c r="B195" s="10"/>
      <c r="C195" s="10"/>
      <c r="D195" s="10"/>
      <c r="E195" s="10"/>
      <c r="F195" s="10"/>
      <c r="G195" s="10"/>
    </row>
    <row r="196" spans="1:7" s="11" customFormat="1" x14ac:dyDescent="0.55000000000000004">
      <c r="A196" s="9"/>
      <c r="B196" s="10"/>
      <c r="C196" s="10"/>
      <c r="D196" s="10"/>
      <c r="E196" s="10"/>
      <c r="F196" s="10"/>
      <c r="G196" s="10"/>
    </row>
    <row r="197" spans="1:7" s="11" customFormat="1" x14ac:dyDescent="0.55000000000000004">
      <c r="A197" s="9"/>
      <c r="B197" s="10"/>
      <c r="C197" s="10"/>
      <c r="D197" s="10"/>
      <c r="E197" s="10"/>
      <c r="F197" s="10"/>
      <c r="G197" s="10"/>
    </row>
    <row r="198" spans="1:7" s="11" customFormat="1" x14ac:dyDescent="0.55000000000000004">
      <c r="A198" s="9"/>
      <c r="B198" s="10"/>
      <c r="C198" s="10"/>
      <c r="D198" s="10"/>
      <c r="E198" s="10"/>
      <c r="F198" s="10"/>
      <c r="G198" s="10"/>
    </row>
    <row r="199" spans="1:7" s="11" customFormat="1" x14ac:dyDescent="0.55000000000000004">
      <c r="A199" s="9"/>
      <c r="B199" s="10"/>
      <c r="C199" s="10"/>
      <c r="D199" s="10"/>
      <c r="E199" s="10"/>
      <c r="F199" s="10"/>
      <c r="G199" s="10"/>
    </row>
    <row r="200" spans="1:7" s="11" customFormat="1" x14ac:dyDescent="0.55000000000000004">
      <c r="A200" s="9"/>
      <c r="B200" s="10"/>
      <c r="C200" s="10"/>
      <c r="D200" s="10"/>
      <c r="E200" s="10"/>
      <c r="F200" s="10"/>
      <c r="G200" s="10"/>
    </row>
    <row r="201" spans="1:7" s="11" customFormat="1" x14ac:dyDescent="0.55000000000000004">
      <c r="A201" s="9"/>
      <c r="B201" s="10"/>
      <c r="C201" s="10"/>
      <c r="D201" s="10"/>
      <c r="E201" s="10"/>
      <c r="F201" s="10"/>
      <c r="G201" s="10"/>
    </row>
    <row r="202" spans="1:7" s="11" customFormat="1" x14ac:dyDescent="0.55000000000000004">
      <c r="A202" s="9"/>
      <c r="B202" s="10"/>
      <c r="C202" s="10"/>
      <c r="D202" s="10"/>
      <c r="E202" s="10"/>
      <c r="F202" s="10"/>
      <c r="G202" s="10"/>
    </row>
    <row r="203" spans="1:7" s="11" customFormat="1" x14ac:dyDescent="0.55000000000000004">
      <c r="A203" s="9"/>
      <c r="B203" s="10"/>
      <c r="C203" s="10"/>
      <c r="D203" s="10"/>
      <c r="E203" s="10"/>
      <c r="F203" s="10"/>
      <c r="G203" s="10"/>
    </row>
    <row r="204" spans="1:7" s="11" customFormat="1" x14ac:dyDescent="0.55000000000000004">
      <c r="A204" s="9"/>
      <c r="B204" s="10"/>
      <c r="C204" s="10"/>
      <c r="D204" s="10"/>
      <c r="E204" s="10"/>
      <c r="F204" s="10"/>
      <c r="G204" s="10"/>
    </row>
    <row r="205" spans="1:7" s="11" customFormat="1" x14ac:dyDescent="0.55000000000000004">
      <c r="A205" s="9"/>
      <c r="B205" s="10"/>
      <c r="C205" s="10"/>
      <c r="D205" s="10"/>
      <c r="E205" s="10"/>
      <c r="F205" s="10"/>
      <c r="G205" s="10"/>
    </row>
    <row r="206" spans="1:7" s="11" customFormat="1" x14ac:dyDescent="0.55000000000000004">
      <c r="A206" s="9"/>
      <c r="B206" s="10"/>
      <c r="C206" s="10"/>
      <c r="D206" s="10"/>
      <c r="E206" s="10"/>
      <c r="F206" s="10"/>
      <c r="G206" s="10"/>
    </row>
    <row r="207" spans="1:7" s="11" customFormat="1" x14ac:dyDescent="0.55000000000000004">
      <c r="A207" s="9"/>
      <c r="B207" s="10"/>
      <c r="C207" s="10"/>
      <c r="D207" s="10"/>
      <c r="E207" s="10"/>
      <c r="F207" s="10"/>
      <c r="G207" s="10"/>
    </row>
    <row r="208" spans="1:7" s="11" customFormat="1" x14ac:dyDescent="0.55000000000000004">
      <c r="A208" s="9"/>
      <c r="B208" s="10"/>
      <c r="C208" s="10"/>
      <c r="D208" s="10"/>
      <c r="E208" s="10"/>
      <c r="F208" s="10"/>
      <c r="G208" s="10"/>
    </row>
    <row r="209" spans="1:7" s="11" customFormat="1" x14ac:dyDescent="0.55000000000000004">
      <c r="A209" s="9"/>
      <c r="B209" s="10"/>
      <c r="C209" s="10"/>
      <c r="D209" s="10"/>
      <c r="E209" s="10"/>
      <c r="F209" s="10"/>
      <c r="G209" s="10"/>
    </row>
    <row r="210" spans="1:7" s="11" customFormat="1" x14ac:dyDescent="0.55000000000000004">
      <c r="A210" s="9"/>
      <c r="B210" s="10"/>
      <c r="C210" s="10"/>
      <c r="D210" s="10"/>
      <c r="E210" s="10"/>
      <c r="F210" s="10"/>
      <c r="G210" s="10"/>
    </row>
    <row r="211" spans="1:7" s="11" customFormat="1" x14ac:dyDescent="0.55000000000000004">
      <c r="A211" s="9"/>
      <c r="B211" s="10"/>
      <c r="C211" s="10"/>
      <c r="D211" s="10"/>
      <c r="E211" s="10"/>
      <c r="F211" s="10"/>
      <c r="G211" s="10"/>
    </row>
    <row r="212" spans="1:7" s="11" customFormat="1" x14ac:dyDescent="0.55000000000000004">
      <c r="A212" s="9"/>
      <c r="B212" s="10"/>
      <c r="C212" s="10"/>
      <c r="D212" s="10"/>
      <c r="E212" s="10"/>
      <c r="F212" s="10"/>
      <c r="G212" s="10"/>
    </row>
    <row r="213" spans="1:7" s="11" customFormat="1" x14ac:dyDescent="0.55000000000000004">
      <c r="A213" s="9"/>
      <c r="B213" s="10"/>
      <c r="C213" s="10"/>
      <c r="D213" s="10"/>
      <c r="E213" s="10"/>
      <c r="F213" s="10"/>
      <c r="G213" s="10"/>
    </row>
    <row r="214" spans="1:7" s="11" customFormat="1" x14ac:dyDescent="0.55000000000000004">
      <c r="A214" s="9"/>
      <c r="B214" s="10"/>
      <c r="C214" s="10"/>
      <c r="D214" s="10"/>
      <c r="E214" s="10"/>
      <c r="F214" s="10"/>
      <c r="G214" s="10"/>
    </row>
    <row r="215" spans="1:7" s="11" customFormat="1" x14ac:dyDescent="0.55000000000000004">
      <c r="A215" s="9"/>
      <c r="B215" s="10"/>
      <c r="C215" s="10"/>
      <c r="D215" s="10"/>
      <c r="E215" s="10"/>
      <c r="F215" s="10"/>
      <c r="G215" s="10"/>
    </row>
    <row r="216" spans="1:7" s="11" customFormat="1" x14ac:dyDescent="0.55000000000000004">
      <c r="A216" s="9"/>
      <c r="B216" s="10"/>
      <c r="C216" s="10"/>
      <c r="D216" s="10"/>
      <c r="E216" s="10"/>
      <c r="F216" s="10"/>
      <c r="G216" s="10"/>
    </row>
    <row r="217" spans="1:7" s="11" customFormat="1" x14ac:dyDescent="0.55000000000000004">
      <c r="A217" s="9"/>
      <c r="B217" s="10"/>
      <c r="C217" s="10"/>
      <c r="D217" s="10"/>
      <c r="E217" s="10"/>
      <c r="F217" s="10"/>
      <c r="G217" s="10"/>
    </row>
    <row r="218" spans="1:7" s="11" customFormat="1" x14ac:dyDescent="0.55000000000000004">
      <c r="A218" s="9"/>
      <c r="B218" s="10"/>
      <c r="C218" s="10"/>
      <c r="D218" s="10"/>
      <c r="E218" s="10"/>
      <c r="F218" s="10"/>
      <c r="G218" s="10"/>
    </row>
    <row r="219" spans="1:7" s="11" customFormat="1" x14ac:dyDescent="0.55000000000000004">
      <c r="A219" s="9"/>
      <c r="B219" s="10"/>
      <c r="C219" s="10"/>
      <c r="D219" s="10"/>
      <c r="E219" s="10"/>
      <c r="F219" s="10"/>
      <c r="G219" s="10"/>
    </row>
    <row r="220" spans="1:7" s="11" customFormat="1" x14ac:dyDescent="0.55000000000000004">
      <c r="A220" s="9"/>
      <c r="B220" s="10"/>
      <c r="C220" s="10"/>
      <c r="D220" s="10"/>
      <c r="E220" s="10"/>
      <c r="F220" s="10"/>
      <c r="G220" s="10"/>
    </row>
    <row r="221" spans="1:7" s="11" customFormat="1" x14ac:dyDescent="0.55000000000000004">
      <c r="A221" s="9"/>
      <c r="B221" s="10"/>
      <c r="C221" s="10"/>
      <c r="D221" s="10"/>
      <c r="E221" s="10"/>
      <c r="F221" s="10"/>
      <c r="G221" s="10"/>
    </row>
    <row r="222" spans="1:7" s="11" customFormat="1" x14ac:dyDescent="0.55000000000000004">
      <c r="A222" s="9"/>
      <c r="B222" s="10"/>
      <c r="C222" s="10"/>
      <c r="D222" s="10"/>
      <c r="E222" s="10"/>
      <c r="F222" s="10"/>
      <c r="G222" s="10"/>
    </row>
    <row r="223" spans="1:7" s="11" customFormat="1" x14ac:dyDescent="0.55000000000000004">
      <c r="A223" s="9"/>
      <c r="B223" s="10"/>
      <c r="C223" s="10"/>
      <c r="D223" s="10"/>
      <c r="E223" s="10"/>
      <c r="F223" s="10"/>
      <c r="G223" s="10"/>
    </row>
    <row r="224" spans="1:7" s="11" customFormat="1" x14ac:dyDescent="0.55000000000000004">
      <c r="A224" s="9"/>
      <c r="B224" s="10"/>
      <c r="C224" s="10"/>
      <c r="D224" s="10"/>
      <c r="E224" s="10"/>
      <c r="F224" s="10"/>
      <c r="G224" s="10"/>
    </row>
    <row r="225" spans="1:7" s="11" customFormat="1" x14ac:dyDescent="0.55000000000000004">
      <c r="A225" s="9"/>
      <c r="B225" s="10"/>
      <c r="C225" s="10"/>
      <c r="D225" s="10"/>
      <c r="E225" s="10"/>
      <c r="F225" s="10"/>
      <c r="G225" s="10"/>
    </row>
    <row r="226" spans="1:7" s="11" customFormat="1" x14ac:dyDescent="0.55000000000000004">
      <c r="A226" s="9"/>
      <c r="B226" s="10"/>
      <c r="C226" s="10"/>
      <c r="D226" s="10"/>
      <c r="E226" s="10"/>
      <c r="F226" s="10"/>
      <c r="G226" s="10"/>
    </row>
    <row r="227" spans="1:7" s="11" customFormat="1" x14ac:dyDescent="0.55000000000000004">
      <c r="A227" s="9"/>
      <c r="B227" s="10"/>
      <c r="C227" s="10"/>
      <c r="D227" s="10"/>
      <c r="E227" s="10"/>
      <c r="F227" s="10"/>
      <c r="G227" s="10"/>
    </row>
    <row r="228" spans="1:7" s="11" customFormat="1" x14ac:dyDescent="0.55000000000000004">
      <c r="A228" s="9"/>
      <c r="B228" s="10"/>
      <c r="C228" s="10"/>
      <c r="D228" s="10"/>
      <c r="E228" s="10"/>
      <c r="F228" s="10"/>
      <c r="G228" s="10"/>
    </row>
    <row r="229" spans="1:7" s="11" customFormat="1" x14ac:dyDescent="0.55000000000000004">
      <c r="A229" s="9"/>
      <c r="B229" s="10"/>
      <c r="C229" s="10"/>
      <c r="D229" s="10"/>
      <c r="E229" s="10"/>
      <c r="F229" s="10"/>
      <c r="G229" s="10"/>
    </row>
    <row r="230" spans="1:7" s="11" customFormat="1" x14ac:dyDescent="0.55000000000000004">
      <c r="A230" s="9"/>
      <c r="B230" s="10"/>
      <c r="C230" s="10"/>
      <c r="D230" s="10"/>
      <c r="E230" s="10"/>
      <c r="F230" s="10"/>
      <c r="G230" s="10"/>
    </row>
    <row r="231" spans="1:7" s="11" customFormat="1" x14ac:dyDescent="0.55000000000000004">
      <c r="A231" s="9"/>
      <c r="B231" s="10"/>
      <c r="C231" s="10"/>
      <c r="D231" s="10"/>
      <c r="E231" s="10"/>
      <c r="F231" s="10"/>
      <c r="G231" s="10"/>
    </row>
    <row r="232" spans="1:7" s="11" customFormat="1" x14ac:dyDescent="0.55000000000000004">
      <c r="A232" s="9"/>
      <c r="B232" s="10"/>
      <c r="C232" s="10"/>
      <c r="D232" s="10"/>
      <c r="E232" s="10"/>
      <c r="F232" s="10"/>
      <c r="G232" s="10"/>
    </row>
    <row r="233" spans="1:7" s="11" customFormat="1" x14ac:dyDescent="0.55000000000000004">
      <c r="A233" s="9"/>
      <c r="B233" s="10"/>
      <c r="C233" s="10"/>
      <c r="D233" s="10"/>
      <c r="E233" s="10"/>
      <c r="F233" s="10"/>
      <c r="G233" s="10"/>
    </row>
    <row r="234" spans="1:7" s="11" customFormat="1" x14ac:dyDescent="0.55000000000000004">
      <c r="A234" s="9"/>
      <c r="B234" s="10"/>
      <c r="C234" s="10"/>
      <c r="D234" s="10"/>
      <c r="E234" s="10"/>
      <c r="F234" s="10"/>
      <c r="G234" s="10"/>
    </row>
    <row r="235" spans="1:7" s="11" customFormat="1" x14ac:dyDescent="0.55000000000000004">
      <c r="A235" s="9"/>
      <c r="B235" s="10"/>
      <c r="C235" s="10"/>
      <c r="D235" s="10"/>
      <c r="E235" s="10"/>
      <c r="F235" s="10"/>
      <c r="G235" s="10"/>
    </row>
    <row r="236" spans="1:7" s="11" customFormat="1" x14ac:dyDescent="0.55000000000000004">
      <c r="A236" s="9"/>
      <c r="B236" s="10"/>
      <c r="C236" s="10"/>
      <c r="D236" s="10"/>
      <c r="E236" s="10"/>
      <c r="F236" s="10"/>
      <c r="G236" s="10"/>
    </row>
    <row r="237" spans="1:7" s="11" customFormat="1" x14ac:dyDescent="0.55000000000000004">
      <c r="A237" s="9"/>
      <c r="B237" s="10"/>
      <c r="C237" s="10"/>
      <c r="D237" s="10"/>
      <c r="E237" s="10"/>
      <c r="F237" s="10"/>
      <c r="G237" s="10"/>
    </row>
    <row r="238" spans="1:7" s="11" customFormat="1" x14ac:dyDescent="0.55000000000000004">
      <c r="A238" s="9"/>
      <c r="B238" s="10"/>
      <c r="C238" s="10"/>
      <c r="D238" s="10"/>
      <c r="E238" s="10"/>
      <c r="F238" s="10"/>
      <c r="G238" s="10"/>
    </row>
    <row r="239" spans="1:7" s="11" customFormat="1" x14ac:dyDescent="0.55000000000000004">
      <c r="A239" s="9"/>
      <c r="B239" s="10"/>
      <c r="C239" s="10"/>
      <c r="D239" s="10"/>
      <c r="E239" s="10"/>
      <c r="F239" s="10"/>
      <c r="G239" s="10"/>
    </row>
    <row r="240" spans="1:7" s="11" customFormat="1" x14ac:dyDescent="0.55000000000000004">
      <c r="A240" s="9"/>
      <c r="B240" s="10"/>
      <c r="C240" s="10"/>
      <c r="D240" s="10"/>
      <c r="E240" s="10"/>
      <c r="F240" s="10"/>
      <c r="G240" s="10"/>
    </row>
    <row r="241" spans="1:7" s="11" customFormat="1" x14ac:dyDescent="0.55000000000000004">
      <c r="A241" s="9"/>
      <c r="B241" s="10"/>
      <c r="C241" s="10"/>
      <c r="D241" s="10"/>
      <c r="E241" s="10"/>
      <c r="F241" s="10"/>
      <c r="G241" s="10"/>
    </row>
    <row r="242" spans="1:7" s="11" customFormat="1" x14ac:dyDescent="0.55000000000000004">
      <c r="A242" s="9"/>
      <c r="B242" s="10"/>
      <c r="C242" s="10"/>
      <c r="D242" s="10"/>
      <c r="E242" s="10"/>
      <c r="F242" s="10"/>
      <c r="G242" s="10"/>
    </row>
    <row r="243" spans="1:7" s="11" customFormat="1" x14ac:dyDescent="0.55000000000000004">
      <c r="A243" s="9"/>
      <c r="B243" s="10"/>
      <c r="C243" s="10"/>
      <c r="D243" s="10"/>
      <c r="E243" s="10"/>
      <c r="F243" s="10"/>
      <c r="G243" s="10"/>
    </row>
    <row r="244" spans="1:7" s="11" customFormat="1" x14ac:dyDescent="0.55000000000000004">
      <c r="A244" s="9"/>
      <c r="B244" s="10"/>
      <c r="C244" s="10"/>
      <c r="D244" s="10"/>
      <c r="E244" s="10"/>
      <c r="F244" s="10"/>
      <c r="G244" s="10"/>
    </row>
    <row r="245" spans="1:7" s="11" customFormat="1" x14ac:dyDescent="0.55000000000000004">
      <c r="A245" s="9"/>
      <c r="B245" s="10"/>
      <c r="C245" s="10"/>
      <c r="D245" s="10"/>
      <c r="E245" s="10"/>
      <c r="F245" s="10"/>
      <c r="G245" s="10"/>
    </row>
    <row r="246" spans="1:7" s="11" customFormat="1" x14ac:dyDescent="0.55000000000000004">
      <c r="A246" s="9"/>
      <c r="B246" s="10"/>
      <c r="C246" s="10"/>
      <c r="D246" s="10"/>
      <c r="E246" s="10"/>
      <c r="F246" s="10"/>
      <c r="G246" s="10"/>
    </row>
    <row r="247" spans="1:7" s="11" customFormat="1" x14ac:dyDescent="0.55000000000000004">
      <c r="A247" s="9"/>
      <c r="B247" s="10"/>
      <c r="C247" s="10"/>
      <c r="D247" s="10"/>
      <c r="E247" s="10"/>
      <c r="F247" s="10"/>
      <c r="G247" s="10"/>
    </row>
    <row r="248" spans="1:7" s="11" customFormat="1" x14ac:dyDescent="0.55000000000000004">
      <c r="A248" s="9"/>
      <c r="B248" s="10"/>
      <c r="C248" s="10"/>
      <c r="D248" s="10"/>
      <c r="E248" s="10"/>
      <c r="F248" s="10"/>
      <c r="G248" s="10"/>
    </row>
    <row r="249" spans="1:7" s="11" customFormat="1" x14ac:dyDescent="0.55000000000000004">
      <c r="A249" s="9"/>
      <c r="B249" s="10"/>
      <c r="C249" s="10"/>
      <c r="D249" s="10"/>
      <c r="E249" s="10"/>
      <c r="F249" s="10"/>
      <c r="G249" s="10"/>
    </row>
    <row r="250" spans="1:7" s="11" customFormat="1" x14ac:dyDescent="0.55000000000000004">
      <c r="A250" s="9"/>
      <c r="B250" s="10"/>
      <c r="C250" s="10"/>
      <c r="D250" s="10"/>
      <c r="E250" s="10"/>
      <c r="F250" s="10"/>
      <c r="G250" s="10"/>
    </row>
    <row r="251" spans="1:7" s="11" customFormat="1" x14ac:dyDescent="0.55000000000000004">
      <c r="A251" s="9"/>
      <c r="B251" s="10"/>
      <c r="C251" s="10"/>
      <c r="D251" s="10"/>
      <c r="E251" s="10"/>
      <c r="F251" s="10"/>
      <c r="G251" s="10"/>
    </row>
    <row r="252" spans="1:7" s="11" customFormat="1" x14ac:dyDescent="0.55000000000000004">
      <c r="A252" s="9"/>
      <c r="B252" s="10"/>
      <c r="C252" s="10"/>
      <c r="D252" s="10"/>
      <c r="E252" s="10"/>
      <c r="F252" s="10"/>
      <c r="G252" s="10"/>
    </row>
    <row r="253" spans="1:7" s="11" customFormat="1" x14ac:dyDescent="0.55000000000000004">
      <c r="A253" s="9"/>
      <c r="B253" s="10"/>
      <c r="C253" s="10"/>
      <c r="D253" s="10"/>
      <c r="E253" s="10"/>
      <c r="F253" s="10"/>
      <c r="G253" s="10"/>
    </row>
    <row r="254" spans="1:7" s="11" customFormat="1" x14ac:dyDescent="0.55000000000000004">
      <c r="A254" s="9"/>
      <c r="B254" s="10"/>
      <c r="C254" s="10"/>
      <c r="D254" s="10"/>
      <c r="E254" s="10"/>
      <c r="F254" s="10"/>
      <c r="G254" s="10"/>
    </row>
    <row r="255" spans="1:7" s="11" customFormat="1" x14ac:dyDescent="0.55000000000000004">
      <c r="A255" s="9"/>
      <c r="B255" s="10"/>
      <c r="C255" s="10"/>
      <c r="D255" s="10"/>
      <c r="E255" s="10"/>
      <c r="F255" s="10"/>
      <c r="G255" s="10"/>
    </row>
    <row r="256" spans="1:7" s="11" customFormat="1" x14ac:dyDescent="0.55000000000000004">
      <c r="A256" s="9"/>
      <c r="B256" s="10"/>
      <c r="C256" s="10"/>
      <c r="D256" s="10"/>
      <c r="E256" s="10"/>
      <c r="F256" s="10"/>
      <c r="G256" s="10"/>
    </row>
    <row r="257" spans="1:7" s="11" customFormat="1" x14ac:dyDescent="0.55000000000000004">
      <c r="A257" s="9"/>
      <c r="B257" s="10"/>
      <c r="C257" s="10"/>
      <c r="D257" s="10"/>
      <c r="E257" s="10"/>
      <c r="F257" s="10"/>
      <c r="G257" s="10"/>
    </row>
    <row r="258" spans="1:7" s="11" customFormat="1" x14ac:dyDescent="0.55000000000000004">
      <c r="A258" s="9"/>
      <c r="B258" s="10"/>
      <c r="C258" s="10"/>
      <c r="D258" s="10"/>
      <c r="E258" s="10"/>
      <c r="F258" s="10"/>
      <c r="G258" s="10"/>
    </row>
    <row r="259" spans="1:7" s="11" customFormat="1" x14ac:dyDescent="0.55000000000000004">
      <c r="A259" s="9"/>
      <c r="B259" s="10"/>
      <c r="C259" s="10"/>
      <c r="D259" s="10"/>
      <c r="E259" s="10"/>
      <c r="F259" s="10"/>
      <c r="G259" s="10"/>
    </row>
    <row r="260" spans="1:7" s="11" customFormat="1" x14ac:dyDescent="0.55000000000000004">
      <c r="A260" s="9"/>
      <c r="B260" s="10"/>
      <c r="C260" s="10"/>
      <c r="D260" s="10"/>
      <c r="E260" s="10"/>
      <c r="F260" s="10"/>
      <c r="G260" s="10"/>
    </row>
    <row r="261" spans="1:7" s="11" customFormat="1" x14ac:dyDescent="0.55000000000000004">
      <c r="A261" s="9"/>
      <c r="B261" s="10"/>
      <c r="C261" s="10"/>
      <c r="D261" s="10"/>
      <c r="E261" s="10"/>
      <c r="F261" s="10"/>
      <c r="G261" s="10"/>
    </row>
    <row r="262" spans="1:7" s="11" customFormat="1" x14ac:dyDescent="0.55000000000000004">
      <c r="A262" s="9"/>
      <c r="B262" s="10"/>
      <c r="C262" s="10"/>
      <c r="D262" s="10"/>
      <c r="E262" s="10"/>
      <c r="F262" s="10"/>
      <c r="G262" s="10"/>
    </row>
    <row r="263" spans="1:7" s="11" customFormat="1" x14ac:dyDescent="0.55000000000000004">
      <c r="A263" s="9"/>
      <c r="B263" s="10"/>
      <c r="C263" s="10"/>
      <c r="D263" s="10"/>
      <c r="E263" s="10"/>
      <c r="F263" s="10"/>
      <c r="G263" s="10"/>
    </row>
    <row r="264" spans="1:7" s="11" customFormat="1" x14ac:dyDescent="0.55000000000000004">
      <c r="A264" s="9"/>
      <c r="B264" s="10"/>
      <c r="C264" s="10"/>
      <c r="D264" s="10"/>
      <c r="E264" s="10"/>
      <c r="F264" s="10"/>
      <c r="G264" s="10"/>
    </row>
    <row r="265" spans="1:7" s="11" customFormat="1" x14ac:dyDescent="0.55000000000000004">
      <c r="A265" s="9"/>
      <c r="B265" s="10"/>
      <c r="C265" s="10"/>
      <c r="D265" s="10"/>
      <c r="E265" s="10"/>
      <c r="F265" s="10"/>
      <c r="G265" s="10"/>
    </row>
    <row r="266" spans="1:7" s="11" customFormat="1" x14ac:dyDescent="0.55000000000000004">
      <c r="A266" s="9"/>
      <c r="B266" s="10"/>
      <c r="C266" s="10"/>
      <c r="D266" s="10"/>
      <c r="E266" s="10"/>
      <c r="F266" s="10"/>
      <c r="G266" s="10"/>
    </row>
    <row r="267" spans="1:7" s="11" customFormat="1" x14ac:dyDescent="0.55000000000000004">
      <c r="A267" s="9"/>
      <c r="B267" s="10"/>
      <c r="C267" s="10"/>
      <c r="D267" s="10"/>
      <c r="E267" s="10"/>
      <c r="F267" s="10"/>
      <c r="G267" s="10"/>
    </row>
    <row r="268" spans="1:7" s="11" customFormat="1" x14ac:dyDescent="0.55000000000000004">
      <c r="A268" s="9"/>
      <c r="B268" s="10"/>
      <c r="C268" s="10"/>
      <c r="D268" s="10"/>
      <c r="E268" s="10"/>
      <c r="F268" s="10"/>
      <c r="G268" s="10"/>
    </row>
    <row r="269" spans="1:7" s="11" customFormat="1" x14ac:dyDescent="0.55000000000000004">
      <c r="A269" s="9"/>
      <c r="B269" s="10"/>
      <c r="C269" s="10"/>
      <c r="D269" s="10"/>
      <c r="E269" s="10"/>
      <c r="F269" s="10"/>
      <c r="G269" s="10"/>
    </row>
    <row r="270" spans="1:7" s="11" customFormat="1" x14ac:dyDescent="0.55000000000000004">
      <c r="A270" s="9"/>
      <c r="B270" s="10"/>
      <c r="C270" s="10"/>
      <c r="D270" s="10"/>
      <c r="E270" s="10"/>
      <c r="F270" s="10"/>
      <c r="G270" s="10"/>
    </row>
    <row r="271" spans="1:7" s="11" customFormat="1" x14ac:dyDescent="0.55000000000000004">
      <c r="A271" s="9"/>
      <c r="B271" s="10"/>
      <c r="C271" s="10"/>
      <c r="D271" s="10"/>
      <c r="E271" s="10"/>
      <c r="F271" s="10"/>
      <c r="G271" s="10"/>
    </row>
    <row r="272" spans="1:7" s="11" customFormat="1" x14ac:dyDescent="0.55000000000000004">
      <c r="A272" s="9"/>
      <c r="B272" s="10"/>
      <c r="C272" s="10"/>
      <c r="D272" s="10"/>
      <c r="E272" s="10"/>
      <c r="F272" s="10"/>
      <c r="G272" s="10"/>
    </row>
    <row r="273" spans="1:7" s="11" customFormat="1" x14ac:dyDescent="0.55000000000000004">
      <c r="A273" s="9"/>
      <c r="B273" s="10"/>
      <c r="C273" s="10"/>
      <c r="D273" s="10"/>
      <c r="E273" s="10"/>
      <c r="F273" s="10"/>
      <c r="G273" s="10"/>
    </row>
    <row r="274" spans="1:7" s="11" customFormat="1" x14ac:dyDescent="0.55000000000000004">
      <c r="A274" s="9"/>
      <c r="B274" s="10"/>
      <c r="C274" s="10"/>
      <c r="D274" s="10"/>
      <c r="E274" s="10"/>
      <c r="F274" s="10"/>
      <c r="G274" s="10"/>
    </row>
    <row r="275" spans="1:7" s="11" customFormat="1" x14ac:dyDescent="0.55000000000000004">
      <c r="A275" s="9"/>
      <c r="B275" s="10"/>
      <c r="C275" s="10"/>
      <c r="D275" s="10"/>
      <c r="E275" s="10"/>
      <c r="F275" s="10"/>
      <c r="G275" s="10"/>
    </row>
    <row r="276" spans="1:7" s="11" customFormat="1" x14ac:dyDescent="0.55000000000000004">
      <c r="A276" s="9"/>
      <c r="B276" s="10"/>
      <c r="C276" s="10"/>
      <c r="D276" s="10"/>
      <c r="E276" s="10"/>
      <c r="F276" s="10"/>
      <c r="G276" s="10"/>
    </row>
    <row r="277" spans="1:7" s="11" customFormat="1" x14ac:dyDescent="0.55000000000000004">
      <c r="A277" s="9"/>
      <c r="B277" s="10"/>
      <c r="C277" s="10"/>
      <c r="D277" s="10"/>
      <c r="E277" s="10"/>
      <c r="F277" s="10"/>
      <c r="G277" s="10"/>
    </row>
    <row r="278" spans="1:7" s="11" customFormat="1" x14ac:dyDescent="0.55000000000000004">
      <c r="A278" s="9"/>
      <c r="B278" s="10"/>
      <c r="C278" s="10"/>
      <c r="D278" s="10"/>
      <c r="E278" s="10"/>
      <c r="F278" s="10"/>
      <c r="G278" s="10"/>
    </row>
    <row r="279" spans="1:7" s="11" customFormat="1" x14ac:dyDescent="0.55000000000000004">
      <c r="A279" s="9"/>
      <c r="B279" s="10"/>
      <c r="C279" s="10"/>
      <c r="D279" s="10"/>
      <c r="E279" s="10"/>
      <c r="F279" s="10"/>
      <c r="G279" s="10"/>
    </row>
    <row r="280" spans="1:7" s="11" customFormat="1" x14ac:dyDescent="0.55000000000000004">
      <c r="A280" s="9"/>
      <c r="B280" s="10"/>
      <c r="C280" s="10"/>
      <c r="D280" s="10"/>
      <c r="E280" s="10"/>
      <c r="F280" s="10"/>
      <c r="G280" s="10"/>
    </row>
    <row r="281" spans="1:7" s="11" customFormat="1" x14ac:dyDescent="0.55000000000000004">
      <c r="A281" s="9"/>
      <c r="B281" s="10"/>
      <c r="C281" s="10"/>
      <c r="D281" s="10"/>
      <c r="E281" s="10"/>
      <c r="F281" s="10"/>
      <c r="G281" s="10"/>
    </row>
    <row r="282" spans="1:7" s="11" customFormat="1" x14ac:dyDescent="0.55000000000000004">
      <c r="A282" s="9"/>
      <c r="B282" s="10"/>
      <c r="C282" s="10"/>
      <c r="D282" s="10"/>
      <c r="E282" s="10"/>
      <c r="F282" s="10"/>
      <c r="G282" s="10"/>
    </row>
    <row r="283" spans="1:7" s="11" customFormat="1" x14ac:dyDescent="0.55000000000000004">
      <c r="A283" s="9"/>
      <c r="B283" s="10"/>
      <c r="C283" s="10"/>
      <c r="D283" s="10"/>
      <c r="E283" s="10"/>
      <c r="F283" s="10"/>
      <c r="G283" s="10"/>
    </row>
    <row r="284" spans="1:7" s="11" customFormat="1" x14ac:dyDescent="0.55000000000000004">
      <c r="A284" s="9"/>
      <c r="B284" s="10"/>
      <c r="C284" s="10"/>
      <c r="D284" s="10"/>
      <c r="E284" s="10"/>
      <c r="F284" s="10"/>
      <c r="G284" s="10"/>
    </row>
    <row r="285" spans="1:7" s="11" customFormat="1" x14ac:dyDescent="0.55000000000000004">
      <c r="A285" s="9"/>
      <c r="B285" s="10"/>
      <c r="C285" s="10"/>
      <c r="D285" s="10"/>
      <c r="E285" s="10"/>
      <c r="F285" s="10"/>
      <c r="G285" s="10"/>
    </row>
    <row r="286" spans="1:7" s="11" customFormat="1" x14ac:dyDescent="0.55000000000000004">
      <c r="A286" s="9"/>
      <c r="B286" s="10"/>
      <c r="C286" s="10"/>
      <c r="D286" s="10"/>
      <c r="E286" s="10"/>
      <c r="F286" s="10"/>
      <c r="G286" s="10"/>
    </row>
    <row r="287" spans="1:7" s="11" customFormat="1" x14ac:dyDescent="0.55000000000000004">
      <c r="A287" s="9"/>
      <c r="B287" s="10"/>
      <c r="C287" s="10"/>
      <c r="D287" s="10"/>
      <c r="E287" s="10"/>
      <c r="F287" s="10"/>
      <c r="G287" s="10"/>
    </row>
    <row r="288" spans="1:7" s="11" customFormat="1" x14ac:dyDescent="0.55000000000000004">
      <c r="A288" s="9"/>
      <c r="B288" s="10"/>
      <c r="C288" s="10"/>
      <c r="D288" s="10"/>
      <c r="E288" s="10"/>
      <c r="F288" s="10"/>
      <c r="G288" s="10"/>
    </row>
    <row r="289" spans="1:7" s="11" customFormat="1" x14ac:dyDescent="0.55000000000000004">
      <c r="A289" s="9"/>
      <c r="B289" s="10"/>
      <c r="C289" s="10"/>
      <c r="D289" s="10"/>
      <c r="E289" s="10"/>
      <c r="F289" s="10"/>
      <c r="G289" s="10"/>
    </row>
    <row r="290" spans="1:7" s="11" customFormat="1" x14ac:dyDescent="0.55000000000000004">
      <c r="A290" s="9"/>
      <c r="B290" s="10"/>
      <c r="C290" s="10"/>
      <c r="D290" s="10"/>
      <c r="E290" s="10"/>
      <c r="F290" s="10"/>
      <c r="G290" s="10"/>
    </row>
    <row r="291" spans="1:7" s="11" customFormat="1" x14ac:dyDescent="0.55000000000000004">
      <c r="A291" s="9"/>
      <c r="B291" s="10"/>
      <c r="C291" s="10"/>
      <c r="D291" s="10"/>
      <c r="E291" s="10"/>
      <c r="F291" s="10"/>
      <c r="G291" s="10"/>
    </row>
    <row r="292" spans="1:7" s="11" customFormat="1" x14ac:dyDescent="0.55000000000000004">
      <c r="A292" s="9"/>
      <c r="B292" s="10"/>
      <c r="C292" s="10"/>
      <c r="D292" s="10"/>
      <c r="E292" s="10"/>
      <c r="F292" s="10"/>
      <c r="G292" s="10"/>
    </row>
    <row r="293" spans="1:7" s="11" customFormat="1" x14ac:dyDescent="0.55000000000000004">
      <c r="A293" s="9"/>
      <c r="B293" s="10"/>
      <c r="C293" s="10"/>
      <c r="D293" s="10"/>
      <c r="E293" s="10"/>
      <c r="F293" s="10"/>
      <c r="G293" s="10"/>
    </row>
    <row r="294" spans="1:7" s="11" customFormat="1" x14ac:dyDescent="0.55000000000000004">
      <c r="A294" s="9"/>
      <c r="B294" s="10"/>
      <c r="C294" s="10"/>
      <c r="D294" s="10"/>
      <c r="E294" s="10"/>
      <c r="F294" s="10"/>
      <c r="G294" s="10"/>
    </row>
    <row r="295" spans="1:7" s="11" customFormat="1" x14ac:dyDescent="0.55000000000000004">
      <c r="A295" s="9"/>
      <c r="B295" s="10"/>
      <c r="C295" s="10"/>
      <c r="D295" s="10"/>
      <c r="E295" s="10"/>
      <c r="F295" s="10"/>
      <c r="G295" s="10"/>
    </row>
    <row r="296" spans="1:7" s="11" customFormat="1" x14ac:dyDescent="0.55000000000000004">
      <c r="A296" s="9"/>
      <c r="B296" s="10"/>
      <c r="C296" s="10"/>
      <c r="D296" s="10"/>
      <c r="E296" s="10"/>
      <c r="F296" s="10"/>
      <c r="G296" s="10"/>
    </row>
    <row r="297" spans="1:7" s="11" customFormat="1" x14ac:dyDescent="0.55000000000000004">
      <c r="A297" s="9"/>
      <c r="B297" s="10"/>
      <c r="C297" s="10"/>
      <c r="D297" s="10"/>
      <c r="E297" s="10"/>
      <c r="F297" s="10"/>
      <c r="G297" s="10"/>
    </row>
    <row r="298" spans="1:7" s="11" customFormat="1" x14ac:dyDescent="0.55000000000000004">
      <c r="A298" s="9"/>
      <c r="B298" s="10"/>
      <c r="C298" s="10"/>
      <c r="D298" s="10"/>
      <c r="E298" s="10"/>
      <c r="F298" s="10"/>
      <c r="G298" s="10"/>
    </row>
    <row r="299" spans="1:7" s="11" customFormat="1" x14ac:dyDescent="0.55000000000000004">
      <c r="A299" s="9"/>
      <c r="B299" s="10"/>
      <c r="C299" s="10"/>
      <c r="D299" s="10"/>
      <c r="E299" s="10"/>
      <c r="F299" s="10"/>
      <c r="G299" s="10"/>
    </row>
    <row r="300" spans="1:7" s="11" customFormat="1" x14ac:dyDescent="0.55000000000000004">
      <c r="A300" s="9"/>
      <c r="B300" s="10"/>
      <c r="C300" s="10"/>
      <c r="D300" s="10"/>
      <c r="E300" s="10"/>
      <c r="F300" s="10"/>
      <c r="G300" s="10"/>
    </row>
    <row r="301" spans="1:7" s="11" customFormat="1" x14ac:dyDescent="0.55000000000000004">
      <c r="A301" s="9"/>
      <c r="B301" s="10"/>
      <c r="C301" s="10"/>
      <c r="D301" s="10"/>
      <c r="E301" s="10"/>
      <c r="F301" s="10"/>
      <c r="G301" s="10"/>
    </row>
    <row r="302" spans="1:7" s="11" customFormat="1" x14ac:dyDescent="0.55000000000000004">
      <c r="A302" s="9"/>
      <c r="B302" s="10"/>
      <c r="C302" s="10"/>
      <c r="D302" s="10"/>
      <c r="E302" s="10"/>
      <c r="F302" s="10"/>
      <c r="G302" s="10"/>
    </row>
    <row r="303" spans="1:7" s="11" customFormat="1" x14ac:dyDescent="0.55000000000000004">
      <c r="A303" s="9"/>
      <c r="B303" s="10"/>
      <c r="C303" s="10"/>
      <c r="D303" s="10"/>
      <c r="E303" s="10"/>
      <c r="F303" s="10"/>
      <c r="G303" s="10"/>
    </row>
    <row r="304" spans="1:7" s="11" customFormat="1" x14ac:dyDescent="0.55000000000000004">
      <c r="A304" s="9"/>
      <c r="B304" s="10"/>
      <c r="C304" s="10"/>
      <c r="D304" s="10"/>
      <c r="E304" s="10"/>
      <c r="F304" s="10"/>
      <c r="G304" s="10"/>
    </row>
    <row r="305" spans="1:7" s="11" customFormat="1" x14ac:dyDescent="0.55000000000000004">
      <c r="A305" s="9"/>
      <c r="B305" s="10"/>
      <c r="C305" s="10"/>
      <c r="D305" s="10"/>
      <c r="E305" s="10"/>
      <c r="F305" s="10"/>
      <c r="G305" s="10"/>
    </row>
    <row r="306" spans="1:7" s="11" customFormat="1" x14ac:dyDescent="0.55000000000000004">
      <c r="A306" s="9"/>
      <c r="B306" s="10"/>
      <c r="C306" s="10"/>
      <c r="D306" s="10"/>
      <c r="E306" s="10"/>
      <c r="F306" s="10"/>
      <c r="G306" s="10"/>
    </row>
    <row r="307" spans="1:7" s="11" customFormat="1" x14ac:dyDescent="0.55000000000000004">
      <c r="A307" s="9"/>
      <c r="B307" s="10"/>
      <c r="C307" s="10"/>
      <c r="D307" s="10"/>
      <c r="E307" s="10"/>
      <c r="F307" s="10"/>
      <c r="G307" s="10"/>
    </row>
    <row r="308" spans="1:7" s="11" customFormat="1" x14ac:dyDescent="0.55000000000000004">
      <c r="A308" s="9"/>
      <c r="B308" s="10"/>
      <c r="C308" s="10"/>
      <c r="D308" s="10"/>
      <c r="E308" s="10"/>
      <c r="F308" s="10"/>
      <c r="G308" s="10"/>
    </row>
    <row r="309" spans="1:7" s="11" customFormat="1" x14ac:dyDescent="0.55000000000000004">
      <c r="A309" s="9"/>
      <c r="B309" s="10"/>
      <c r="C309" s="10"/>
      <c r="D309" s="10"/>
      <c r="E309" s="10"/>
      <c r="F309" s="10"/>
      <c r="G309" s="10"/>
    </row>
    <row r="310" spans="1:7" s="11" customFormat="1" x14ac:dyDescent="0.55000000000000004">
      <c r="A310" s="9"/>
      <c r="B310" s="10"/>
      <c r="C310" s="10"/>
      <c r="D310" s="10"/>
      <c r="E310" s="10"/>
      <c r="F310" s="10"/>
      <c r="G310" s="10"/>
    </row>
    <row r="311" spans="1:7" s="11" customFormat="1" x14ac:dyDescent="0.55000000000000004">
      <c r="A311" s="9"/>
      <c r="B311" s="10"/>
      <c r="C311" s="10"/>
      <c r="D311" s="10"/>
      <c r="E311" s="10"/>
      <c r="F311" s="10"/>
      <c r="G311" s="10"/>
    </row>
    <row r="312" spans="1:7" s="11" customFormat="1" x14ac:dyDescent="0.55000000000000004">
      <c r="A312" s="9"/>
      <c r="B312" s="10"/>
      <c r="C312" s="10"/>
      <c r="D312" s="10"/>
      <c r="E312" s="10"/>
      <c r="F312" s="10"/>
      <c r="G312" s="10"/>
    </row>
    <row r="313" spans="1:7" s="11" customFormat="1" x14ac:dyDescent="0.55000000000000004">
      <c r="A313" s="9"/>
      <c r="B313" s="10"/>
      <c r="C313" s="10"/>
      <c r="D313" s="10"/>
      <c r="E313" s="10"/>
      <c r="F313" s="10"/>
      <c r="G313" s="10"/>
    </row>
    <row r="314" spans="1:7" s="11" customFormat="1" x14ac:dyDescent="0.55000000000000004">
      <c r="A314" s="9"/>
      <c r="B314" s="10"/>
      <c r="C314" s="10"/>
      <c r="D314" s="10"/>
      <c r="E314" s="10"/>
      <c r="F314" s="10"/>
      <c r="G314" s="10"/>
    </row>
    <row r="315" spans="1:7" s="11" customFormat="1" x14ac:dyDescent="0.55000000000000004">
      <c r="A315" s="9"/>
      <c r="B315" s="10"/>
      <c r="C315" s="10"/>
      <c r="D315" s="10"/>
      <c r="E315" s="10"/>
      <c r="F315" s="10"/>
      <c r="G315" s="10"/>
    </row>
    <row r="316" spans="1:7" s="11" customFormat="1" x14ac:dyDescent="0.55000000000000004">
      <c r="A316" s="9"/>
      <c r="B316" s="10"/>
      <c r="C316" s="10"/>
      <c r="D316" s="10"/>
      <c r="E316" s="10"/>
      <c r="F316" s="10"/>
      <c r="G316" s="10"/>
    </row>
    <row r="317" spans="1:7" s="11" customFormat="1" x14ac:dyDescent="0.55000000000000004">
      <c r="A317" s="9"/>
      <c r="B317" s="10"/>
      <c r="C317" s="10"/>
      <c r="D317" s="10"/>
      <c r="E317" s="10"/>
      <c r="F317" s="10"/>
      <c r="G317" s="10"/>
    </row>
    <row r="318" spans="1:7" s="11" customFormat="1" x14ac:dyDescent="0.55000000000000004">
      <c r="A318" s="9"/>
      <c r="B318" s="10"/>
      <c r="C318" s="10"/>
      <c r="D318" s="10"/>
      <c r="E318" s="10"/>
      <c r="F318" s="10"/>
      <c r="G318" s="10"/>
    </row>
    <row r="319" spans="1:7" s="11" customFormat="1" x14ac:dyDescent="0.55000000000000004">
      <c r="A319" s="9"/>
      <c r="B319" s="10"/>
      <c r="C319" s="10"/>
      <c r="D319" s="10"/>
      <c r="E319" s="10"/>
      <c r="F319" s="10"/>
      <c r="G319" s="10"/>
    </row>
    <row r="320" spans="1:7" s="11" customFormat="1" x14ac:dyDescent="0.55000000000000004">
      <c r="A320" s="9"/>
      <c r="B320" s="10"/>
      <c r="C320" s="10"/>
      <c r="D320" s="10"/>
      <c r="E320" s="10"/>
      <c r="F320" s="10"/>
      <c r="G320" s="10"/>
    </row>
    <row r="321" spans="1:7" s="11" customFormat="1" x14ac:dyDescent="0.55000000000000004">
      <c r="A321" s="9"/>
      <c r="B321" s="10"/>
      <c r="C321" s="10"/>
      <c r="D321" s="10"/>
      <c r="E321" s="10"/>
      <c r="F321" s="10"/>
      <c r="G321" s="10"/>
    </row>
    <row r="322" spans="1:7" s="11" customFormat="1" x14ac:dyDescent="0.55000000000000004">
      <c r="A322" s="9"/>
      <c r="B322" s="10"/>
      <c r="C322" s="10"/>
      <c r="D322" s="10"/>
      <c r="E322" s="10"/>
      <c r="F322" s="10"/>
      <c r="G322" s="10"/>
    </row>
    <row r="323" spans="1:7" s="11" customFormat="1" x14ac:dyDescent="0.55000000000000004">
      <c r="A323" s="9"/>
      <c r="B323" s="10"/>
      <c r="C323" s="10"/>
      <c r="D323" s="10"/>
      <c r="E323" s="10"/>
      <c r="F323" s="10"/>
      <c r="G323" s="10"/>
    </row>
    <row r="324" spans="1:7" s="11" customFormat="1" x14ac:dyDescent="0.55000000000000004">
      <c r="A324" s="9"/>
      <c r="B324" s="10"/>
      <c r="C324" s="10"/>
      <c r="D324" s="10"/>
      <c r="E324" s="10"/>
      <c r="F324" s="10"/>
      <c r="G324" s="10"/>
    </row>
    <row r="325" spans="1:7" s="11" customFormat="1" x14ac:dyDescent="0.55000000000000004">
      <c r="A325" s="9"/>
      <c r="B325" s="10"/>
      <c r="C325" s="10"/>
      <c r="D325" s="10"/>
      <c r="E325" s="10"/>
      <c r="F325" s="10"/>
      <c r="G325" s="10"/>
    </row>
    <row r="326" spans="1:7" s="11" customFormat="1" x14ac:dyDescent="0.55000000000000004">
      <c r="A326" s="9"/>
      <c r="B326" s="10"/>
      <c r="C326" s="10"/>
      <c r="D326" s="10"/>
      <c r="E326" s="10"/>
      <c r="F326" s="10"/>
      <c r="G326" s="10"/>
    </row>
    <row r="327" spans="1:7" s="11" customFormat="1" x14ac:dyDescent="0.55000000000000004">
      <c r="A327" s="9"/>
      <c r="B327" s="10"/>
      <c r="C327" s="10"/>
      <c r="D327" s="10"/>
      <c r="E327" s="10"/>
      <c r="F327" s="10"/>
      <c r="G327" s="10"/>
    </row>
    <row r="328" spans="1:7" s="11" customFormat="1" x14ac:dyDescent="0.55000000000000004">
      <c r="A328" s="9"/>
      <c r="B328" s="10"/>
      <c r="C328" s="10"/>
      <c r="D328" s="10"/>
      <c r="E328" s="10"/>
      <c r="F328" s="10"/>
      <c r="G328" s="10"/>
    </row>
    <row r="329" spans="1:7" s="11" customFormat="1" x14ac:dyDescent="0.55000000000000004">
      <c r="A329" s="9"/>
      <c r="B329" s="10"/>
      <c r="C329" s="10"/>
      <c r="D329" s="10"/>
      <c r="E329" s="10"/>
      <c r="F329" s="10"/>
      <c r="G329" s="10"/>
    </row>
    <row r="330" spans="1:7" s="11" customFormat="1" x14ac:dyDescent="0.55000000000000004">
      <c r="A330" s="9"/>
      <c r="B330" s="10"/>
      <c r="C330" s="10"/>
      <c r="D330" s="10"/>
      <c r="E330" s="10"/>
      <c r="F330" s="10"/>
      <c r="G330" s="10"/>
    </row>
    <row r="331" spans="1:7" s="11" customFormat="1" x14ac:dyDescent="0.55000000000000004">
      <c r="A331" s="9"/>
      <c r="B331" s="10"/>
      <c r="C331" s="10"/>
      <c r="D331" s="10"/>
      <c r="E331" s="10"/>
      <c r="F331" s="10"/>
      <c r="G331" s="10"/>
    </row>
    <row r="332" spans="1:7" s="11" customFormat="1" x14ac:dyDescent="0.55000000000000004">
      <c r="A332" s="9"/>
      <c r="B332" s="10"/>
      <c r="C332" s="10"/>
      <c r="D332" s="10"/>
      <c r="E332" s="10"/>
      <c r="F332" s="10"/>
      <c r="G332" s="10"/>
    </row>
    <row r="333" spans="1:7" s="11" customFormat="1" x14ac:dyDescent="0.55000000000000004">
      <c r="A333" s="9"/>
      <c r="B333" s="10"/>
      <c r="C333" s="10"/>
      <c r="D333" s="10"/>
      <c r="E333" s="10"/>
      <c r="F333" s="10"/>
      <c r="G333" s="10"/>
    </row>
    <row r="334" spans="1:7" s="11" customFormat="1" x14ac:dyDescent="0.55000000000000004">
      <c r="A334" s="9"/>
      <c r="B334" s="10"/>
      <c r="C334" s="10"/>
      <c r="D334" s="10"/>
      <c r="E334" s="10"/>
      <c r="F334" s="10"/>
      <c r="G334" s="10"/>
    </row>
    <row r="335" spans="1:7" s="11" customFormat="1" x14ac:dyDescent="0.55000000000000004">
      <c r="A335" s="9"/>
      <c r="B335" s="10"/>
      <c r="C335" s="10"/>
      <c r="D335" s="10"/>
      <c r="E335" s="10"/>
      <c r="F335" s="10"/>
      <c r="G335" s="10"/>
    </row>
    <row r="336" spans="1:7" s="11" customFormat="1" x14ac:dyDescent="0.55000000000000004">
      <c r="A336" s="9"/>
      <c r="B336" s="10"/>
      <c r="C336" s="10"/>
      <c r="D336" s="10"/>
      <c r="E336" s="10"/>
      <c r="F336" s="10"/>
      <c r="G336" s="10"/>
    </row>
    <row r="337" spans="1:7" s="11" customFormat="1" x14ac:dyDescent="0.55000000000000004">
      <c r="A337" s="9"/>
      <c r="B337" s="10"/>
      <c r="C337" s="10"/>
      <c r="D337" s="10"/>
      <c r="E337" s="10"/>
      <c r="F337" s="10"/>
      <c r="G337" s="10"/>
    </row>
    <row r="338" spans="1:7" s="11" customFormat="1" x14ac:dyDescent="0.55000000000000004">
      <c r="A338" s="9"/>
      <c r="B338" s="10"/>
      <c r="C338" s="10"/>
      <c r="D338" s="10"/>
      <c r="E338" s="10"/>
      <c r="F338" s="10"/>
      <c r="G338" s="10"/>
    </row>
    <row r="339" spans="1:7" s="11" customFormat="1" x14ac:dyDescent="0.55000000000000004">
      <c r="A339" s="9"/>
      <c r="B339" s="10"/>
      <c r="C339" s="10"/>
      <c r="D339" s="10"/>
      <c r="E339" s="10"/>
      <c r="F339" s="10"/>
      <c r="G339" s="10"/>
    </row>
    <row r="340" spans="1:7" s="11" customFormat="1" x14ac:dyDescent="0.55000000000000004">
      <c r="A340" s="9"/>
      <c r="B340" s="10"/>
      <c r="C340" s="10"/>
      <c r="D340" s="10"/>
      <c r="E340" s="10"/>
      <c r="F340" s="10"/>
      <c r="G340" s="10"/>
    </row>
    <row r="341" spans="1:7" s="11" customFormat="1" x14ac:dyDescent="0.55000000000000004">
      <c r="A341" s="9"/>
      <c r="B341" s="10"/>
      <c r="C341" s="10"/>
      <c r="D341" s="10"/>
      <c r="E341" s="10"/>
      <c r="F341" s="10"/>
      <c r="G341" s="10"/>
    </row>
    <row r="342" spans="1:7" s="11" customFormat="1" x14ac:dyDescent="0.55000000000000004">
      <c r="A342" s="9"/>
      <c r="B342" s="10"/>
      <c r="C342" s="10"/>
      <c r="D342" s="10"/>
      <c r="E342" s="10"/>
      <c r="F342" s="10"/>
      <c r="G342" s="10"/>
    </row>
    <row r="343" spans="1:7" s="11" customFormat="1" x14ac:dyDescent="0.55000000000000004">
      <c r="A343" s="9"/>
      <c r="B343" s="10"/>
      <c r="C343" s="10"/>
      <c r="D343" s="10"/>
      <c r="E343" s="10"/>
      <c r="F343" s="10"/>
      <c r="G343" s="10"/>
    </row>
    <row r="344" spans="1:7" s="11" customFormat="1" x14ac:dyDescent="0.55000000000000004">
      <c r="A344" s="9"/>
      <c r="B344" s="10"/>
      <c r="C344" s="10"/>
      <c r="D344" s="10"/>
      <c r="E344" s="10"/>
      <c r="F344" s="10"/>
      <c r="G344" s="10"/>
    </row>
    <row r="345" spans="1:7" s="11" customFormat="1" x14ac:dyDescent="0.55000000000000004">
      <c r="A345" s="9"/>
      <c r="B345" s="10"/>
      <c r="C345" s="10"/>
      <c r="D345" s="10"/>
      <c r="E345" s="10"/>
      <c r="F345" s="10"/>
      <c r="G345" s="10"/>
    </row>
    <row r="346" spans="1:7" s="11" customFormat="1" x14ac:dyDescent="0.55000000000000004">
      <c r="A346" s="9"/>
      <c r="B346" s="10"/>
      <c r="C346" s="10"/>
      <c r="D346" s="10"/>
      <c r="E346" s="10"/>
      <c r="F346" s="10"/>
      <c r="G346" s="10"/>
    </row>
    <row r="347" spans="1:7" s="11" customFormat="1" x14ac:dyDescent="0.55000000000000004">
      <c r="A347" s="9"/>
      <c r="B347" s="10"/>
      <c r="C347" s="10"/>
      <c r="D347" s="10"/>
      <c r="E347" s="10"/>
      <c r="F347" s="10"/>
      <c r="G347" s="10"/>
    </row>
    <row r="348" spans="1:7" s="11" customFormat="1" x14ac:dyDescent="0.55000000000000004">
      <c r="A348" s="9"/>
      <c r="B348" s="10"/>
      <c r="C348" s="10"/>
      <c r="D348" s="10"/>
      <c r="E348" s="10"/>
      <c r="F348" s="10"/>
      <c r="G348" s="10"/>
    </row>
    <row r="349" spans="1:7" s="11" customFormat="1" x14ac:dyDescent="0.55000000000000004">
      <c r="A349" s="9"/>
      <c r="B349" s="10"/>
      <c r="C349" s="10"/>
      <c r="D349" s="10"/>
      <c r="E349" s="10"/>
      <c r="F349" s="10"/>
      <c r="G349" s="10"/>
    </row>
    <row r="350" spans="1:7" s="11" customFormat="1" x14ac:dyDescent="0.55000000000000004">
      <c r="A350" s="9"/>
      <c r="B350" s="10"/>
      <c r="C350" s="10"/>
      <c r="D350" s="10"/>
      <c r="E350" s="10"/>
      <c r="F350" s="10"/>
      <c r="G350" s="10"/>
    </row>
    <row r="351" spans="1:7" s="11" customFormat="1" x14ac:dyDescent="0.55000000000000004">
      <c r="A351" s="9"/>
      <c r="B351" s="10"/>
      <c r="C351" s="10"/>
      <c r="D351" s="10"/>
      <c r="E351" s="10"/>
      <c r="F351" s="10"/>
      <c r="G351" s="10"/>
    </row>
    <row r="352" spans="1:7" s="11" customFormat="1" x14ac:dyDescent="0.55000000000000004">
      <c r="A352" s="9"/>
      <c r="B352" s="10"/>
      <c r="C352" s="10"/>
      <c r="D352" s="10"/>
      <c r="E352" s="10"/>
      <c r="F352" s="10"/>
      <c r="G352" s="10"/>
    </row>
    <row r="353" spans="1:7" s="11" customFormat="1" x14ac:dyDescent="0.55000000000000004">
      <c r="A353" s="9"/>
      <c r="B353" s="10"/>
      <c r="C353" s="10"/>
      <c r="D353" s="10"/>
      <c r="E353" s="10"/>
      <c r="F353" s="10"/>
      <c r="G353" s="10"/>
    </row>
    <row r="354" spans="1:7" s="11" customFormat="1" x14ac:dyDescent="0.55000000000000004">
      <c r="A354" s="9"/>
      <c r="B354" s="10"/>
      <c r="C354" s="10"/>
      <c r="D354" s="10"/>
      <c r="E354" s="10"/>
      <c r="F354" s="10"/>
      <c r="G354" s="10"/>
    </row>
    <row r="355" spans="1:7" s="11" customFormat="1" x14ac:dyDescent="0.55000000000000004">
      <c r="A355" s="9"/>
      <c r="B355" s="10"/>
      <c r="C355" s="10"/>
      <c r="D355" s="10"/>
      <c r="E355" s="10"/>
      <c r="F355" s="10"/>
      <c r="G355" s="10"/>
    </row>
    <row r="356" spans="1:7" s="11" customFormat="1" x14ac:dyDescent="0.55000000000000004">
      <c r="A356" s="9"/>
      <c r="B356" s="10"/>
      <c r="C356" s="10"/>
      <c r="D356" s="10"/>
      <c r="E356" s="10"/>
      <c r="F356" s="10"/>
      <c r="G356" s="10"/>
    </row>
    <row r="357" spans="1:7" s="11" customFormat="1" x14ac:dyDescent="0.55000000000000004">
      <c r="A357" s="9"/>
      <c r="B357" s="10"/>
      <c r="C357" s="10"/>
      <c r="D357" s="10"/>
      <c r="E357" s="10"/>
      <c r="F357" s="10"/>
      <c r="G357" s="10"/>
    </row>
    <row r="358" spans="1:7" s="11" customFormat="1" x14ac:dyDescent="0.55000000000000004">
      <c r="A358" s="9"/>
      <c r="B358" s="10"/>
      <c r="C358" s="10"/>
      <c r="D358" s="10"/>
      <c r="E358" s="10"/>
      <c r="F358" s="10"/>
      <c r="G358" s="10"/>
    </row>
    <row r="359" spans="1:7" s="11" customFormat="1" x14ac:dyDescent="0.55000000000000004">
      <c r="A359" s="9"/>
      <c r="B359" s="10"/>
      <c r="C359" s="10"/>
      <c r="D359" s="10"/>
      <c r="E359" s="10"/>
      <c r="F359" s="10"/>
      <c r="G359" s="10"/>
    </row>
    <row r="360" spans="1:7" s="11" customFormat="1" x14ac:dyDescent="0.55000000000000004">
      <c r="A360" s="9"/>
      <c r="B360" s="10"/>
      <c r="C360" s="10"/>
      <c r="D360" s="10"/>
      <c r="E360" s="10"/>
      <c r="F360" s="10"/>
      <c r="G360" s="10"/>
    </row>
    <row r="361" spans="1:7" s="11" customFormat="1" x14ac:dyDescent="0.55000000000000004">
      <c r="A361" s="9"/>
      <c r="B361" s="10"/>
      <c r="C361" s="10"/>
      <c r="D361" s="10"/>
      <c r="E361" s="10"/>
      <c r="F361" s="10"/>
      <c r="G361" s="10"/>
    </row>
    <row r="362" spans="1:7" s="11" customFormat="1" x14ac:dyDescent="0.55000000000000004">
      <c r="A362" s="9"/>
      <c r="B362" s="10"/>
      <c r="C362" s="10"/>
      <c r="D362" s="10"/>
      <c r="E362" s="10"/>
      <c r="F362" s="10"/>
      <c r="G362" s="10"/>
    </row>
    <row r="363" spans="1:7" s="11" customFormat="1" x14ac:dyDescent="0.55000000000000004">
      <c r="A363" s="9"/>
      <c r="B363" s="10"/>
      <c r="C363" s="10"/>
      <c r="D363" s="10"/>
      <c r="E363" s="10"/>
      <c r="F363" s="10"/>
      <c r="G363" s="10"/>
    </row>
    <row r="364" spans="1:7" s="11" customFormat="1" x14ac:dyDescent="0.55000000000000004">
      <c r="A364" s="9"/>
      <c r="B364" s="10"/>
      <c r="C364" s="10"/>
      <c r="D364" s="10"/>
      <c r="E364" s="10"/>
      <c r="F364" s="10"/>
      <c r="G364" s="10"/>
    </row>
    <row r="365" spans="1:7" s="11" customFormat="1" x14ac:dyDescent="0.55000000000000004">
      <c r="A365" s="9"/>
      <c r="B365" s="10"/>
      <c r="C365" s="10"/>
      <c r="D365" s="10"/>
      <c r="E365" s="10"/>
      <c r="F365" s="10"/>
      <c r="G365" s="10"/>
    </row>
    <row r="366" spans="1:7" s="11" customFormat="1" x14ac:dyDescent="0.55000000000000004">
      <c r="A366" s="9"/>
      <c r="B366" s="10"/>
      <c r="C366" s="10"/>
      <c r="D366" s="10"/>
      <c r="E366" s="10"/>
      <c r="F366" s="10"/>
      <c r="G366" s="10"/>
    </row>
    <row r="367" spans="1:7" s="11" customFormat="1" x14ac:dyDescent="0.55000000000000004">
      <c r="A367" s="9"/>
      <c r="B367" s="10"/>
      <c r="C367" s="10"/>
      <c r="D367" s="10"/>
      <c r="E367" s="10"/>
      <c r="F367" s="10"/>
      <c r="G367" s="10"/>
    </row>
    <row r="368" spans="1:7" s="11" customFormat="1" x14ac:dyDescent="0.55000000000000004">
      <c r="A368" s="9"/>
      <c r="B368" s="10"/>
      <c r="C368" s="10"/>
      <c r="D368" s="10"/>
      <c r="E368" s="10"/>
      <c r="F368" s="10"/>
      <c r="G368" s="10"/>
    </row>
    <row r="369" spans="1:7" s="11" customFormat="1" x14ac:dyDescent="0.55000000000000004">
      <c r="A369" s="9"/>
      <c r="B369" s="10"/>
      <c r="C369" s="10"/>
      <c r="D369" s="10"/>
      <c r="E369" s="10"/>
      <c r="F369" s="10"/>
      <c r="G369" s="10"/>
    </row>
    <row r="370" spans="1:7" s="11" customFormat="1" x14ac:dyDescent="0.55000000000000004">
      <c r="A370" s="9"/>
      <c r="B370" s="10"/>
      <c r="C370" s="10"/>
      <c r="D370" s="10"/>
      <c r="E370" s="10"/>
      <c r="F370" s="10"/>
      <c r="G370" s="10"/>
    </row>
    <row r="371" spans="1:7" s="11" customFormat="1" x14ac:dyDescent="0.55000000000000004">
      <c r="A371" s="9"/>
      <c r="B371" s="10"/>
      <c r="C371" s="10"/>
      <c r="D371" s="10"/>
      <c r="E371" s="10"/>
      <c r="F371" s="10"/>
      <c r="G371" s="10"/>
    </row>
    <row r="372" spans="1:7" s="11" customFormat="1" x14ac:dyDescent="0.55000000000000004">
      <c r="A372" s="9"/>
      <c r="B372" s="10"/>
      <c r="C372" s="10"/>
      <c r="D372" s="10"/>
      <c r="E372" s="10"/>
      <c r="F372" s="10"/>
      <c r="G372" s="10"/>
    </row>
    <row r="373" spans="1:7" s="11" customFormat="1" x14ac:dyDescent="0.55000000000000004">
      <c r="A373" s="9"/>
      <c r="B373" s="10"/>
      <c r="C373" s="10"/>
      <c r="D373" s="10"/>
      <c r="E373" s="10"/>
      <c r="F373" s="10"/>
      <c r="G373" s="10"/>
    </row>
    <row r="374" spans="1:7" s="11" customFormat="1" x14ac:dyDescent="0.55000000000000004">
      <c r="A374" s="9"/>
      <c r="B374" s="10"/>
      <c r="C374" s="10"/>
      <c r="D374" s="10"/>
      <c r="E374" s="10"/>
      <c r="F374" s="10"/>
      <c r="G374" s="10"/>
    </row>
    <row r="375" spans="1:7" s="11" customFormat="1" x14ac:dyDescent="0.55000000000000004">
      <c r="A375" s="9"/>
      <c r="B375" s="10"/>
      <c r="C375" s="10"/>
      <c r="D375" s="10"/>
      <c r="E375" s="10"/>
      <c r="F375" s="10"/>
      <c r="G375" s="10"/>
    </row>
    <row r="376" spans="1:7" s="11" customFormat="1" x14ac:dyDescent="0.55000000000000004">
      <c r="A376" s="9"/>
      <c r="B376" s="10"/>
      <c r="C376" s="10"/>
      <c r="D376" s="10"/>
      <c r="E376" s="10"/>
      <c r="F376" s="10"/>
      <c r="G376" s="10"/>
    </row>
    <row r="377" spans="1:7" s="11" customFormat="1" x14ac:dyDescent="0.55000000000000004">
      <c r="A377" s="9"/>
      <c r="B377" s="10"/>
      <c r="C377" s="10"/>
      <c r="D377" s="10"/>
      <c r="E377" s="10"/>
      <c r="F377" s="10"/>
      <c r="G377" s="10"/>
    </row>
    <row r="378" spans="1:7" s="11" customFormat="1" x14ac:dyDescent="0.55000000000000004">
      <c r="A378" s="9"/>
      <c r="B378" s="10"/>
      <c r="C378" s="10"/>
      <c r="D378" s="10"/>
      <c r="E378" s="10"/>
      <c r="F378" s="10"/>
      <c r="G378" s="10"/>
    </row>
    <row r="379" spans="1:7" s="11" customFormat="1" x14ac:dyDescent="0.55000000000000004">
      <c r="A379" s="9"/>
      <c r="B379" s="10"/>
      <c r="C379" s="10"/>
      <c r="D379" s="10"/>
      <c r="E379" s="10"/>
      <c r="F379" s="10"/>
      <c r="G379" s="10"/>
    </row>
    <row r="380" spans="1:7" s="11" customFormat="1" x14ac:dyDescent="0.55000000000000004">
      <c r="A380" s="9"/>
      <c r="B380" s="10"/>
      <c r="C380" s="10"/>
      <c r="D380" s="10"/>
      <c r="E380" s="10"/>
      <c r="F380" s="10"/>
      <c r="G380" s="10"/>
    </row>
    <row r="381" spans="1:7" s="11" customFormat="1" x14ac:dyDescent="0.55000000000000004">
      <c r="A381" s="9"/>
      <c r="B381" s="10"/>
      <c r="C381" s="10"/>
      <c r="D381" s="10"/>
      <c r="E381" s="10"/>
      <c r="F381" s="10"/>
      <c r="G381" s="10"/>
    </row>
    <row r="382" spans="1:7" s="11" customFormat="1" x14ac:dyDescent="0.55000000000000004">
      <c r="A382" s="9"/>
      <c r="B382" s="10"/>
      <c r="C382" s="10"/>
      <c r="D382" s="10"/>
      <c r="E382" s="10"/>
      <c r="F382" s="10"/>
      <c r="G382" s="10"/>
    </row>
    <row r="383" spans="1:7" s="11" customFormat="1" x14ac:dyDescent="0.55000000000000004">
      <c r="A383" s="9"/>
      <c r="B383" s="10"/>
      <c r="C383" s="10"/>
      <c r="D383" s="10"/>
      <c r="E383" s="10"/>
      <c r="F383" s="10"/>
      <c r="G383" s="10"/>
    </row>
    <row r="384" spans="1:7" s="11" customFormat="1" x14ac:dyDescent="0.55000000000000004">
      <c r="A384" s="9"/>
      <c r="B384" s="10"/>
      <c r="C384" s="10"/>
      <c r="D384" s="10"/>
      <c r="E384" s="10"/>
      <c r="F384" s="10"/>
      <c r="G384" s="10"/>
    </row>
    <row r="385" spans="1:7" s="11" customFormat="1" x14ac:dyDescent="0.55000000000000004">
      <c r="A385" s="9"/>
      <c r="B385" s="10"/>
      <c r="C385" s="10"/>
      <c r="D385" s="10"/>
      <c r="E385" s="10"/>
      <c r="F385" s="10"/>
      <c r="G385" s="10"/>
    </row>
    <row r="386" spans="1:7" s="11" customFormat="1" x14ac:dyDescent="0.55000000000000004">
      <c r="A386" s="9"/>
      <c r="B386" s="10"/>
      <c r="C386" s="10"/>
      <c r="D386" s="10"/>
      <c r="E386" s="10"/>
      <c r="F386" s="10"/>
      <c r="G386" s="10"/>
    </row>
    <row r="387" spans="1:7" s="11" customFormat="1" x14ac:dyDescent="0.55000000000000004">
      <c r="A387" s="9"/>
      <c r="B387" s="10"/>
      <c r="C387" s="10"/>
      <c r="D387" s="10"/>
      <c r="E387" s="10"/>
      <c r="F387" s="10"/>
      <c r="G387" s="10"/>
    </row>
    <row r="388" spans="1:7" s="11" customFormat="1" x14ac:dyDescent="0.55000000000000004">
      <c r="A388" s="9"/>
      <c r="B388" s="10"/>
      <c r="C388" s="10"/>
      <c r="D388" s="10"/>
      <c r="E388" s="10"/>
      <c r="F388" s="10"/>
      <c r="G388" s="10"/>
    </row>
    <row r="389" spans="1:7" s="11" customFormat="1" x14ac:dyDescent="0.55000000000000004">
      <c r="A389" s="9"/>
      <c r="B389" s="10"/>
      <c r="C389" s="10"/>
      <c r="D389" s="10"/>
      <c r="E389" s="10"/>
      <c r="F389" s="10"/>
      <c r="G389" s="10"/>
    </row>
    <row r="390" spans="1:7" s="11" customFormat="1" x14ac:dyDescent="0.55000000000000004">
      <c r="A390" s="9"/>
      <c r="B390" s="10"/>
      <c r="C390" s="10"/>
      <c r="D390" s="10"/>
      <c r="E390" s="10"/>
      <c r="F390" s="10"/>
      <c r="G390" s="10"/>
    </row>
    <row r="391" spans="1:7" s="11" customFormat="1" x14ac:dyDescent="0.55000000000000004">
      <c r="A391" s="9"/>
      <c r="B391" s="10"/>
      <c r="C391" s="10"/>
      <c r="D391" s="10"/>
      <c r="E391" s="10"/>
      <c r="F391" s="10"/>
      <c r="G391" s="10"/>
    </row>
    <row r="392" spans="1:7" s="11" customFormat="1" x14ac:dyDescent="0.55000000000000004">
      <c r="A392" s="9"/>
      <c r="B392" s="10"/>
      <c r="C392" s="10"/>
      <c r="D392" s="10"/>
      <c r="E392" s="10"/>
      <c r="F392" s="10"/>
      <c r="G392" s="10"/>
    </row>
    <row r="393" spans="1:7" s="11" customFormat="1" x14ac:dyDescent="0.55000000000000004">
      <c r="A393" s="9"/>
      <c r="B393" s="10"/>
      <c r="C393" s="10"/>
      <c r="D393" s="10"/>
      <c r="E393" s="10"/>
      <c r="F393" s="10"/>
      <c r="G393" s="10"/>
    </row>
    <row r="394" spans="1:7" s="11" customFormat="1" x14ac:dyDescent="0.55000000000000004">
      <c r="A394" s="9"/>
      <c r="B394" s="10"/>
      <c r="C394" s="10"/>
      <c r="D394" s="10"/>
      <c r="E394" s="10"/>
      <c r="F394" s="10"/>
      <c r="G394" s="10"/>
    </row>
    <row r="395" spans="1:7" s="11" customFormat="1" x14ac:dyDescent="0.55000000000000004">
      <c r="A395" s="9"/>
      <c r="B395" s="10"/>
      <c r="C395" s="10"/>
      <c r="D395" s="10"/>
      <c r="E395" s="10"/>
      <c r="F395" s="10"/>
      <c r="G395" s="10"/>
    </row>
    <row r="396" spans="1:7" s="11" customFormat="1" x14ac:dyDescent="0.55000000000000004">
      <c r="A396" s="9"/>
      <c r="B396" s="10"/>
      <c r="C396" s="10"/>
      <c r="D396" s="10"/>
      <c r="E396" s="10"/>
      <c r="F396" s="10"/>
      <c r="G396" s="10"/>
    </row>
    <row r="397" spans="1:7" s="11" customFormat="1" x14ac:dyDescent="0.55000000000000004">
      <c r="A397" s="9"/>
      <c r="B397" s="10"/>
      <c r="C397" s="10"/>
      <c r="D397" s="10"/>
      <c r="E397" s="10"/>
      <c r="F397" s="10"/>
      <c r="G397" s="10"/>
    </row>
    <row r="398" spans="1:7" s="11" customFormat="1" x14ac:dyDescent="0.55000000000000004">
      <c r="A398" s="9"/>
      <c r="B398" s="10"/>
      <c r="C398" s="10"/>
      <c r="D398" s="10"/>
      <c r="E398" s="10"/>
      <c r="F398" s="10"/>
      <c r="G398" s="10"/>
    </row>
    <row r="399" spans="1:7" s="11" customFormat="1" x14ac:dyDescent="0.55000000000000004">
      <c r="A399" s="9"/>
      <c r="B399" s="10"/>
      <c r="C399" s="10"/>
      <c r="D399" s="10"/>
      <c r="E399" s="10"/>
      <c r="F399" s="10"/>
      <c r="G399" s="10"/>
    </row>
    <row r="400" spans="1:7" s="11" customFormat="1" x14ac:dyDescent="0.55000000000000004">
      <c r="A400" s="9"/>
      <c r="B400" s="10"/>
      <c r="C400" s="10"/>
      <c r="D400" s="10"/>
      <c r="E400" s="10"/>
      <c r="F400" s="10"/>
      <c r="G400" s="10"/>
    </row>
    <row r="401" spans="1:7" s="11" customFormat="1" x14ac:dyDescent="0.55000000000000004">
      <c r="A401" s="9"/>
      <c r="B401" s="10"/>
      <c r="C401" s="10"/>
      <c r="D401" s="10"/>
      <c r="E401" s="10"/>
      <c r="F401" s="10"/>
      <c r="G401" s="10"/>
    </row>
    <row r="402" spans="1:7" s="11" customFormat="1" x14ac:dyDescent="0.55000000000000004">
      <c r="A402" s="9"/>
      <c r="B402" s="10"/>
      <c r="C402" s="10"/>
      <c r="D402" s="10"/>
      <c r="E402" s="10"/>
      <c r="F402" s="10"/>
      <c r="G402" s="10"/>
    </row>
    <row r="403" spans="1:7" s="11" customFormat="1" x14ac:dyDescent="0.55000000000000004">
      <c r="A403" s="9"/>
      <c r="B403" s="10"/>
      <c r="C403" s="10"/>
      <c r="D403" s="10"/>
      <c r="E403" s="10"/>
      <c r="F403" s="10"/>
      <c r="G403" s="10"/>
    </row>
    <row r="404" spans="1:7" s="11" customFormat="1" x14ac:dyDescent="0.55000000000000004">
      <c r="A404" s="9"/>
      <c r="B404" s="10"/>
      <c r="C404" s="10"/>
      <c r="D404" s="10"/>
      <c r="E404" s="10"/>
      <c r="F404" s="10"/>
      <c r="G404" s="10"/>
    </row>
    <row r="405" spans="1:7" s="11" customFormat="1" x14ac:dyDescent="0.55000000000000004">
      <c r="A405" s="9"/>
      <c r="B405" s="10"/>
      <c r="C405" s="10"/>
      <c r="D405" s="10"/>
      <c r="E405" s="10"/>
      <c r="F405" s="10"/>
      <c r="G405" s="10"/>
    </row>
    <row r="406" spans="1:7" s="11" customFormat="1" x14ac:dyDescent="0.55000000000000004">
      <c r="A406" s="9"/>
      <c r="B406" s="10"/>
      <c r="C406" s="10"/>
      <c r="D406" s="10"/>
      <c r="E406" s="10"/>
      <c r="F406" s="10"/>
      <c r="G406" s="10"/>
    </row>
    <row r="407" spans="1:7" s="11" customFormat="1" x14ac:dyDescent="0.55000000000000004">
      <c r="A407" s="9"/>
      <c r="B407" s="10"/>
      <c r="C407" s="10"/>
      <c r="D407" s="10"/>
      <c r="E407" s="10"/>
      <c r="F407" s="10"/>
      <c r="G407" s="10"/>
    </row>
    <row r="408" spans="1:7" s="11" customFormat="1" x14ac:dyDescent="0.55000000000000004">
      <c r="A408" s="9"/>
      <c r="B408" s="10"/>
      <c r="C408" s="10"/>
      <c r="D408" s="10"/>
      <c r="E408" s="10"/>
      <c r="F408" s="10"/>
      <c r="G408" s="10"/>
    </row>
    <row r="409" spans="1:7" s="11" customFormat="1" x14ac:dyDescent="0.55000000000000004">
      <c r="A409" s="9"/>
      <c r="B409" s="10"/>
      <c r="C409" s="10"/>
      <c r="D409" s="10"/>
      <c r="E409" s="10"/>
      <c r="F409" s="10"/>
      <c r="G409" s="10"/>
    </row>
    <row r="410" spans="1:7" s="11" customFormat="1" x14ac:dyDescent="0.55000000000000004">
      <c r="A410" s="9"/>
      <c r="B410" s="10"/>
      <c r="C410" s="10"/>
      <c r="D410" s="10"/>
      <c r="E410" s="10"/>
      <c r="F410" s="10"/>
      <c r="G410" s="10"/>
    </row>
    <row r="411" spans="1:7" s="11" customFormat="1" x14ac:dyDescent="0.55000000000000004">
      <c r="A411" s="9"/>
      <c r="B411" s="10"/>
      <c r="C411" s="10"/>
      <c r="D411" s="10"/>
      <c r="E411" s="10"/>
      <c r="F411" s="10"/>
      <c r="G411" s="10"/>
    </row>
    <row r="412" spans="1:7" s="11" customFormat="1" x14ac:dyDescent="0.55000000000000004">
      <c r="A412" s="9"/>
      <c r="B412" s="10"/>
      <c r="C412" s="10"/>
      <c r="D412" s="10"/>
      <c r="E412" s="10"/>
      <c r="F412" s="10"/>
      <c r="G412" s="10"/>
    </row>
    <row r="413" spans="1:7" s="11" customFormat="1" x14ac:dyDescent="0.55000000000000004">
      <c r="A413" s="9"/>
      <c r="B413" s="10"/>
      <c r="C413" s="10"/>
      <c r="D413" s="10"/>
      <c r="E413" s="10"/>
      <c r="F413" s="10"/>
      <c r="G413" s="10"/>
    </row>
    <row r="414" spans="1:7" s="11" customFormat="1" x14ac:dyDescent="0.55000000000000004">
      <c r="A414" s="9"/>
      <c r="B414" s="10"/>
      <c r="C414" s="10"/>
      <c r="D414" s="10"/>
      <c r="E414" s="10"/>
      <c r="F414" s="10"/>
      <c r="G414" s="10"/>
    </row>
    <row r="415" spans="1:7" s="11" customFormat="1" x14ac:dyDescent="0.55000000000000004">
      <c r="A415" s="9"/>
      <c r="B415" s="10"/>
      <c r="C415" s="10"/>
      <c r="D415" s="10"/>
      <c r="E415" s="10"/>
      <c r="F415" s="10"/>
      <c r="G415" s="10"/>
    </row>
    <row r="416" spans="1:7" s="11" customFormat="1" x14ac:dyDescent="0.55000000000000004">
      <c r="A416" s="9"/>
      <c r="B416" s="10"/>
      <c r="C416" s="10"/>
      <c r="D416" s="10"/>
      <c r="E416" s="10"/>
      <c r="F416" s="10"/>
      <c r="G416" s="10"/>
    </row>
    <row r="417" spans="1:7" s="11" customFormat="1" x14ac:dyDescent="0.55000000000000004">
      <c r="A417" s="9"/>
      <c r="B417" s="10"/>
      <c r="C417" s="10"/>
      <c r="D417" s="10"/>
      <c r="E417" s="10"/>
      <c r="F417" s="10"/>
      <c r="G417" s="10"/>
    </row>
    <row r="418" spans="1:7" s="11" customFormat="1" x14ac:dyDescent="0.55000000000000004">
      <c r="A418" s="9"/>
      <c r="B418" s="10"/>
      <c r="C418" s="10"/>
      <c r="D418" s="10"/>
      <c r="E418" s="10"/>
      <c r="F418" s="10"/>
      <c r="G418" s="10"/>
    </row>
    <row r="419" spans="1:7" s="11" customFormat="1" x14ac:dyDescent="0.55000000000000004">
      <c r="A419" s="9"/>
      <c r="B419" s="10"/>
      <c r="C419" s="10"/>
      <c r="D419" s="10"/>
      <c r="E419" s="10"/>
      <c r="F419" s="10"/>
      <c r="G419" s="10"/>
    </row>
    <row r="420" spans="1:7" s="11" customFormat="1" x14ac:dyDescent="0.55000000000000004">
      <c r="A420" s="9"/>
      <c r="B420" s="10"/>
      <c r="C420" s="10"/>
      <c r="D420" s="10"/>
      <c r="E420" s="10"/>
      <c r="F420" s="10"/>
      <c r="G420" s="10"/>
    </row>
    <row r="421" spans="1:7" s="11" customFormat="1" x14ac:dyDescent="0.55000000000000004">
      <c r="A421" s="9"/>
      <c r="B421" s="10"/>
      <c r="C421" s="10"/>
      <c r="D421" s="10"/>
      <c r="E421" s="10"/>
      <c r="F421" s="10"/>
      <c r="G421" s="10"/>
    </row>
    <row r="422" spans="1:7" s="11" customFormat="1" x14ac:dyDescent="0.55000000000000004">
      <c r="A422" s="9"/>
      <c r="B422" s="10"/>
      <c r="C422" s="10"/>
      <c r="D422" s="10"/>
      <c r="E422" s="10"/>
      <c r="F422" s="10"/>
      <c r="G422" s="10"/>
    </row>
    <row r="423" spans="1:7" s="11" customFormat="1" x14ac:dyDescent="0.55000000000000004">
      <c r="A423" s="9"/>
      <c r="B423" s="10"/>
      <c r="C423" s="10"/>
      <c r="D423" s="10"/>
      <c r="E423" s="10"/>
      <c r="F423" s="10"/>
      <c r="G423" s="10"/>
    </row>
    <row r="424" spans="1:7" s="11" customFormat="1" x14ac:dyDescent="0.55000000000000004">
      <c r="A424" s="9"/>
      <c r="B424" s="10"/>
      <c r="C424" s="10"/>
      <c r="D424" s="10"/>
      <c r="E424" s="10"/>
      <c r="F424" s="10"/>
      <c r="G424" s="10"/>
    </row>
    <row r="425" spans="1:7" s="11" customFormat="1" x14ac:dyDescent="0.55000000000000004">
      <c r="A425" s="9"/>
      <c r="B425" s="10"/>
      <c r="C425" s="10"/>
      <c r="D425" s="10"/>
      <c r="E425" s="10"/>
      <c r="F425" s="10"/>
      <c r="G425" s="10"/>
    </row>
    <row r="426" spans="1:7" s="11" customFormat="1" x14ac:dyDescent="0.55000000000000004">
      <c r="A426" s="9"/>
      <c r="B426" s="10"/>
      <c r="C426" s="10"/>
      <c r="D426" s="10"/>
      <c r="E426" s="10"/>
      <c r="F426" s="10"/>
      <c r="G426" s="10"/>
    </row>
    <row r="427" spans="1:7" s="11" customFormat="1" x14ac:dyDescent="0.55000000000000004">
      <c r="A427" s="9"/>
      <c r="B427" s="10"/>
      <c r="C427" s="10"/>
      <c r="D427" s="10"/>
      <c r="E427" s="10"/>
      <c r="F427" s="10"/>
      <c r="G427" s="10"/>
    </row>
    <row r="428" spans="1:7" s="11" customFormat="1" x14ac:dyDescent="0.55000000000000004">
      <c r="A428" s="9"/>
      <c r="B428" s="10"/>
      <c r="C428" s="10"/>
      <c r="D428" s="10"/>
      <c r="E428" s="10"/>
      <c r="F428" s="10"/>
      <c r="G428" s="10"/>
    </row>
    <row r="429" spans="1:7" s="11" customFormat="1" x14ac:dyDescent="0.55000000000000004">
      <c r="A429" s="9"/>
      <c r="B429" s="10"/>
      <c r="C429" s="10"/>
      <c r="D429" s="10"/>
      <c r="E429" s="10"/>
      <c r="F429" s="10"/>
      <c r="G429" s="10"/>
    </row>
    <row r="430" spans="1:7" s="11" customFormat="1" x14ac:dyDescent="0.55000000000000004">
      <c r="A430" s="9"/>
      <c r="B430" s="10"/>
      <c r="C430" s="10"/>
      <c r="D430" s="10"/>
      <c r="E430" s="10"/>
      <c r="F430" s="10"/>
      <c r="G430" s="10"/>
    </row>
    <row r="431" spans="1:7" s="11" customFormat="1" x14ac:dyDescent="0.55000000000000004">
      <c r="A431" s="9"/>
      <c r="B431" s="10"/>
      <c r="C431" s="10"/>
      <c r="D431" s="10"/>
      <c r="E431" s="10"/>
      <c r="F431" s="10"/>
      <c r="G431" s="10"/>
    </row>
    <row r="432" spans="1:7" s="11" customFormat="1" x14ac:dyDescent="0.55000000000000004">
      <c r="A432" s="9"/>
      <c r="B432" s="10"/>
      <c r="C432" s="10"/>
      <c r="D432" s="10"/>
      <c r="E432" s="10"/>
      <c r="F432" s="10"/>
      <c r="G432" s="10"/>
    </row>
    <row r="433" spans="1:7" s="11" customFormat="1" x14ac:dyDescent="0.55000000000000004">
      <c r="A433" s="9"/>
      <c r="B433" s="10"/>
      <c r="C433" s="10"/>
      <c r="D433" s="10"/>
      <c r="E433" s="10"/>
      <c r="F433" s="10"/>
      <c r="G433" s="10"/>
    </row>
    <row r="434" spans="1:7" s="11" customFormat="1" x14ac:dyDescent="0.55000000000000004">
      <c r="A434" s="9"/>
      <c r="B434" s="10"/>
      <c r="C434" s="10"/>
      <c r="D434" s="10"/>
      <c r="E434" s="10"/>
      <c r="F434" s="10"/>
      <c r="G434" s="10"/>
    </row>
    <row r="435" spans="1:7" s="11" customFormat="1" x14ac:dyDescent="0.55000000000000004">
      <c r="A435" s="9"/>
      <c r="B435" s="10"/>
      <c r="C435" s="10"/>
      <c r="D435" s="10"/>
      <c r="E435" s="10"/>
      <c r="F435" s="10"/>
      <c r="G435" s="10"/>
    </row>
    <row r="436" spans="1:7" s="11" customFormat="1" x14ac:dyDescent="0.55000000000000004">
      <c r="A436" s="9"/>
      <c r="B436" s="10"/>
      <c r="C436" s="10"/>
      <c r="D436" s="10"/>
      <c r="E436" s="10"/>
      <c r="F436" s="10"/>
      <c r="G436" s="10"/>
    </row>
    <row r="437" spans="1:7" s="11" customFormat="1" x14ac:dyDescent="0.55000000000000004">
      <c r="A437" s="9"/>
      <c r="B437" s="10"/>
      <c r="C437" s="10"/>
      <c r="D437" s="10"/>
      <c r="E437" s="10"/>
      <c r="F437" s="10"/>
      <c r="G437" s="10"/>
    </row>
    <row r="438" spans="1:7" s="11" customFormat="1" x14ac:dyDescent="0.55000000000000004">
      <c r="A438" s="9"/>
      <c r="B438" s="10"/>
      <c r="C438" s="10"/>
      <c r="D438" s="10"/>
      <c r="E438" s="10"/>
      <c r="F438" s="10"/>
      <c r="G438" s="10"/>
    </row>
    <row r="439" spans="1:7" s="11" customFormat="1" x14ac:dyDescent="0.55000000000000004">
      <c r="A439" s="9"/>
      <c r="B439" s="10"/>
      <c r="C439" s="10"/>
      <c r="D439" s="10"/>
      <c r="E439" s="10"/>
      <c r="F439" s="10"/>
      <c r="G439" s="10"/>
    </row>
    <row r="440" spans="1:7" s="11" customFormat="1" x14ac:dyDescent="0.55000000000000004">
      <c r="A440" s="9"/>
      <c r="B440" s="10"/>
      <c r="C440" s="10"/>
      <c r="D440" s="10"/>
      <c r="E440" s="10"/>
      <c r="F440" s="10"/>
      <c r="G440" s="10"/>
    </row>
    <row r="441" spans="1:7" s="11" customFormat="1" x14ac:dyDescent="0.55000000000000004">
      <c r="A441" s="9"/>
      <c r="B441" s="10"/>
      <c r="C441" s="10"/>
      <c r="D441" s="10"/>
      <c r="E441" s="10"/>
      <c r="F441" s="10"/>
      <c r="G441" s="10"/>
    </row>
    <row r="442" spans="1:7" s="11" customFormat="1" x14ac:dyDescent="0.55000000000000004">
      <c r="A442" s="9"/>
      <c r="B442" s="10"/>
      <c r="C442" s="10"/>
      <c r="D442" s="10"/>
      <c r="E442" s="10"/>
      <c r="F442" s="10"/>
      <c r="G442" s="10"/>
    </row>
    <row r="443" spans="1:7" s="11" customFormat="1" x14ac:dyDescent="0.55000000000000004">
      <c r="A443" s="9"/>
      <c r="B443" s="10"/>
      <c r="C443" s="10"/>
      <c r="D443" s="10"/>
      <c r="E443" s="10"/>
      <c r="F443" s="10"/>
      <c r="G443" s="10"/>
    </row>
    <row r="444" spans="1:7" s="11" customFormat="1" x14ac:dyDescent="0.55000000000000004">
      <c r="A444" s="9"/>
      <c r="B444" s="10"/>
      <c r="C444" s="10"/>
      <c r="D444" s="10"/>
      <c r="E444" s="10"/>
      <c r="F444" s="10"/>
      <c r="G444" s="10"/>
    </row>
    <row r="445" spans="1:7" s="11" customFormat="1" x14ac:dyDescent="0.55000000000000004">
      <c r="A445" s="9"/>
      <c r="B445" s="10"/>
      <c r="C445" s="10"/>
      <c r="D445" s="10"/>
      <c r="E445" s="10"/>
      <c r="F445" s="10"/>
      <c r="G445" s="10"/>
    </row>
    <row r="446" spans="1:7" s="11" customFormat="1" x14ac:dyDescent="0.55000000000000004">
      <c r="A446" s="9"/>
      <c r="B446" s="10"/>
      <c r="C446" s="10"/>
      <c r="D446" s="10"/>
      <c r="E446" s="10"/>
      <c r="F446" s="10"/>
      <c r="G446" s="10"/>
    </row>
    <row r="447" spans="1:7" s="11" customFormat="1" x14ac:dyDescent="0.55000000000000004">
      <c r="A447" s="9"/>
      <c r="B447" s="10"/>
      <c r="C447" s="10"/>
      <c r="D447" s="10"/>
      <c r="E447" s="10"/>
      <c r="F447" s="10"/>
      <c r="G447" s="10"/>
    </row>
    <row r="448" spans="1:7" s="11" customFormat="1" x14ac:dyDescent="0.55000000000000004">
      <c r="A448" s="9"/>
      <c r="B448" s="10"/>
      <c r="C448" s="10"/>
      <c r="D448" s="10"/>
      <c r="E448" s="10"/>
      <c r="F448" s="10"/>
      <c r="G448" s="10"/>
    </row>
    <row r="449" spans="1:7" s="11" customFormat="1" x14ac:dyDescent="0.55000000000000004">
      <c r="A449" s="9"/>
      <c r="B449" s="10"/>
      <c r="C449" s="10"/>
      <c r="D449" s="10"/>
      <c r="E449" s="10"/>
      <c r="F449" s="10"/>
      <c r="G449" s="10"/>
    </row>
    <row r="450" spans="1:7" s="11" customFormat="1" x14ac:dyDescent="0.55000000000000004">
      <c r="A450" s="9"/>
      <c r="B450" s="10"/>
      <c r="C450" s="10"/>
      <c r="D450" s="10"/>
      <c r="E450" s="10"/>
      <c r="F450" s="10"/>
      <c r="G450" s="10"/>
    </row>
    <row r="451" spans="1:7" s="11" customFormat="1" x14ac:dyDescent="0.55000000000000004">
      <c r="A451" s="9"/>
      <c r="B451" s="10"/>
      <c r="C451" s="10"/>
      <c r="D451" s="10"/>
      <c r="E451" s="10"/>
      <c r="F451" s="10"/>
      <c r="G451" s="10"/>
    </row>
    <row r="452" spans="1:7" s="11" customFormat="1" x14ac:dyDescent="0.55000000000000004">
      <c r="A452" s="9"/>
      <c r="B452" s="10"/>
      <c r="C452" s="10"/>
      <c r="D452" s="10"/>
      <c r="E452" s="10"/>
      <c r="F452" s="10"/>
      <c r="G452" s="10"/>
    </row>
    <row r="453" spans="1:7" s="11" customFormat="1" x14ac:dyDescent="0.55000000000000004">
      <c r="A453" s="9"/>
      <c r="B453" s="10"/>
      <c r="C453" s="10"/>
      <c r="D453" s="10"/>
      <c r="E453" s="10"/>
      <c r="F453" s="10"/>
      <c r="G453" s="10"/>
    </row>
    <row r="454" spans="1:7" s="11" customFormat="1" x14ac:dyDescent="0.55000000000000004">
      <c r="A454" s="9"/>
      <c r="B454" s="10"/>
      <c r="C454" s="10"/>
      <c r="D454" s="10"/>
      <c r="E454" s="10"/>
      <c r="F454" s="10"/>
      <c r="G454" s="10"/>
    </row>
    <row r="455" spans="1:7" s="11" customFormat="1" x14ac:dyDescent="0.55000000000000004">
      <c r="A455" s="9"/>
      <c r="B455" s="10"/>
      <c r="C455" s="10"/>
      <c r="D455" s="10"/>
      <c r="E455" s="10"/>
      <c r="F455" s="10"/>
      <c r="G455" s="10"/>
    </row>
    <row r="456" spans="1:7" s="11" customFormat="1" x14ac:dyDescent="0.55000000000000004">
      <c r="A456" s="9"/>
      <c r="B456" s="10"/>
      <c r="C456" s="10"/>
      <c r="D456" s="10"/>
      <c r="E456" s="10"/>
      <c r="F456" s="10"/>
      <c r="G456" s="10"/>
    </row>
    <row r="457" spans="1:7" s="11" customFormat="1" x14ac:dyDescent="0.55000000000000004">
      <c r="A457" s="9"/>
      <c r="B457" s="10"/>
      <c r="C457" s="10"/>
      <c r="D457" s="10"/>
      <c r="E457" s="10"/>
      <c r="F457" s="10"/>
      <c r="G457" s="10"/>
    </row>
    <row r="458" spans="1:7" s="11" customFormat="1" x14ac:dyDescent="0.55000000000000004">
      <c r="A458" s="9"/>
      <c r="B458" s="10"/>
      <c r="C458" s="10"/>
      <c r="D458" s="10"/>
      <c r="E458" s="10"/>
      <c r="F458" s="10"/>
      <c r="G458" s="10"/>
    </row>
    <row r="459" spans="1:7" s="11" customFormat="1" x14ac:dyDescent="0.55000000000000004">
      <c r="A459" s="9"/>
      <c r="B459" s="10"/>
      <c r="C459" s="10"/>
      <c r="D459" s="10"/>
      <c r="E459" s="10"/>
      <c r="F459" s="10"/>
      <c r="G459" s="10"/>
    </row>
    <row r="460" spans="1:7" s="11" customFormat="1" x14ac:dyDescent="0.55000000000000004">
      <c r="A460" s="9"/>
      <c r="B460" s="10"/>
      <c r="C460" s="10"/>
      <c r="D460" s="10"/>
      <c r="E460" s="10"/>
      <c r="F460" s="10"/>
      <c r="G460" s="10"/>
    </row>
    <row r="461" spans="1:7" s="11" customFormat="1" x14ac:dyDescent="0.55000000000000004">
      <c r="A461" s="9"/>
      <c r="B461" s="10"/>
      <c r="C461" s="10"/>
      <c r="D461" s="10"/>
      <c r="E461" s="10"/>
      <c r="F461" s="10"/>
      <c r="G461" s="10"/>
    </row>
    <row r="462" spans="1:7" s="11" customFormat="1" x14ac:dyDescent="0.55000000000000004">
      <c r="A462" s="9"/>
      <c r="B462" s="10"/>
      <c r="C462" s="10"/>
      <c r="D462" s="10"/>
      <c r="E462" s="10"/>
      <c r="F462" s="10"/>
      <c r="G462" s="10"/>
    </row>
    <row r="463" spans="1:7" s="11" customFormat="1" x14ac:dyDescent="0.55000000000000004">
      <c r="A463" s="9"/>
      <c r="B463" s="10"/>
      <c r="C463" s="10"/>
      <c r="D463" s="10"/>
      <c r="E463" s="10"/>
      <c r="F463" s="10"/>
      <c r="G463" s="10"/>
    </row>
    <row r="464" spans="1:7" s="11" customFormat="1" x14ac:dyDescent="0.55000000000000004">
      <c r="A464" s="9"/>
      <c r="B464" s="10"/>
      <c r="C464" s="10"/>
      <c r="D464" s="10"/>
      <c r="E464" s="10"/>
      <c r="F464" s="10"/>
      <c r="G464" s="10"/>
    </row>
    <row r="465" spans="1:7" s="11" customFormat="1" x14ac:dyDescent="0.55000000000000004">
      <c r="A465" s="9"/>
      <c r="B465" s="10"/>
      <c r="C465" s="10"/>
      <c r="D465" s="10"/>
      <c r="E465" s="10"/>
      <c r="F465" s="10"/>
      <c r="G465" s="10"/>
    </row>
    <row r="466" spans="1:7" s="11" customFormat="1" x14ac:dyDescent="0.55000000000000004">
      <c r="A466" s="9"/>
      <c r="B466" s="10"/>
      <c r="C466" s="10"/>
      <c r="D466" s="10"/>
      <c r="E466" s="10"/>
      <c r="F466" s="10"/>
      <c r="G466" s="10"/>
    </row>
    <row r="467" spans="1:7" s="11" customFormat="1" x14ac:dyDescent="0.55000000000000004">
      <c r="A467" s="9"/>
      <c r="B467" s="10"/>
      <c r="C467" s="10"/>
      <c r="D467" s="10"/>
      <c r="E467" s="10"/>
      <c r="F467" s="10"/>
      <c r="G467" s="10"/>
    </row>
    <row r="468" spans="1:7" s="11" customFormat="1" x14ac:dyDescent="0.55000000000000004">
      <c r="A468" s="9"/>
      <c r="B468" s="10"/>
      <c r="C468" s="10"/>
      <c r="D468" s="10"/>
      <c r="E468" s="10"/>
      <c r="F468" s="10"/>
      <c r="G468" s="10"/>
    </row>
    <row r="469" spans="1:7" s="11" customFormat="1" x14ac:dyDescent="0.55000000000000004">
      <c r="A469" s="9"/>
      <c r="B469" s="10"/>
      <c r="C469" s="10"/>
      <c r="D469" s="10"/>
      <c r="E469" s="10"/>
      <c r="F469" s="10"/>
      <c r="G469" s="10"/>
    </row>
    <row r="470" spans="1:7" s="11" customFormat="1" x14ac:dyDescent="0.55000000000000004">
      <c r="A470" s="9"/>
      <c r="B470" s="10"/>
      <c r="C470" s="10"/>
      <c r="D470" s="10"/>
      <c r="E470" s="10"/>
      <c r="F470" s="10"/>
      <c r="G470" s="10"/>
    </row>
    <row r="471" spans="1:7" s="11" customFormat="1" x14ac:dyDescent="0.55000000000000004">
      <c r="A471" s="9"/>
      <c r="B471" s="10"/>
      <c r="C471" s="10"/>
      <c r="D471" s="10"/>
      <c r="E471" s="10"/>
      <c r="F471" s="10"/>
      <c r="G471" s="10"/>
    </row>
    <row r="472" spans="1:7" s="11" customFormat="1" x14ac:dyDescent="0.55000000000000004">
      <c r="A472" s="9"/>
      <c r="B472" s="10"/>
      <c r="C472" s="10"/>
      <c r="D472" s="10"/>
      <c r="E472" s="10"/>
      <c r="F472" s="10"/>
      <c r="G472" s="10"/>
    </row>
    <row r="473" spans="1:7" s="11" customFormat="1" x14ac:dyDescent="0.55000000000000004">
      <c r="A473" s="9"/>
      <c r="B473" s="10"/>
      <c r="C473" s="10"/>
      <c r="D473" s="10"/>
      <c r="E473" s="10"/>
      <c r="F473" s="10"/>
      <c r="G473" s="10"/>
    </row>
    <row r="474" spans="1:7" s="11" customFormat="1" x14ac:dyDescent="0.55000000000000004">
      <c r="A474" s="9"/>
      <c r="B474" s="10"/>
      <c r="C474" s="10"/>
      <c r="D474" s="10"/>
      <c r="E474" s="10"/>
      <c r="F474" s="10"/>
      <c r="G474" s="10"/>
    </row>
    <row r="475" spans="1:7" s="11" customFormat="1" x14ac:dyDescent="0.55000000000000004">
      <c r="A475" s="9"/>
      <c r="B475" s="10"/>
      <c r="C475" s="10"/>
      <c r="D475" s="10"/>
      <c r="E475" s="10"/>
      <c r="F475" s="10"/>
      <c r="G475" s="10"/>
    </row>
    <row r="476" spans="1:7" s="11" customFormat="1" x14ac:dyDescent="0.55000000000000004">
      <c r="A476" s="9"/>
      <c r="B476" s="10"/>
      <c r="C476" s="10"/>
      <c r="D476" s="10"/>
      <c r="E476" s="10"/>
      <c r="F476" s="10"/>
      <c r="G476" s="10"/>
    </row>
    <row r="477" spans="1:7" s="11" customFormat="1" x14ac:dyDescent="0.55000000000000004">
      <c r="A477" s="9"/>
      <c r="B477" s="10"/>
      <c r="C477" s="10"/>
      <c r="D477" s="10"/>
      <c r="E477" s="10"/>
      <c r="F477" s="10"/>
      <c r="G477" s="10"/>
    </row>
    <row r="478" spans="1:7" s="11" customFormat="1" x14ac:dyDescent="0.55000000000000004">
      <c r="A478" s="9"/>
      <c r="B478" s="10"/>
      <c r="C478" s="10"/>
      <c r="D478" s="10"/>
      <c r="E478" s="10"/>
      <c r="F478" s="10"/>
      <c r="G478" s="10"/>
    </row>
    <row r="479" spans="1:7" s="11" customFormat="1" x14ac:dyDescent="0.55000000000000004">
      <c r="A479" s="9"/>
      <c r="B479" s="10"/>
      <c r="C479" s="10"/>
      <c r="D479" s="10"/>
      <c r="E479" s="10"/>
      <c r="F479" s="10"/>
      <c r="G479" s="10"/>
    </row>
    <row r="480" spans="1:7" s="11" customFormat="1" x14ac:dyDescent="0.55000000000000004">
      <c r="A480" s="9"/>
      <c r="B480" s="10"/>
      <c r="C480" s="10"/>
      <c r="D480" s="10"/>
      <c r="E480" s="10"/>
      <c r="F480" s="10"/>
      <c r="G480" s="10"/>
    </row>
    <row r="481" spans="1:7" s="11" customFormat="1" x14ac:dyDescent="0.55000000000000004">
      <c r="A481" s="9"/>
      <c r="B481" s="10"/>
      <c r="C481" s="10"/>
      <c r="D481" s="10"/>
      <c r="E481" s="10"/>
      <c r="F481" s="10"/>
      <c r="G481" s="10"/>
    </row>
    <row r="482" spans="1:7" s="11" customFormat="1" x14ac:dyDescent="0.55000000000000004">
      <c r="A482" s="9"/>
      <c r="B482" s="10"/>
      <c r="C482" s="10"/>
      <c r="D482" s="10"/>
      <c r="E482" s="10"/>
      <c r="F482" s="10"/>
      <c r="G482" s="10"/>
    </row>
    <row r="483" spans="1:7" s="11" customFormat="1" x14ac:dyDescent="0.55000000000000004">
      <c r="A483" s="9"/>
      <c r="B483" s="10"/>
      <c r="C483" s="10"/>
      <c r="D483" s="10"/>
      <c r="E483" s="10"/>
      <c r="F483" s="10"/>
      <c r="G483" s="10"/>
    </row>
    <row r="484" spans="1:7" s="11" customFormat="1" x14ac:dyDescent="0.55000000000000004">
      <c r="A484" s="9"/>
      <c r="B484" s="10"/>
      <c r="C484" s="10"/>
      <c r="D484" s="10"/>
      <c r="E484" s="10"/>
      <c r="F484" s="10"/>
      <c r="G484" s="10"/>
    </row>
    <row r="485" spans="1:7" s="11" customFormat="1" x14ac:dyDescent="0.55000000000000004">
      <c r="A485" s="9"/>
      <c r="B485" s="10"/>
      <c r="C485" s="10"/>
      <c r="D485" s="10"/>
      <c r="E485" s="10"/>
      <c r="F485" s="10"/>
      <c r="G485" s="10"/>
    </row>
    <row r="486" spans="1:7" s="11" customFormat="1" x14ac:dyDescent="0.55000000000000004">
      <c r="A486" s="9"/>
      <c r="B486" s="10"/>
      <c r="C486" s="10"/>
      <c r="D486" s="10"/>
      <c r="E486" s="10"/>
      <c r="F486" s="10"/>
      <c r="G486" s="10"/>
    </row>
    <row r="487" spans="1:7" s="11" customFormat="1" x14ac:dyDescent="0.55000000000000004">
      <c r="A487" s="9"/>
      <c r="B487" s="10"/>
      <c r="C487" s="10"/>
      <c r="D487" s="10"/>
      <c r="E487" s="10"/>
      <c r="F487" s="10"/>
      <c r="G487" s="10"/>
    </row>
    <row r="488" spans="1:7" s="11" customFormat="1" x14ac:dyDescent="0.55000000000000004">
      <c r="A488" s="9"/>
      <c r="B488" s="10"/>
      <c r="C488" s="10"/>
      <c r="D488" s="10"/>
      <c r="E488" s="10"/>
      <c r="F488" s="10"/>
      <c r="G488" s="10"/>
    </row>
    <row r="489" spans="1:7" s="11" customFormat="1" x14ac:dyDescent="0.55000000000000004">
      <c r="A489" s="9"/>
      <c r="B489" s="10"/>
      <c r="C489" s="10"/>
      <c r="D489" s="10"/>
      <c r="E489" s="10"/>
      <c r="F489" s="10"/>
      <c r="G489" s="10"/>
    </row>
    <row r="490" spans="1:7" s="11" customFormat="1" x14ac:dyDescent="0.55000000000000004">
      <c r="A490" s="9"/>
      <c r="B490" s="10"/>
      <c r="C490" s="10"/>
      <c r="D490" s="10"/>
      <c r="E490" s="10"/>
      <c r="F490" s="10"/>
      <c r="G490" s="10"/>
    </row>
    <row r="491" spans="1:7" s="11" customFormat="1" x14ac:dyDescent="0.55000000000000004">
      <c r="A491" s="9"/>
      <c r="B491" s="10"/>
      <c r="C491" s="10"/>
      <c r="D491" s="10"/>
      <c r="E491" s="10"/>
      <c r="F491" s="10"/>
      <c r="G491" s="10"/>
    </row>
    <row r="492" spans="1:7" s="11" customFormat="1" x14ac:dyDescent="0.55000000000000004">
      <c r="A492" s="9"/>
      <c r="B492" s="10"/>
      <c r="C492" s="10"/>
      <c r="D492" s="10"/>
      <c r="E492" s="10"/>
      <c r="F492" s="10"/>
      <c r="G492" s="10"/>
    </row>
    <row r="493" spans="1:7" s="11" customFormat="1" x14ac:dyDescent="0.55000000000000004">
      <c r="A493" s="9"/>
      <c r="B493" s="10"/>
      <c r="C493" s="10"/>
      <c r="D493" s="10"/>
      <c r="E493" s="10"/>
      <c r="F493" s="10"/>
      <c r="G493" s="10"/>
    </row>
    <row r="494" spans="1:7" s="11" customFormat="1" x14ac:dyDescent="0.55000000000000004">
      <c r="A494" s="9"/>
      <c r="B494" s="10"/>
      <c r="C494" s="10"/>
      <c r="D494" s="10"/>
      <c r="E494" s="10"/>
      <c r="F494" s="10"/>
      <c r="G494" s="10"/>
    </row>
    <row r="495" spans="1:7" s="11" customFormat="1" x14ac:dyDescent="0.55000000000000004">
      <c r="A495" s="9"/>
      <c r="B495" s="10"/>
      <c r="C495" s="10"/>
      <c r="D495" s="10"/>
      <c r="E495" s="10"/>
      <c r="F495" s="10"/>
      <c r="G495" s="10"/>
    </row>
    <row r="496" spans="1:7" s="11" customFormat="1" x14ac:dyDescent="0.55000000000000004">
      <c r="A496" s="9"/>
      <c r="B496" s="10"/>
      <c r="C496" s="10"/>
      <c r="D496" s="10"/>
      <c r="E496" s="10"/>
      <c r="F496" s="10"/>
      <c r="G496" s="10"/>
    </row>
    <row r="497" spans="1:7" s="11" customFormat="1" x14ac:dyDescent="0.55000000000000004">
      <c r="A497" s="9"/>
      <c r="B497" s="10"/>
      <c r="C497" s="10"/>
      <c r="D497" s="10"/>
      <c r="E497" s="10"/>
      <c r="F497" s="10"/>
      <c r="G497" s="10"/>
    </row>
    <row r="498" spans="1:7" s="11" customFormat="1" x14ac:dyDescent="0.55000000000000004">
      <c r="A498" s="9"/>
      <c r="B498" s="10"/>
      <c r="C498" s="10"/>
      <c r="D498" s="10"/>
      <c r="E498" s="10"/>
      <c r="F498" s="10"/>
      <c r="G498" s="10"/>
    </row>
    <row r="499" spans="1:7" s="11" customFormat="1" x14ac:dyDescent="0.55000000000000004">
      <c r="A499" s="9"/>
      <c r="B499" s="10"/>
      <c r="C499" s="10"/>
      <c r="D499" s="10"/>
      <c r="E499" s="10"/>
      <c r="F499" s="10"/>
      <c r="G499" s="10"/>
    </row>
    <row r="500" spans="1:7" s="11" customFormat="1" x14ac:dyDescent="0.55000000000000004">
      <c r="A500" s="9"/>
      <c r="B500" s="10"/>
      <c r="C500" s="10"/>
      <c r="D500" s="10"/>
      <c r="E500" s="10"/>
      <c r="F500" s="10"/>
      <c r="G500" s="10"/>
    </row>
    <row r="501" spans="1:7" s="11" customFormat="1" x14ac:dyDescent="0.55000000000000004">
      <c r="A501" s="9"/>
      <c r="B501" s="10"/>
      <c r="C501" s="10"/>
      <c r="D501" s="10"/>
      <c r="E501" s="10"/>
      <c r="F501" s="10"/>
      <c r="G501" s="10"/>
    </row>
    <row r="502" spans="1:7" s="11" customFormat="1" x14ac:dyDescent="0.55000000000000004">
      <c r="A502" s="9"/>
      <c r="B502" s="10"/>
      <c r="C502" s="10"/>
      <c r="D502" s="10"/>
      <c r="E502" s="10"/>
      <c r="F502" s="10"/>
      <c r="G502" s="10"/>
    </row>
    <row r="503" spans="1:7" s="11" customFormat="1" x14ac:dyDescent="0.55000000000000004">
      <c r="A503" s="9"/>
      <c r="B503" s="10"/>
      <c r="C503" s="10"/>
      <c r="D503" s="10"/>
      <c r="E503" s="10"/>
      <c r="F503" s="10"/>
      <c r="G503" s="10"/>
    </row>
    <row r="504" spans="1:7" s="11" customFormat="1" x14ac:dyDescent="0.55000000000000004">
      <c r="A504" s="9"/>
      <c r="B504" s="10"/>
      <c r="C504" s="10"/>
      <c r="D504" s="10"/>
      <c r="E504" s="10"/>
      <c r="F504" s="10"/>
      <c r="G504" s="10"/>
    </row>
    <row r="505" spans="1:7" s="11" customFormat="1" x14ac:dyDescent="0.55000000000000004">
      <c r="A505" s="9"/>
      <c r="B505" s="10"/>
      <c r="C505" s="10"/>
      <c r="D505" s="10"/>
      <c r="E505" s="10"/>
      <c r="F505" s="10"/>
      <c r="G505" s="10"/>
    </row>
    <row r="506" spans="1:7" s="11" customFormat="1" x14ac:dyDescent="0.55000000000000004">
      <c r="A506" s="9"/>
      <c r="B506" s="10"/>
      <c r="C506" s="10"/>
      <c r="D506" s="10"/>
      <c r="E506" s="10"/>
      <c r="F506" s="10"/>
      <c r="G506" s="10"/>
    </row>
    <row r="507" spans="1:7" s="11" customFormat="1" x14ac:dyDescent="0.55000000000000004">
      <c r="A507" s="9"/>
      <c r="B507" s="10"/>
      <c r="C507" s="10"/>
      <c r="D507" s="10"/>
      <c r="E507" s="10"/>
      <c r="F507" s="10"/>
      <c r="G507" s="10"/>
    </row>
    <row r="508" spans="1:7" s="11" customFormat="1" x14ac:dyDescent="0.55000000000000004">
      <c r="A508" s="9"/>
      <c r="B508" s="10"/>
      <c r="C508" s="10"/>
      <c r="D508" s="10"/>
      <c r="E508" s="10"/>
      <c r="F508" s="10"/>
      <c r="G508" s="10"/>
    </row>
    <row r="509" spans="1:7" s="11" customFormat="1" x14ac:dyDescent="0.55000000000000004">
      <c r="A509" s="9"/>
      <c r="B509" s="10"/>
      <c r="C509" s="10"/>
      <c r="D509" s="10"/>
      <c r="E509" s="10"/>
      <c r="F509" s="10"/>
      <c r="G509" s="10"/>
    </row>
    <row r="510" spans="1:7" s="11" customFormat="1" x14ac:dyDescent="0.55000000000000004">
      <c r="A510" s="9"/>
      <c r="B510" s="10"/>
      <c r="C510" s="10"/>
      <c r="D510" s="10"/>
      <c r="E510" s="10"/>
      <c r="F510" s="10"/>
      <c r="G510" s="10"/>
    </row>
    <row r="511" spans="1:7" s="11" customFormat="1" x14ac:dyDescent="0.55000000000000004">
      <c r="A511" s="9"/>
      <c r="B511" s="10"/>
      <c r="C511" s="10"/>
      <c r="D511" s="10"/>
      <c r="E511" s="10"/>
      <c r="F511" s="10"/>
      <c r="G511" s="10"/>
    </row>
    <row r="512" spans="1:7" s="11" customFormat="1" x14ac:dyDescent="0.55000000000000004">
      <c r="A512" s="9"/>
      <c r="B512" s="10"/>
      <c r="C512" s="10"/>
      <c r="D512" s="10"/>
      <c r="E512" s="10"/>
      <c r="F512" s="10"/>
      <c r="G512" s="10"/>
    </row>
    <row r="513" spans="1:7" s="11" customFormat="1" x14ac:dyDescent="0.55000000000000004">
      <c r="A513" s="9"/>
      <c r="B513" s="10"/>
      <c r="C513" s="10"/>
      <c r="D513" s="10"/>
      <c r="E513" s="10"/>
      <c r="F513" s="10"/>
      <c r="G513" s="10"/>
    </row>
    <row r="514" spans="1:7" s="11" customFormat="1" x14ac:dyDescent="0.55000000000000004">
      <c r="A514" s="9"/>
      <c r="B514" s="10"/>
      <c r="C514" s="10"/>
      <c r="D514" s="10"/>
      <c r="E514" s="10"/>
      <c r="F514" s="10"/>
      <c r="G514" s="10"/>
    </row>
    <row r="515" spans="1:7" s="11" customFormat="1" x14ac:dyDescent="0.55000000000000004">
      <c r="A515" s="9"/>
      <c r="B515" s="10"/>
      <c r="C515" s="10"/>
      <c r="D515" s="10"/>
      <c r="E515" s="10"/>
      <c r="F515" s="10"/>
      <c r="G515" s="10"/>
    </row>
    <row r="516" spans="1:7" s="11" customFormat="1" x14ac:dyDescent="0.55000000000000004">
      <c r="A516" s="9"/>
      <c r="B516" s="10"/>
      <c r="C516" s="10"/>
      <c r="D516" s="10"/>
      <c r="E516" s="10"/>
      <c r="F516" s="10"/>
      <c r="G516" s="10"/>
    </row>
    <row r="517" spans="1:7" s="11" customFormat="1" x14ac:dyDescent="0.55000000000000004">
      <c r="A517" s="9"/>
      <c r="B517" s="10"/>
      <c r="C517" s="10"/>
      <c r="D517" s="10"/>
      <c r="E517" s="10"/>
      <c r="F517" s="10"/>
      <c r="G517" s="10"/>
    </row>
    <row r="518" spans="1:7" s="11" customFormat="1" x14ac:dyDescent="0.55000000000000004">
      <c r="A518" s="9"/>
      <c r="B518" s="10"/>
      <c r="C518" s="10"/>
      <c r="D518" s="10"/>
      <c r="E518" s="10"/>
      <c r="F518" s="10"/>
      <c r="G518" s="10"/>
    </row>
    <row r="519" spans="1:7" s="11" customFormat="1" x14ac:dyDescent="0.55000000000000004">
      <c r="A519" s="9"/>
      <c r="B519" s="10"/>
      <c r="C519" s="10"/>
      <c r="D519" s="10"/>
      <c r="E519" s="10"/>
      <c r="F519" s="10"/>
      <c r="G519" s="10"/>
    </row>
    <row r="520" spans="1:7" s="11" customFormat="1" x14ac:dyDescent="0.55000000000000004">
      <c r="A520" s="9"/>
      <c r="B520" s="10"/>
      <c r="C520" s="10"/>
      <c r="D520" s="10"/>
      <c r="E520" s="10"/>
      <c r="F520" s="10"/>
      <c r="G520" s="10"/>
    </row>
    <row r="521" spans="1:7" s="11" customFormat="1" x14ac:dyDescent="0.55000000000000004">
      <c r="A521" s="9"/>
      <c r="B521" s="10"/>
      <c r="C521" s="10"/>
      <c r="D521" s="10"/>
      <c r="E521" s="10"/>
      <c r="F521" s="10"/>
      <c r="G521" s="10"/>
    </row>
    <row r="522" spans="1:7" s="11" customFormat="1" x14ac:dyDescent="0.55000000000000004">
      <c r="A522" s="9"/>
      <c r="B522" s="10"/>
      <c r="C522" s="10"/>
      <c r="D522" s="10"/>
      <c r="E522" s="10"/>
      <c r="F522" s="10"/>
      <c r="G522" s="10"/>
    </row>
    <row r="523" spans="1:7" s="11" customFormat="1" x14ac:dyDescent="0.55000000000000004">
      <c r="A523" s="9"/>
      <c r="B523" s="10"/>
      <c r="C523" s="10"/>
      <c r="D523" s="10"/>
      <c r="E523" s="10"/>
      <c r="F523" s="10"/>
      <c r="G523" s="10"/>
    </row>
    <row r="524" spans="1:7" s="11" customFormat="1" x14ac:dyDescent="0.55000000000000004">
      <c r="A524" s="9"/>
      <c r="B524" s="10"/>
      <c r="C524" s="10"/>
      <c r="D524" s="10"/>
      <c r="E524" s="10"/>
      <c r="F524" s="10"/>
      <c r="G524" s="10"/>
    </row>
    <row r="525" spans="1:7" s="11" customFormat="1" x14ac:dyDescent="0.55000000000000004">
      <c r="A525" s="9"/>
      <c r="B525" s="10"/>
      <c r="C525" s="10"/>
      <c r="D525" s="10"/>
      <c r="E525" s="10"/>
      <c r="F525" s="10"/>
      <c r="G525" s="10"/>
    </row>
    <row r="526" spans="1:7" s="11" customFormat="1" x14ac:dyDescent="0.55000000000000004">
      <c r="A526" s="9"/>
      <c r="B526" s="10"/>
      <c r="C526" s="10"/>
      <c r="D526" s="10"/>
      <c r="E526" s="10"/>
      <c r="F526" s="10"/>
      <c r="G526" s="10"/>
    </row>
    <row r="527" spans="1:7" s="11" customFormat="1" x14ac:dyDescent="0.55000000000000004">
      <c r="A527" s="9"/>
      <c r="B527" s="10"/>
      <c r="C527" s="10"/>
      <c r="D527" s="10"/>
      <c r="E527" s="10"/>
      <c r="F527" s="10"/>
      <c r="G527" s="10"/>
    </row>
    <row r="528" spans="1:7" s="11" customFormat="1" x14ac:dyDescent="0.55000000000000004">
      <c r="A528" s="9"/>
      <c r="B528" s="10"/>
      <c r="C528" s="10"/>
      <c r="D528" s="10"/>
      <c r="E528" s="10"/>
      <c r="F528" s="10"/>
      <c r="G528" s="10"/>
    </row>
    <row r="529" spans="1:7" s="11" customFormat="1" x14ac:dyDescent="0.55000000000000004">
      <c r="A529" s="9"/>
      <c r="B529" s="10"/>
      <c r="C529" s="10"/>
      <c r="D529" s="10"/>
      <c r="E529" s="10"/>
      <c r="F529" s="10"/>
      <c r="G529" s="10"/>
    </row>
    <row r="530" spans="1:7" s="11" customFormat="1" x14ac:dyDescent="0.55000000000000004">
      <c r="A530" s="9"/>
      <c r="B530" s="10"/>
      <c r="C530" s="10"/>
      <c r="D530" s="10"/>
      <c r="E530" s="10"/>
      <c r="F530" s="10"/>
      <c r="G530" s="10"/>
    </row>
    <row r="531" spans="1:7" s="11" customFormat="1" x14ac:dyDescent="0.55000000000000004">
      <c r="A531" s="9"/>
      <c r="B531" s="10"/>
      <c r="C531" s="10"/>
      <c r="D531" s="10"/>
      <c r="E531" s="10"/>
      <c r="F531" s="10"/>
      <c r="G531" s="10"/>
    </row>
    <row r="532" spans="1:7" s="11" customFormat="1" x14ac:dyDescent="0.55000000000000004">
      <c r="A532" s="9"/>
      <c r="B532" s="10"/>
      <c r="C532" s="10"/>
      <c r="D532" s="10"/>
      <c r="E532" s="10"/>
      <c r="F532" s="10"/>
      <c r="G532" s="10"/>
    </row>
    <row r="533" spans="1:7" s="11" customFormat="1" x14ac:dyDescent="0.55000000000000004">
      <c r="A533" s="9"/>
      <c r="B533" s="10"/>
      <c r="C533" s="10"/>
      <c r="D533" s="10"/>
      <c r="E533" s="10"/>
      <c r="F533" s="10"/>
      <c r="G533" s="10"/>
    </row>
    <row r="534" spans="1:7" s="11" customFormat="1" x14ac:dyDescent="0.55000000000000004">
      <c r="A534" s="9"/>
      <c r="B534" s="10"/>
      <c r="C534" s="10"/>
      <c r="D534" s="10"/>
      <c r="E534" s="10"/>
      <c r="F534" s="10"/>
      <c r="G534" s="10"/>
    </row>
    <row r="535" spans="1:7" s="11" customFormat="1" x14ac:dyDescent="0.55000000000000004">
      <c r="A535" s="9"/>
      <c r="B535" s="10"/>
      <c r="C535" s="10"/>
      <c r="D535" s="10"/>
      <c r="E535" s="10"/>
      <c r="F535" s="10"/>
      <c r="G535" s="10"/>
    </row>
    <row r="536" spans="1:7" s="11" customFormat="1" x14ac:dyDescent="0.55000000000000004">
      <c r="A536" s="9"/>
      <c r="B536" s="10"/>
      <c r="C536" s="10"/>
      <c r="D536" s="10"/>
      <c r="E536" s="10"/>
      <c r="F536" s="10"/>
      <c r="G536" s="10"/>
    </row>
    <row r="537" spans="1:7" s="11" customFormat="1" x14ac:dyDescent="0.55000000000000004">
      <c r="A537" s="9"/>
      <c r="B537" s="10"/>
      <c r="C537" s="10"/>
      <c r="D537" s="10"/>
      <c r="E537" s="10"/>
      <c r="F537" s="10"/>
      <c r="G537" s="10"/>
    </row>
    <row r="538" spans="1:7" s="11" customFormat="1" x14ac:dyDescent="0.55000000000000004">
      <c r="A538" s="9"/>
      <c r="B538" s="10"/>
      <c r="C538" s="10"/>
      <c r="D538" s="10"/>
      <c r="E538" s="10"/>
      <c r="F538" s="10"/>
      <c r="G538" s="10"/>
    </row>
    <row r="539" spans="1:7" s="11" customFormat="1" x14ac:dyDescent="0.55000000000000004">
      <c r="A539" s="9"/>
      <c r="B539" s="10"/>
      <c r="C539" s="10"/>
      <c r="D539" s="10"/>
      <c r="E539" s="10"/>
      <c r="F539" s="10"/>
      <c r="G539" s="10"/>
    </row>
    <row r="540" spans="1:7" s="11" customFormat="1" x14ac:dyDescent="0.55000000000000004">
      <c r="A540" s="9"/>
      <c r="B540" s="10"/>
      <c r="C540" s="10"/>
      <c r="D540" s="10"/>
      <c r="E540" s="10"/>
      <c r="F540" s="10"/>
      <c r="G540" s="10"/>
    </row>
    <row r="541" spans="1:7" s="11" customFormat="1" x14ac:dyDescent="0.55000000000000004">
      <c r="A541" s="9"/>
      <c r="B541" s="10"/>
      <c r="C541" s="10"/>
      <c r="D541" s="10"/>
      <c r="E541" s="10"/>
      <c r="F541" s="10"/>
      <c r="G541" s="10"/>
    </row>
    <row r="542" spans="1:7" s="11" customFormat="1" x14ac:dyDescent="0.55000000000000004">
      <c r="A542" s="9"/>
      <c r="B542" s="10"/>
      <c r="C542" s="10"/>
      <c r="D542" s="10"/>
      <c r="E542" s="10"/>
      <c r="F542" s="10"/>
      <c r="G542" s="10"/>
    </row>
    <row r="543" spans="1:7" s="11" customFormat="1" x14ac:dyDescent="0.55000000000000004">
      <c r="A543" s="9"/>
      <c r="B543" s="10"/>
      <c r="C543" s="10"/>
      <c r="D543" s="10"/>
      <c r="E543" s="10"/>
      <c r="F543" s="10"/>
      <c r="G543" s="10"/>
    </row>
    <row r="544" spans="1:7" s="11" customFormat="1" x14ac:dyDescent="0.55000000000000004">
      <c r="A544" s="9"/>
      <c r="B544" s="10"/>
      <c r="C544" s="10"/>
      <c r="D544" s="10"/>
      <c r="E544" s="10"/>
      <c r="F544" s="10"/>
      <c r="G544" s="10"/>
    </row>
    <row r="545" spans="1:7" s="11" customFormat="1" x14ac:dyDescent="0.55000000000000004">
      <c r="A545" s="9"/>
      <c r="B545" s="10"/>
      <c r="C545" s="10"/>
      <c r="D545" s="10"/>
      <c r="E545" s="10"/>
      <c r="F545" s="10"/>
      <c r="G545" s="10"/>
    </row>
    <row r="546" spans="1:7" s="11" customFormat="1" x14ac:dyDescent="0.55000000000000004">
      <c r="A546" s="9"/>
      <c r="B546" s="10"/>
      <c r="C546" s="10"/>
      <c r="D546" s="10"/>
      <c r="E546" s="10"/>
      <c r="F546" s="10"/>
      <c r="G546" s="10"/>
    </row>
    <row r="547" spans="1:7" s="11" customFormat="1" x14ac:dyDescent="0.55000000000000004">
      <c r="A547" s="9"/>
      <c r="B547" s="10"/>
      <c r="C547" s="10"/>
      <c r="D547" s="10"/>
      <c r="E547" s="10"/>
      <c r="F547" s="10"/>
      <c r="G547" s="10"/>
    </row>
    <row r="548" spans="1:7" s="11" customFormat="1" x14ac:dyDescent="0.55000000000000004">
      <c r="A548" s="9"/>
      <c r="B548" s="10"/>
      <c r="C548" s="10"/>
      <c r="D548" s="10"/>
      <c r="E548" s="10"/>
      <c r="F548" s="10"/>
      <c r="G548" s="10"/>
    </row>
    <row r="549" spans="1:7" s="11" customFormat="1" x14ac:dyDescent="0.55000000000000004">
      <c r="A549" s="9"/>
      <c r="B549" s="10"/>
      <c r="C549" s="10"/>
      <c r="D549" s="10"/>
      <c r="E549" s="10"/>
      <c r="F549" s="10"/>
      <c r="G549" s="10"/>
    </row>
    <row r="550" spans="1:7" s="11" customFormat="1" x14ac:dyDescent="0.55000000000000004">
      <c r="A550" s="9"/>
      <c r="B550" s="10"/>
      <c r="C550" s="10"/>
      <c r="D550" s="10"/>
      <c r="E550" s="10"/>
      <c r="F550" s="10"/>
      <c r="G550" s="10"/>
    </row>
    <row r="551" spans="1:7" s="11" customFormat="1" x14ac:dyDescent="0.55000000000000004">
      <c r="A551" s="9"/>
      <c r="B551" s="10"/>
      <c r="C551" s="10"/>
      <c r="D551" s="10"/>
      <c r="E551" s="10"/>
      <c r="F551" s="10"/>
      <c r="G551" s="10"/>
    </row>
    <row r="552" spans="1:7" s="11" customFormat="1" x14ac:dyDescent="0.55000000000000004">
      <c r="A552" s="9"/>
      <c r="B552" s="10"/>
      <c r="C552" s="10"/>
      <c r="D552" s="10"/>
      <c r="E552" s="10"/>
      <c r="F552" s="10"/>
      <c r="G552" s="10"/>
    </row>
    <row r="553" spans="1:7" s="11" customFormat="1" x14ac:dyDescent="0.55000000000000004">
      <c r="A553" s="9"/>
      <c r="B553" s="10"/>
      <c r="C553" s="10"/>
      <c r="D553" s="10"/>
      <c r="E553" s="10"/>
      <c r="F553" s="10"/>
      <c r="G553" s="10"/>
    </row>
    <row r="554" spans="1:7" s="11" customFormat="1" x14ac:dyDescent="0.55000000000000004">
      <c r="A554" s="9"/>
      <c r="B554" s="10"/>
      <c r="C554" s="10"/>
      <c r="D554" s="10"/>
      <c r="E554" s="10"/>
      <c r="F554" s="10"/>
      <c r="G554" s="10"/>
    </row>
    <row r="555" spans="1:7" s="11" customFormat="1" x14ac:dyDescent="0.55000000000000004">
      <c r="A555" s="9"/>
      <c r="B555" s="10"/>
      <c r="C555" s="10"/>
      <c r="D555" s="10"/>
      <c r="E555" s="10"/>
      <c r="F555" s="10"/>
      <c r="G555" s="10"/>
    </row>
    <row r="556" spans="1:7" s="11" customFormat="1" x14ac:dyDescent="0.55000000000000004">
      <c r="A556" s="9"/>
      <c r="B556" s="10"/>
      <c r="C556" s="10"/>
      <c r="D556" s="10"/>
      <c r="E556" s="10"/>
      <c r="F556" s="10"/>
      <c r="G556" s="10"/>
    </row>
    <row r="557" spans="1:7" s="11" customFormat="1" x14ac:dyDescent="0.55000000000000004">
      <c r="A557" s="9"/>
      <c r="B557" s="10"/>
      <c r="C557" s="10"/>
      <c r="D557" s="10"/>
      <c r="E557" s="10"/>
      <c r="F557" s="10"/>
      <c r="G557" s="10"/>
    </row>
    <row r="558" spans="1:7" s="11" customFormat="1" x14ac:dyDescent="0.55000000000000004">
      <c r="A558" s="9"/>
      <c r="B558" s="10"/>
      <c r="C558" s="10"/>
      <c r="D558" s="10"/>
      <c r="E558" s="10"/>
      <c r="F558" s="10"/>
      <c r="G558" s="10"/>
    </row>
    <row r="559" spans="1:7" s="11" customFormat="1" x14ac:dyDescent="0.55000000000000004">
      <c r="A559" s="9"/>
      <c r="B559" s="10"/>
      <c r="C559" s="10"/>
      <c r="D559" s="10"/>
      <c r="E559" s="10"/>
      <c r="F559" s="10"/>
      <c r="G559" s="10"/>
    </row>
    <row r="560" spans="1:7" s="11" customFormat="1" x14ac:dyDescent="0.55000000000000004">
      <c r="A560" s="9"/>
      <c r="B560" s="10"/>
      <c r="C560" s="10"/>
      <c r="D560" s="10"/>
      <c r="E560" s="10"/>
      <c r="F560" s="10"/>
      <c r="G560" s="10"/>
    </row>
    <row r="561" spans="1:7" s="11" customFormat="1" x14ac:dyDescent="0.55000000000000004">
      <c r="A561" s="9"/>
      <c r="B561" s="10"/>
      <c r="C561" s="10"/>
      <c r="D561" s="10"/>
      <c r="E561" s="10"/>
      <c r="F561" s="10"/>
      <c r="G561" s="10"/>
    </row>
    <row r="562" spans="1:7" s="11" customFormat="1" x14ac:dyDescent="0.55000000000000004">
      <c r="A562" s="9"/>
      <c r="B562" s="10"/>
      <c r="C562" s="10"/>
      <c r="D562" s="10"/>
      <c r="E562" s="10"/>
      <c r="F562" s="10"/>
      <c r="G562" s="10"/>
    </row>
    <row r="563" spans="1:7" s="11" customFormat="1" x14ac:dyDescent="0.55000000000000004">
      <c r="A563" s="9"/>
      <c r="B563" s="10"/>
      <c r="C563" s="10"/>
      <c r="D563" s="10"/>
      <c r="E563" s="10"/>
      <c r="F563" s="10"/>
      <c r="G563" s="10"/>
    </row>
    <row r="564" spans="1:7" s="11" customFormat="1" x14ac:dyDescent="0.55000000000000004">
      <c r="A564" s="9"/>
      <c r="B564" s="10"/>
      <c r="C564" s="10"/>
      <c r="D564" s="10"/>
      <c r="E564" s="10"/>
      <c r="F564" s="10"/>
      <c r="G564" s="10"/>
    </row>
    <row r="565" spans="1:7" s="11" customFormat="1" x14ac:dyDescent="0.55000000000000004">
      <c r="A565" s="9"/>
      <c r="B565" s="10"/>
      <c r="C565" s="10"/>
      <c r="D565" s="10"/>
      <c r="E565" s="10"/>
      <c r="F565" s="10"/>
      <c r="G565" s="10"/>
    </row>
    <row r="566" spans="1:7" s="11" customFormat="1" x14ac:dyDescent="0.55000000000000004">
      <c r="A566" s="9"/>
      <c r="B566" s="10"/>
      <c r="C566" s="10"/>
      <c r="D566" s="10"/>
      <c r="E566" s="10"/>
      <c r="F566" s="10"/>
      <c r="G566" s="10"/>
    </row>
    <row r="567" spans="1:7" s="11" customFormat="1" x14ac:dyDescent="0.55000000000000004">
      <c r="A567" s="9"/>
      <c r="B567" s="10"/>
      <c r="C567" s="10"/>
      <c r="D567" s="10"/>
      <c r="E567" s="10"/>
      <c r="F567" s="10"/>
      <c r="G567" s="10"/>
    </row>
    <row r="568" spans="1:7" s="11" customFormat="1" x14ac:dyDescent="0.55000000000000004">
      <c r="A568" s="9"/>
      <c r="B568" s="10"/>
      <c r="C568" s="10"/>
      <c r="D568" s="10"/>
      <c r="E568" s="10"/>
      <c r="F568" s="10"/>
      <c r="G568" s="10"/>
    </row>
    <row r="569" spans="1:7" s="11" customFormat="1" x14ac:dyDescent="0.55000000000000004">
      <c r="A569" s="9"/>
      <c r="B569" s="10"/>
      <c r="C569" s="10"/>
      <c r="D569" s="10"/>
      <c r="E569" s="10"/>
      <c r="F569" s="10"/>
      <c r="G569" s="10"/>
    </row>
    <row r="570" spans="1:7" s="11" customFormat="1" x14ac:dyDescent="0.55000000000000004">
      <c r="A570" s="9"/>
      <c r="B570" s="10"/>
      <c r="C570" s="10"/>
      <c r="D570" s="10"/>
      <c r="E570" s="10"/>
      <c r="F570" s="10"/>
      <c r="G570" s="10"/>
    </row>
    <row r="571" spans="1:7" s="11" customFormat="1" x14ac:dyDescent="0.55000000000000004">
      <c r="A571" s="9"/>
      <c r="B571" s="10"/>
      <c r="C571" s="10"/>
      <c r="D571" s="10"/>
      <c r="E571" s="10"/>
      <c r="F571" s="10"/>
      <c r="G571" s="10"/>
    </row>
    <row r="572" spans="1:7" s="11" customFormat="1" x14ac:dyDescent="0.55000000000000004">
      <c r="A572" s="9"/>
      <c r="B572" s="10"/>
      <c r="C572" s="10"/>
      <c r="D572" s="10"/>
      <c r="E572" s="10"/>
      <c r="F572" s="10"/>
      <c r="G572" s="10"/>
    </row>
    <row r="573" spans="1:7" s="11" customFormat="1" x14ac:dyDescent="0.55000000000000004">
      <c r="A573" s="9"/>
      <c r="B573" s="10"/>
      <c r="C573" s="10"/>
      <c r="D573" s="10"/>
      <c r="E573" s="10"/>
      <c r="F573" s="10"/>
      <c r="G573" s="10"/>
    </row>
    <row r="574" spans="1:7" s="11" customFormat="1" x14ac:dyDescent="0.55000000000000004">
      <c r="A574" s="9"/>
      <c r="B574" s="10"/>
      <c r="C574" s="10"/>
      <c r="D574" s="10"/>
      <c r="E574" s="10"/>
      <c r="F574" s="10"/>
      <c r="G574" s="10"/>
    </row>
    <row r="575" spans="1:7" s="11" customFormat="1" x14ac:dyDescent="0.55000000000000004">
      <c r="A575" s="9"/>
      <c r="B575" s="10"/>
      <c r="C575" s="10"/>
      <c r="D575" s="10"/>
      <c r="E575" s="10"/>
      <c r="F575" s="10"/>
      <c r="G575" s="10"/>
    </row>
    <row r="576" spans="1:7" s="11" customFormat="1" x14ac:dyDescent="0.55000000000000004">
      <c r="A576" s="9"/>
      <c r="B576" s="10"/>
      <c r="C576" s="10"/>
      <c r="D576" s="10"/>
      <c r="E576" s="10"/>
      <c r="F576" s="10"/>
      <c r="G576" s="10"/>
    </row>
    <row r="577" spans="1:7" s="11" customFormat="1" x14ac:dyDescent="0.55000000000000004">
      <c r="A577" s="9"/>
      <c r="B577" s="10"/>
      <c r="C577" s="10"/>
      <c r="D577" s="10"/>
      <c r="E577" s="10"/>
      <c r="F577" s="10"/>
      <c r="G577" s="10"/>
    </row>
    <row r="578" spans="1:7" s="11" customFormat="1" x14ac:dyDescent="0.55000000000000004">
      <c r="A578" s="9"/>
      <c r="B578" s="10"/>
      <c r="C578" s="10"/>
      <c r="D578" s="10"/>
      <c r="E578" s="10"/>
      <c r="F578" s="10"/>
      <c r="G578" s="10"/>
    </row>
    <row r="579" spans="1:7" s="11" customFormat="1" x14ac:dyDescent="0.55000000000000004">
      <c r="A579" s="9"/>
      <c r="B579" s="10"/>
      <c r="C579" s="10"/>
      <c r="D579" s="10"/>
      <c r="E579" s="10"/>
      <c r="F579" s="10"/>
      <c r="G579" s="10"/>
    </row>
    <row r="580" spans="1:7" s="11" customFormat="1" x14ac:dyDescent="0.55000000000000004">
      <c r="A580" s="9"/>
      <c r="B580" s="10"/>
      <c r="C580" s="10"/>
      <c r="D580" s="10"/>
      <c r="E580" s="10"/>
      <c r="F580" s="10"/>
      <c r="G580" s="10"/>
    </row>
    <row r="581" spans="1:7" s="11" customFormat="1" x14ac:dyDescent="0.55000000000000004">
      <c r="A581" s="9"/>
      <c r="B581" s="10"/>
      <c r="C581" s="10"/>
      <c r="D581" s="10"/>
      <c r="E581" s="10"/>
      <c r="F581" s="10"/>
      <c r="G581" s="10"/>
    </row>
    <row r="582" spans="1:7" s="11" customFormat="1" x14ac:dyDescent="0.55000000000000004">
      <c r="A582" s="9"/>
      <c r="B582" s="10"/>
      <c r="C582" s="10"/>
      <c r="D582" s="10"/>
      <c r="E582" s="10"/>
      <c r="F582" s="10"/>
      <c r="G582" s="10"/>
    </row>
    <row r="583" spans="1:7" s="11" customFormat="1" x14ac:dyDescent="0.55000000000000004">
      <c r="A583" s="9"/>
      <c r="B583" s="10"/>
      <c r="C583" s="10"/>
      <c r="D583" s="10"/>
      <c r="E583" s="10"/>
      <c r="F583" s="10"/>
      <c r="G583" s="10"/>
    </row>
    <row r="584" spans="1:7" s="11" customFormat="1" x14ac:dyDescent="0.55000000000000004">
      <c r="A584" s="9"/>
      <c r="B584" s="10"/>
      <c r="C584" s="10"/>
      <c r="D584" s="10"/>
      <c r="E584" s="10"/>
      <c r="F584" s="10"/>
      <c r="G584" s="10"/>
    </row>
    <row r="585" spans="1:7" s="11" customFormat="1" x14ac:dyDescent="0.55000000000000004">
      <c r="A585" s="9"/>
      <c r="B585" s="10"/>
      <c r="C585" s="10"/>
      <c r="D585" s="10"/>
      <c r="E585" s="10"/>
      <c r="F585" s="10"/>
      <c r="G585" s="10"/>
    </row>
    <row r="586" spans="1:7" s="11" customFormat="1" x14ac:dyDescent="0.55000000000000004">
      <c r="A586" s="9"/>
      <c r="B586" s="10"/>
      <c r="C586" s="10"/>
      <c r="D586" s="10"/>
      <c r="E586" s="10"/>
      <c r="F586" s="10"/>
      <c r="G586" s="10"/>
    </row>
    <row r="587" spans="1:7" s="11" customFormat="1" x14ac:dyDescent="0.55000000000000004">
      <c r="A587" s="9"/>
      <c r="B587" s="10"/>
      <c r="C587" s="10"/>
      <c r="D587" s="10"/>
      <c r="E587" s="10"/>
      <c r="F587" s="10"/>
      <c r="G587" s="10"/>
    </row>
    <row r="588" spans="1:7" s="11" customFormat="1" x14ac:dyDescent="0.55000000000000004">
      <c r="A588" s="9"/>
      <c r="B588" s="10"/>
      <c r="C588" s="10"/>
      <c r="D588" s="10"/>
      <c r="E588" s="10"/>
      <c r="F588" s="10"/>
      <c r="G588" s="10"/>
    </row>
    <row r="589" spans="1:7" s="11" customFormat="1" x14ac:dyDescent="0.55000000000000004">
      <c r="A589" s="9"/>
      <c r="B589" s="10"/>
      <c r="C589" s="10"/>
      <c r="D589" s="10"/>
      <c r="E589" s="10"/>
      <c r="F589" s="10"/>
      <c r="G589" s="10"/>
    </row>
    <row r="590" spans="1:7" s="11" customFormat="1" x14ac:dyDescent="0.55000000000000004">
      <c r="A590" s="9"/>
      <c r="B590" s="10"/>
      <c r="C590" s="10"/>
      <c r="D590" s="10"/>
      <c r="E590" s="10"/>
      <c r="F590" s="10"/>
      <c r="G590" s="10"/>
    </row>
    <row r="591" spans="1:7" s="11" customFormat="1" x14ac:dyDescent="0.55000000000000004">
      <c r="A591" s="9"/>
      <c r="B591" s="10"/>
      <c r="C591" s="10"/>
      <c r="D591" s="10"/>
      <c r="E591" s="10"/>
      <c r="F591" s="10"/>
      <c r="G591" s="10"/>
    </row>
    <row r="592" spans="1:7" s="11" customFormat="1" x14ac:dyDescent="0.55000000000000004">
      <c r="A592" s="9"/>
      <c r="B592" s="10"/>
      <c r="C592" s="10"/>
      <c r="D592" s="10"/>
      <c r="E592" s="10"/>
      <c r="F592" s="10"/>
      <c r="G592" s="10"/>
    </row>
    <row r="593" spans="1:7" s="11" customFormat="1" x14ac:dyDescent="0.55000000000000004">
      <c r="A593" s="9"/>
      <c r="B593" s="10"/>
      <c r="C593" s="10"/>
      <c r="D593" s="10"/>
      <c r="E593" s="10"/>
      <c r="F593" s="10"/>
      <c r="G593" s="10"/>
    </row>
    <row r="594" spans="1:7" s="11" customFormat="1" x14ac:dyDescent="0.55000000000000004">
      <c r="A594" s="9"/>
      <c r="B594" s="10"/>
      <c r="C594" s="10"/>
      <c r="D594" s="10"/>
      <c r="E594" s="10"/>
      <c r="F594" s="10"/>
      <c r="G594" s="10"/>
    </row>
    <row r="595" spans="1:7" s="11" customFormat="1" x14ac:dyDescent="0.55000000000000004">
      <c r="A595" s="9"/>
      <c r="B595" s="10"/>
      <c r="C595" s="10"/>
      <c r="D595" s="10"/>
      <c r="E595" s="10"/>
      <c r="F595" s="10"/>
      <c r="G595" s="10"/>
    </row>
    <row r="596" spans="1:7" s="11" customFormat="1" x14ac:dyDescent="0.55000000000000004">
      <c r="A596" s="9"/>
      <c r="B596" s="10"/>
      <c r="C596" s="10"/>
      <c r="D596" s="10"/>
      <c r="E596" s="10"/>
      <c r="F596" s="10"/>
      <c r="G596" s="10"/>
    </row>
    <row r="597" spans="1:7" s="11" customFormat="1" x14ac:dyDescent="0.55000000000000004">
      <c r="A597" s="9"/>
      <c r="B597" s="10"/>
      <c r="C597" s="10"/>
      <c r="D597" s="10"/>
      <c r="E597" s="10"/>
      <c r="F597" s="10"/>
      <c r="G597" s="10"/>
    </row>
    <row r="598" spans="1:7" s="11" customFormat="1" x14ac:dyDescent="0.55000000000000004">
      <c r="A598" s="9"/>
      <c r="B598" s="10"/>
      <c r="C598" s="10"/>
      <c r="D598" s="10"/>
      <c r="E598" s="10"/>
      <c r="F598" s="10"/>
      <c r="G598" s="10"/>
    </row>
    <row r="599" spans="1:7" s="11" customFormat="1" x14ac:dyDescent="0.55000000000000004">
      <c r="A599" s="9"/>
      <c r="B599" s="10"/>
      <c r="C599" s="10"/>
      <c r="D599" s="10"/>
      <c r="E599" s="10"/>
      <c r="F599" s="10"/>
      <c r="G599" s="10"/>
    </row>
    <row r="600" spans="1:7" s="11" customFormat="1" x14ac:dyDescent="0.55000000000000004">
      <c r="A600" s="9"/>
      <c r="B600" s="10"/>
      <c r="C600" s="10"/>
      <c r="D600" s="10"/>
      <c r="E600" s="10"/>
      <c r="F600" s="10"/>
      <c r="G600" s="10"/>
    </row>
    <row r="601" spans="1:7" s="11" customFormat="1" x14ac:dyDescent="0.55000000000000004">
      <c r="A601" s="9"/>
      <c r="B601" s="10"/>
      <c r="C601" s="10"/>
      <c r="D601" s="10"/>
      <c r="E601" s="10"/>
      <c r="F601" s="10"/>
      <c r="G601" s="10"/>
    </row>
    <row r="602" spans="1:7" s="11" customFormat="1" x14ac:dyDescent="0.55000000000000004">
      <c r="A602" s="9"/>
      <c r="B602" s="10"/>
      <c r="C602" s="10"/>
      <c r="D602" s="10"/>
      <c r="E602" s="10"/>
      <c r="F602" s="10"/>
      <c r="G602" s="10"/>
    </row>
    <row r="603" spans="1:7" s="11" customFormat="1" x14ac:dyDescent="0.55000000000000004">
      <c r="A603" s="9"/>
      <c r="B603" s="10"/>
      <c r="C603" s="10"/>
      <c r="D603" s="10"/>
      <c r="E603" s="10"/>
      <c r="F603" s="10"/>
      <c r="G603" s="10"/>
    </row>
    <row r="604" spans="1:7" s="11" customFormat="1" x14ac:dyDescent="0.55000000000000004">
      <c r="A604" s="9"/>
      <c r="B604" s="10"/>
      <c r="C604" s="10"/>
      <c r="D604" s="10"/>
      <c r="E604" s="10"/>
      <c r="F604" s="10"/>
      <c r="G604" s="10"/>
    </row>
    <row r="605" spans="1:7" s="11" customFormat="1" x14ac:dyDescent="0.55000000000000004">
      <c r="A605" s="9"/>
      <c r="B605" s="10"/>
      <c r="C605" s="10"/>
      <c r="D605" s="10"/>
      <c r="E605" s="10"/>
      <c r="F605" s="10"/>
      <c r="G605" s="10"/>
    </row>
    <row r="606" spans="1:7" s="11" customFormat="1" x14ac:dyDescent="0.55000000000000004">
      <c r="A606" s="9"/>
      <c r="B606" s="10"/>
      <c r="C606" s="10"/>
      <c r="D606" s="10"/>
      <c r="E606" s="10"/>
      <c r="F606" s="10"/>
      <c r="G606" s="10"/>
    </row>
    <row r="607" spans="1:7" s="11" customFormat="1" x14ac:dyDescent="0.55000000000000004">
      <c r="A607" s="9"/>
      <c r="B607" s="10"/>
      <c r="C607" s="10"/>
      <c r="D607" s="10"/>
      <c r="E607" s="10"/>
      <c r="F607" s="10"/>
      <c r="G607" s="10"/>
    </row>
    <row r="608" spans="1:7" s="11" customFormat="1" x14ac:dyDescent="0.55000000000000004">
      <c r="A608" s="9"/>
      <c r="B608" s="10"/>
      <c r="C608" s="10"/>
      <c r="D608" s="10"/>
      <c r="E608" s="10"/>
      <c r="F608" s="10"/>
      <c r="G608" s="10"/>
    </row>
    <row r="609" spans="1:7" s="11" customFormat="1" x14ac:dyDescent="0.55000000000000004">
      <c r="A609" s="9"/>
      <c r="B609" s="10"/>
      <c r="C609" s="10"/>
      <c r="D609" s="10"/>
      <c r="E609" s="10"/>
      <c r="F609" s="10"/>
      <c r="G609" s="10"/>
    </row>
    <row r="610" spans="1:7" s="11" customFormat="1" x14ac:dyDescent="0.55000000000000004">
      <c r="A610" s="9"/>
      <c r="B610" s="10"/>
      <c r="C610" s="10"/>
      <c r="D610" s="10"/>
      <c r="E610" s="10"/>
      <c r="F610" s="10"/>
      <c r="G610" s="10"/>
    </row>
    <row r="611" spans="1:7" s="11" customFormat="1" x14ac:dyDescent="0.55000000000000004">
      <c r="A611" s="9"/>
      <c r="B611" s="10"/>
      <c r="C611" s="10"/>
      <c r="D611" s="10"/>
      <c r="E611" s="10"/>
      <c r="F611" s="10"/>
      <c r="G611" s="10"/>
    </row>
    <row r="612" spans="1:7" s="11" customFormat="1" x14ac:dyDescent="0.55000000000000004">
      <c r="A612" s="9"/>
      <c r="B612" s="10"/>
      <c r="C612" s="10"/>
      <c r="D612" s="10"/>
      <c r="E612" s="10"/>
      <c r="F612" s="10"/>
      <c r="G612" s="10"/>
    </row>
    <row r="613" spans="1:7" s="11" customFormat="1" x14ac:dyDescent="0.55000000000000004">
      <c r="A613" s="9"/>
      <c r="B613" s="10"/>
      <c r="C613" s="10"/>
      <c r="D613" s="10"/>
      <c r="E613" s="10"/>
      <c r="F613" s="10"/>
      <c r="G613" s="10"/>
    </row>
    <row r="614" spans="1:7" s="11" customFormat="1" x14ac:dyDescent="0.55000000000000004">
      <c r="A614" s="9"/>
      <c r="B614" s="10"/>
      <c r="C614" s="10"/>
      <c r="D614" s="10"/>
      <c r="E614" s="10"/>
      <c r="F614" s="10"/>
      <c r="G614" s="10"/>
    </row>
    <row r="615" spans="1:7" s="11" customFormat="1" x14ac:dyDescent="0.55000000000000004">
      <c r="A615" s="9"/>
      <c r="B615" s="10"/>
      <c r="C615" s="10"/>
      <c r="D615" s="10"/>
      <c r="E615" s="10"/>
      <c r="F615" s="10"/>
      <c r="G615" s="10"/>
    </row>
    <row r="616" spans="1:7" s="11" customFormat="1" x14ac:dyDescent="0.55000000000000004">
      <c r="A616" s="9"/>
      <c r="B616" s="10"/>
      <c r="C616" s="10"/>
      <c r="D616" s="10"/>
      <c r="E616" s="10"/>
      <c r="F616" s="10"/>
      <c r="G616" s="10"/>
    </row>
    <row r="617" spans="1:7" s="11" customFormat="1" x14ac:dyDescent="0.55000000000000004">
      <c r="A617" s="9"/>
      <c r="B617" s="10"/>
      <c r="C617" s="10"/>
      <c r="D617" s="10"/>
      <c r="E617" s="10"/>
      <c r="F617" s="10"/>
      <c r="G617" s="10"/>
    </row>
    <row r="618" spans="1:7" s="11" customFormat="1" x14ac:dyDescent="0.55000000000000004">
      <c r="A618" s="9"/>
      <c r="B618" s="10"/>
      <c r="C618" s="10"/>
      <c r="D618" s="10"/>
      <c r="E618" s="10"/>
      <c r="F618" s="10"/>
      <c r="G618" s="10"/>
    </row>
    <row r="619" spans="1:7" s="11" customFormat="1" x14ac:dyDescent="0.55000000000000004">
      <c r="A619" s="9"/>
      <c r="B619" s="10"/>
      <c r="C619" s="10"/>
      <c r="D619" s="10"/>
      <c r="E619" s="10"/>
      <c r="F619" s="10"/>
      <c r="G619" s="10"/>
    </row>
    <row r="620" spans="1:7" s="11" customFormat="1" x14ac:dyDescent="0.55000000000000004">
      <c r="A620" s="9"/>
      <c r="B620" s="10"/>
      <c r="C620" s="10"/>
      <c r="D620" s="10"/>
      <c r="E620" s="10"/>
      <c r="F620" s="10"/>
      <c r="G620" s="10"/>
    </row>
    <row r="621" spans="1:7" s="11" customFormat="1" x14ac:dyDescent="0.55000000000000004">
      <c r="A621" s="9"/>
      <c r="B621" s="10"/>
      <c r="C621" s="10"/>
      <c r="D621" s="10"/>
      <c r="E621" s="10"/>
      <c r="F621" s="10"/>
      <c r="G621" s="10"/>
    </row>
    <row r="622" spans="1:7" s="11" customFormat="1" x14ac:dyDescent="0.55000000000000004">
      <c r="A622" s="9"/>
      <c r="B622" s="10"/>
      <c r="C622" s="10"/>
      <c r="D622" s="10"/>
      <c r="E622" s="10"/>
      <c r="F622" s="10"/>
      <c r="G622" s="10"/>
    </row>
    <row r="623" spans="1:7" s="11" customFormat="1" x14ac:dyDescent="0.55000000000000004">
      <c r="A623" s="9"/>
      <c r="B623" s="10"/>
      <c r="C623" s="10"/>
      <c r="D623" s="10"/>
      <c r="E623" s="10"/>
      <c r="F623" s="10"/>
      <c r="G623" s="10"/>
    </row>
    <row r="624" spans="1:7" s="11" customFormat="1" x14ac:dyDescent="0.55000000000000004">
      <c r="A624" s="9"/>
      <c r="B624" s="10"/>
      <c r="C624" s="10"/>
      <c r="D624" s="10"/>
      <c r="E624" s="10"/>
      <c r="F624" s="10"/>
      <c r="G624" s="10"/>
    </row>
    <row r="625" spans="1:7" s="11" customFormat="1" x14ac:dyDescent="0.55000000000000004">
      <c r="A625" s="9"/>
      <c r="B625" s="10"/>
      <c r="C625" s="10"/>
      <c r="D625" s="10"/>
      <c r="E625" s="10"/>
      <c r="F625" s="10"/>
      <c r="G625" s="10"/>
    </row>
    <row r="626" spans="1:7" s="11" customFormat="1" x14ac:dyDescent="0.55000000000000004">
      <c r="A626" s="9"/>
      <c r="B626" s="10"/>
      <c r="C626" s="10"/>
      <c r="D626" s="10"/>
      <c r="E626" s="10"/>
      <c r="F626" s="10"/>
      <c r="G626" s="10"/>
    </row>
    <row r="627" spans="1:7" s="11" customFormat="1" x14ac:dyDescent="0.55000000000000004">
      <c r="A627" s="9"/>
      <c r="B627" s="10"/>
      <c r="C627" s="10"/>
      <c r="D627" s="10"/>
      <c r="E627" s="10"/>
      <c r="F627" s="10"/>
      <c r="G627" s="10"/>
    </row>
    <row r="628" spans="1:7" s="11" customFormat="1" x14ac:dyDescent="0.55000000000000004">
      <c r="A628" s="9"/>
      <c r="B628" s="10"/>
      <c r="C628" s="10"/>
      <c r="D628" s="10"/>
      <c r="E628" s="10"/>
      <c r="F628" s="10"/>
      <c r="G628" s="10"/>
    </row>
    <row r="629" spans="1:7" s="11" customFormat="1" x14ac:dyDescent="0.55000000000000004">
      <c r="A629" s="9"/>
      <c r="B629" s="10"/>
      <c r="C629" s="10"/>
      <c r="D629" s="10"/>
      <c r="E629" s="10"/>
      <c r="F629" s="10"/>
      <c r="G629" s="10"/>
    </row>
    <row r="630" spans="1:7" s="11" customFormat="1" x14ac:dyDescent="0.55000000000000004">
      <c r="A630" s="9"/>
      <c r="B630" s="10"/>
      <c r="C630" s="10"/>
      <c r="D630" s="10"/>
      <c r="E630" s="10"/>
      <c r="F630" s="10"/>
      <c r="G630" s="10"/>
    </row>
    <row r="631" spans="1:7" s="11" customFormat="1" x14ac:dyDescent="0.55000000000000004">
      <c r="A631" s="9"/>
      <c r="B631" s="10"/>
      <c r="C631" s="10"/>
      <c r="D631" s="10"/>
      <c r="E631" s="10"/>
      <c r="F631" s="10"/>
      <c r="G631" s="10"/>
    </row>
    <row r="632" spans="1:7" s="11" customFormat="1" x14ac:dyDescent="0.55000000000000004">
      <c r="A632" s="9"/>
      <c r="B632" s="10"/>
      <c r="C632" s="10"/>
      <c r="D632" s="10"/>
      <c r="E632" s="10"/>
      <c r="F632" s="10"/>
      <c r="G632" s="10"/>
    </row>
    <row r="633" spans="1:7" s="11" customFormat="1" x14ac:dyDescent="0.55000000000000004">
      <c r="A633" s="9"/>
      <c r="B633" s="10"/>
      <c r="C633" s="10"/>
      <c r="D633" s="10"/>
      <c r="E633" s="10"/>
      <c r="F633" s="10"/>
      <c r="G633" s="10"/>
    </row>
    <row r="634" spans="1:7" s="11" customFormat="1" x14ac:dyDescent="0.55000000000000004">
      <c r="A634" s="9"/>
      <c r="B634" s="10"/>
      <c r="C634" s="10"/>
      <c r="D634" s="10"/>
      <c r="E634" s="10"/>
      <c r="F634" s="10"/>
      <c r="G634" s="10"/>
    </row>
    <row r="635" spans="1:7" s="11" customFormat="1" x14ac:dyDescent="0.55000000000000004">
      <c r="A635" s="9"/>
      <c r="B635" s="10"/>
      <c r="C635" s="10"/>
      <c r="D635" s="10"/>
      <c r="E635" s="10"/>
      <c r="F635" s="10"/>
      <c r="G635" s="10"/>
    </row>
    <row r="636" spans="1:7" s="11" customFormat="1" x14ac:dyDescent="0.55000000000000004">
      <c r="A636" s="9"/>
      <c r="B636" s="10"/>
      <c r="C636" s="10"/>
      <c r="D636" s="10"/>
      <c r="E636" s="10"/>
      <c r="F636" s="10"/>
      <c r="G636" s="10"/>
    </row>
    <row r="637" spans="1:7" s="11" customFormat="1" x14ac:dyDescent="0.55000000000000004">
      <c r="A637" s="9"/>
      <c r="B637" s="10"/>
      <c r="C637" s="10"/>
      <c r="D637" s="10"/>
      <c r="E637" s="10"/>
      <c r="F637" s="10"/>
      <c r="G637" s="10"/>
    </row>
    <row r="638" spans="1:7" s="11" customFormat="1" x14ac:dyDescent="0.55000000000000004">
      <c r="A638" s="9"/>
      <c r="B638" s="10"/>
      <c r="C638" s="10"/>
      <c r="D638" s="10"/>
      <c r="E638" s="10"/>
      <c r="F638" s="10"/>
      <c r="G638" s="10"/>
    </row>
    <row r="639" spans="1:7" s="11" customFormat="1" x14ac:dyDescent="0.55000000000000004">
      <c r="A639" s="9"/>
      <c r="B639" s="10"/>
      <c r="C639" s="10"/>
      <c r="D639" s="10"/>
      <c r="E639" s="10"/>
      <c r="F639" s="10"/>
      <c r="G639" s="10"/>
    </row>
    <row r="640" spans="1:7" s="11" customFormat="1" x14ac:dyDescent="0.55000000000000004">
      <c r="A640" s="9"/>
      <c r="B640" s="10"/>
      <c r="C640" s="10"/>
      <c r="D640" s="10"/>
      <c r="E640" s="10"/>
      <c r="F640" s="10"/>
      <c r="G640" s="10"/>
    </row>
    <row r="641" spans="1:7" s="11" customFormat="1" x14ac:dyDescent="0.55000000000000004">
      <c r="A641" s="9"/>
      <c r="B641" s="10"/>
      <c r="C641" s="10"/>
      <c r="D641" s="10"/>
      <c r="E641" s="10"/>
      <c r="F641" s="10"/>
      <c r="G641" s="10"/>
    </row>
    <row r="642" spans="1:7" s="11" customFormat="1" x14ac:dyDescent="0.55000000000000004">
      <c r="A642" s="9"/>
      <c r="B642" s="10"/>
      <c r="C642" s="10"/>
      <c r="D642" s="10"/>
      <c r="E642" s="10"/>
      <c r="F642" s="10"/>
      <c r="G642" s="10"/>
    </row>
    <row r="643" spans="1:7" s="11" customFormat="1" x14ac:dyDescent="0.55000000000000004">
      <c r="A643" s="9"/>
      <c r="B643" s="10"/>
      <c r="C643" s="10"/>
      <c r="D643" s="10"/>
      <c r="E643" s="10"/>
      <c r="F643" s="10"/>
      <c r="G643" s="10"/>
    </row>
    <row r="644" spans="1:7" s="11" customFormat="1" x14ac:dyDescent="0.55000000000000004">
      <c r="A644" s="9"/>
      <c r="B644" s="10"/>
      <c r="C644" s="10"/>
      <c r="D644" s="10"/>
      <c r="E644" s="10"/>
      <c r="F644" s="10"/>
      <c r="G644" s="10"/>
    </row>
    <row r="645" spans="1:7" s="11" customFormat="1" x14ac:dyDescent="0.55000000000000004">
      <c r="A645" s="9"/>
      <c r="B645" s="10"/>
      <c r="C645" s="10"/>
      <c r="D645" s="10"/>
      <c r="E645" s="10"/>
      <c r="F645" s="10"/>
      <c r="G645" s="10"/>
    </row>
    <row r="646" spans="1:7" s="11" customFormat="1" x14ac:dyDescent="0.55000000000000004">
      <c r="A646" s="9"/>
      <c r="B646" s="10"/>
      <c r="C646" s="10"/>
      <c r="D646" s="10"/>
      <c r="E646" s="10"/>
      <c r="F646" s="10"/>
      <c r="G646" s="10"/>
    </row>
    <row r="647" spans="1:7" s="11" customFormat="1" x14ac:dyDescent="0.55000000000000004">
      <c r="A647" s="9"/>
      <c r="B647" s="10"/>
      <c r="C647" s="10"/>
      <c r="D647" s="10"/>
      <c r="E647" s="10"/>
      <c r="F647" s="10"/>
      <c r="G647" s="10"/>
    </row>
    <row r="648" spans="1:7" s="11" customFormat="1" x14ac:dyDescent="0.55000000000000004">
      <c r="A648" s="9"/>
      <c r="B648" s="10"/>
      <c r="C648" s="10"/>
      <c r="D648" s="10"/>
      <c r="E648" s="10"/>
      <c r="F648" s="10"/>
      <c r="G648" s="10"/>
    </row>
    <row r="649" spans="1:7" s="11" customFormat="1" x14ac:dyDescent="0.55000000000000004">
      <c r="A649" s="9"/>
      <c r="B649" s="10"/>
      <c r="C649" s="10"/>
      <c r="D649" s="10"/>
      <c r="E649" s="10"/>
      <c r="F649" s="10"/>
      <c r="G649" s="10"/>
    </row>
    <row r="650" spans="1:7" s="11" customFormat="1" x14ac:dyDescent="0.55000000000000004">
      <c r="A650" s="9"/>
      <c r="B650" s="10"/>
      <c r="C650" s="10"/>
      <c r="D650" s="10"/>
      <c r="E650" s="10"/>
      <c r="F650" s="10"/>
      <c r="G650" s="10"/>
    </row>
    <row r="651" spans="1:7" s="11" customFormat="1" x14ac:dyDescent="0.55000000000000004">
      <c r="A651" s="9"/>
      <c r="B651" s="10"/>
      <c r="C651" s="10"/>
      <c r="D651" s="10"/>
      <c r="E651" s="10"/>
      <c r="F651" s="10"/>
      <c r="G651" s="10"/>
    </row>
    <row r="652" spans="1:7" s="11" customFormat="1" x14ac:dyDescent="0.55000000000000004">
      <c r="A652" s="9"/>
      <c r="B652" s="10"/>
      <c r="C652" s="10"/>
      <c r="D652" s="10"/>
      <c r="E652" s="10"/>
      <c r="F652" s="10"/>
      <c r="G652" s="10"/>
    </row>
    <row r="653" spans="1:7" s="11" customFormat="1" x14ac:dyDescent="0.55000000000000004">
      <c r="A653" s="9"/>
      <c r="B653" s="10"/>
      <c r="C653" s="10"/>
      <c r="D653" s="10"/>
      <c r="E653" s="10"/>
      <c r="F653" s="10"/>
      <c r="G653" s="10"/>
    </row>
    <row r="654" spans="1:7" s="11" customFormat="1" x14ac:dyDescent="0.55000000000000004">
      <c r="A654" s="9"/>
      <c r="B654" s="10"/>
      <c r="C654" s="10"/>
      <c r="D654" s="10"/>
      <c r="E654" s="10"/>
      <c r="F654" s="10"/>
      <c r="G654" s="10"/>
    </row>
    <row r="655" spans="1:7" s="11" customFormat="1" x14ac:dyDescent="0.55000000000000004">
      <c r="A655" s="9"/>
      <c r="B655" s="10"/>
      <c r="C655" s="10"/>
      <c r="D655" s="10"/>
      <c r="E655" s="10"/>
      <c r="F655" s="10"/>
      <c r="G655" s="10"/>
    </row>
    <row r="656" spans="1:7" s="11" customFormat="1" x14ac:dyDescent="0.55000000000000004">
      <c r="A656" s="9"/>
      <c r="B656" s="10"/>
      <c r="C656" s="10"/>
      <c r="D656" s="10"/>
      <c r="E656" s="10"/>
      <c r="F656" s="10"/>
      <c r="G656" s="10"/>
    </row>
    <row r="657" spans="1:7" s="11" customFormat="1" x14ac:dyDescent="0.55000000000000004">
      <c r="A657" s="9"/>
      <c r="B657" s="10"/>
      <c r="C657" s="10"/>
      <c r="D657" s="10"/>
      <c r="E657" s="10"/>
      <c r="F657" s="10"/>
      <c r="G657" s="10"/>
    </row>
    <row r="658" spans="1:7" s="11" customFormat="1" x14ac:dyDescent="0.55000000000000004">
      <c r="A658" s="9"/>
      <c r="B658" s="10"/>
      <c r="C658" s="10"/>
      <c r="D658" s="10"/>
      <c r="E658" s="10"/>
      <c r="F658" s="10"/>
      <c r="G658" s="10"/>
    </row>
    <row r="659" spans="1:7" s="11" customFormat="1" x14ac:dyDescent="0.55000000000000004">
      <c r="A659" s="9"/>
      <c r="B659" s="10"/>
      <c r="C659" s="10"/>
      <c r="D659" s="10"/>
      <c r="E659" s="10"/>
      <c r="F659" s="10"/>
      <c r="G659" s="10"/>
    </row>
    <row r="660" spans="1:7" s="11" customFormat="1" x14ac:dyDescent="0.55000000000000004">
      <c r="A660" s="9"/>
      <c r="B660" s="10"/>
      <c r="C660" s="10"/>
      <c r="D660" s="10"/>
      <c r="E660" s="10"/>
      <c r="F660" s="10"/>
      <c r="G660" s="10"/>
    </row>
    <row r="661" spans="1:7" s="11" customFormat="1" x14ac:dyDescent="0.55000000000000004">
      <c r="A661" s="9"/>
      <c r="B661" s="10"/>
      <c r="C661" s="10"/>
      <c r="D661" s="10"/>
      <c r="E661" s="10"/>
      <c r="F661" s="10"/>
      <c r="G661" s="10"/>
    </row>
    <row r="662" spans="1:7" s="11" customFormat="1" x14ac:dyDescent="0.55000000000000004">
      <c r="A662" s="9"/>
      <c r="B662" s="10"/>
      <c r="C662" s="10"/>
      <c r="D662" s="10"/>
      <c r="E662" s="10"/>
      <c r="F662" s="10"/>
      <c r="G662" s="10"/>
    </row>
    <row r="663" spans="1:7" s="11" customFormat="1" x14ac:dyDescent="0.55000000000000004">
      <c r="A663" s="9"/>
      <c r="B663" s="10"/>
      <c r="C663" s="10"/>
      <c r="D663" s="10"/>
      <c r="E663" s="10"/>
      <c r="F663" s="10"/>
      <c r="G663" s="10"/>
    </row>
    <row r="664" spans="1:7" s="11" customFormat="1" x14ac:dyDescent="0.55000000000000004">
      <c r="A664" s="9"/>
      <c r="B664" s="10"/>
      <c r="C664" s="10"/>
      <c r="D664" s="10"/>
      <c r="E664" s="10"/>
      <c r="F664" s="10"/>
      <c r="G664" s="10"/>
    </row>
    <row r="665" spans="1:7" s="11" customFormat="1" x14ac:dyDescent="0.55000000000000004">
      <c r="A665" s="9"/>
      <c r="B665" s="10"/>
      <c r="C665" s="10"/>
      <c r="D665" s="10"/>
      <c r="E665" s="10"/>
      <c r="F665" s="10"/>
      <c r="G665" s="10"/>
    </row>
    <row r="666" spans="1:7" s="11" customFormat="1" x14ac:dyDescent="0.55000000000000004">
      <c r="A666" s="9"/>
      <c r="B666" s="10"/>
      <c r="C666" s="10"/>
      <c r="D666" s="10"/>
      <c r="E666" s="10"/>
      <c r="F666" s="10"/>
      <c r="G666" s="10"/>
    </row>
    <row r="667" spans="1:7" s="11" customFormat="1" x14ac:dyDescent="0.55000000000000004">
      <c r="A667" s="9"/>
      <c r="B667" s="10"/>
      <c r="C667" s="10"/>
      <c r="D667" s="10"/>
      <c r="E667" s="10"/>
      <c r="F667" s="10"/>
      <c r="G667" s="10"/>
    </row>
    <row r="668" spans="1:7" s="11" customFormat="1" x14ac:dyDescent="0.55000000000000004">
      <c r="A668" s="9"/>
      <c r="B668" s="10"/>
      <c r="C668" s="10"/>
      <c r="D668" s="10"/>
      <c r="E668" s="10"/>
      <c r="F668" s="10"/>
      <c r="G668" s="10"/>
    </row>
    <row r="669" spans="1:7" s="11" customFormat="1" x14ac:dyDescent="0.55000000000000004">
      <c r="A669" s="9"/>
      <c r="B669" s="10"/>
      <c r="C669" s="10"/>
      <c r="D669" s="10"/>
      <c r="E669" s="10"/>
      <c r="F669" s="10"/>
      <c r="G669" s="10"/>
    </row>
    <row r="670" spans="1:7" s="11" customFormat="1" x14ac:dyDescent="0.55000000000000004">
      <c r="A670" s="9"/>
      <c r="B670" s="10"/>
      <c r="C670" s="10"/>
      <c r="D670" s="10"/>
      <c r="E670" s="10"/>
      <c r="F670" s="10"/>
      <c r="G670" s="10"/>
    </row>
    <row r="671" spans="1:7" s="11" customFormat="1" x14ac:dyDescent="0.55000000000000004">
      <c r="A671" s="9"/>
      <c r="B671" s="10"/>
      <c r="C671" s="10"/>
      <c r="D671" s="10"/>
      <c r="E671" s="10"/>
      <c r="F671" s="10"/>
      <c r="G671" s="10"/>
    </row>
    <row r="672" spans="1:7" s="11" customFormat="1" x14ac:dyDescent="0.55000000000000004">
      <c r="A672" s="9"/>
      <c r="B672" s="10"/>
      <c r="C672" s="10"/>
      <c r="D672" s="10"/>
      <c r="E672" s="10"/>
      <c r="F672" s="10"/>
      <c r="G672" s="10"/>
    </row>
    <row r="673" spans="1:7" s="11" customFormat="1" x14ac:dyDescent="0.55000000000000004">
      <c r="A673" s="9"/>
      <c r="B673" s="10"/>
      <c r="C673" s="10"/>
      <c r="D673" s="10"/>
      <c r="E673" s="10"/>
      <c r="F673" s="10"/>
      <c r="G673" s="10"/>
    </row>
    <row r="674" spans="1:7" s="11" customFormat="1" x14ac:dyDescent="0.55000000000000004">
      <c r="A674" s="9"/>
      <c r="B674" s="10"/>
      <c r="C674" s="10"/>
      <c r="D674" s="10"/>
      <c r="E674" s="10"/>
      <c r="F674" s="10"/>
      <c r="G674" s="10"/>
    </row>
    <row r="675" spans="1:7" s="11" customFormat="1" x14ac:dyDescent="0.55000000000000004">
      <c r="A675" s="9"/>
      <c r="B675" s="10"/>
      <c r="C675" s="10"/>
      <c r="D675" s="10"/>
      <c r="E675" s="10"/>
      <c r="F675" s="10"/>
      <c r="G675" s="10"/>
    </row>
    <row r="676" spans="1:7" s="11" customFormat="1" x14ac:dyDescent="0.55000000000000004">
      <c r="A676" s="9"/>
      <c r="B676" s="10"/>
      <c r="C676" s="10"/>
      <c r="D676" s="10"/>
      <c r="E676" s="10"/>
      <c r="F676" s="10"/>
      <c r="G676" s="10"/>
    </row>
    <row r="677" spans="1:7" s="11" customFormat="1" x14ac:dyDescent="0.55000000000000004">
      <c r="A677" s="9"/>
      <c r="B677" s="10"/>
      <c r="C677" s="10"/>
      <c r="D677" s="10"/>
      <c r="E677" s="10"/>
      <c r="F677" s="10"/>
      <c r="G677" s="10"/>
    </row>
    <row r="678" spans="1:7" s="11" customFormat="1" x14ac:dyDescent="0.55000000000000004">
      <c r="A678" s="9"/>
      <c r="B678" s="10"/>
      <c r="C678" s="10"/>
      <c r="D678" s="10"/>
      <c r="E678" s="10"/>
      <c r="F678" s="10"/>
      <c r="G678" s="10"/>
    </row>
    <row r="679" spans="1:7" s="11" customFormat="1" x14ac:dyDescent="0.55000000000000004">
      <c r="A679" s="9"/>
      <c r="B679" s="10"/>
      <c r="C679" s="10"/>
      <c r="D679" s="10"/>
      <c r="E679" s="10"/>
      <c r="F679" s="10"/>
      <c r="G679" s="10"/>
    </row>
    <row r="680" spans="1:7" s="11" customFormat="1" x14ac:dyDescent="0.55000000000000004">
      <c r="A680" s="9"/>
      <c r="B680" s="10"/>
      <c r="C680" s="10"/>
      <c r="D680" s="10"/>
      <c r="E680" s="10"/>
      <c r="F680" s="10"/>
      <c r="G680" s="10"/>
    </row>
    <row r="681" spans="1:7" s="11" customFormat="1" x14ac:dyDescent="0.55000000000000004">
      <c r="A681" s="9"/>
      <c r="B681" s="10"/>
      <c r="C681" s="10"/>
      <c r="D681" s="10"/>
      <c r="E681" s="10"/>
      <c r="F681" s="10"/>
      <c r="G681" s="10"/>
    </row>
    <row r="682" spans="1:7" s="11" customFormat="1" x14ac:dyDescent="0.55000000000000004">
      <c r="A682" s="9"/>
      <c r="B682" s="10"/>
      <c r="C682" s="10"/>
      <c r="D682" s="10"/>
      <c r="E682" s="10"/>
      <c r="F682" s="10"/>
      <c r="G682" s="10"/>
    </row>
    <row r="683" spans="1:7" s="11" customFormat="1" x14ac:dyDescent="0.55000000000000004">
      <c r="A683" s="9"/>
      <c r="B683" s="10"/>
      <c r="C683" s="10"/>
      <c r="D683" s="10"/>
      <c r="E683" s="10"/>
      <c r="F683" s="10"/>
      <c r="G683" s="10"/>
    </row>
    <row r="684" spans="1:7" s="11" customFormat="1" x14ac:dyDescent="0.55000000000000004">
      <c r="A684" s="9"/>
      <c r="B684" s="10"/>
      <c r="C684" s="10"/>
      <c r="D684" s="10"/>
      <c r="E684" s="10"/>
      <c r="F684" s="10"/>
      <c r="G684" s="10"/>
    </row>
    <row r="685" spans="1:7" s="11" customFormat="1" x14ac:dyDescent="0.55000000000000004">
      <c r="A685" s="9"/>
      <c r="B685" s="10"/>
      <c r="C685" s="10"/>
      <c r="D685" s="10"/>
      <c r="E685" s="10"/>
      <c r="F685" s="10"/>
      <c r="G685" s="10"/>
    </row>
    <row r="686" spans="1:7" s="11" customFormat="1" x14ac:dyDescent="0.55000000000000004">
      <c r="A686" s="9"/>
      <c r="B686" s="10"/>
      <c r="C686" s="10"/>
      <c r="D686" s="10"/>
      <c r="E686" s="10"/>
      <c r="F686" s="10"/>
      <c r="G686" s="10"/>
    </row>
    <row r="687" spans="1:7" s="11" customFormat="1" x14ac:dyDescent="0.55000000000000004">
      <c r="A687" s="9"/>
      <c r="B687" s="10"/>
      <c r="C687" s="10"/>
      <c r="D687" s="10"/>
      <c r="E687" s="10"/>
      <c r="F687" s="10"/>
      <c r="G687" s="10"/>
    </row>
    <row r="688" spans="1:7" s="11" customFormat="1" x14ac:dyDescent="0.55000000000000004">
      <c r="A688" s="9"/>
      <c r="B688" s="10"/>
      <c r="C688" s="10"/>
      <c r="D688" s="10"/>
      <c r="E688" s="10"/>
      <c r="F688" s="10"/>
      <c r="G688" s="10"/>
    </row>
    <row r="689" spans="1:7" s="11" customFormat="1" x14ac:dyDescent="0.55000000000000004">
      <c r="A689" s="9"/>
      <c r="B689" s="10"/>
      <c r="C689" s="10"/>
      <c r="D689" s="10"/>
      <c r="E689" s="10"/>
      <c r="F689" s="10"/>
      <c r="G689" s="10"/>
    </row>
    <row r="690" spans="1:7" s="11" customFormat="1" x14ac:dyDescent="0.55000000000000004">
      <c r="A690" s="9"/>
      <c r="B690" s="10"/>
      <c r="C690" s="10"/>
      <c r="D690" s="10"/>
      <c r="E690" s="10"/>
      <c r="F690" s="10"/>
      <c r="G690" s="10"/>
    </row>
    <row r="691" spans="1:7" s="11" customFormat="1" x14ac:dyDescent="0.55000000000000004">
      <c r="A691" s="9"/>
      <c r="B691" s="10"/>
      <c r="C691" s="10"/>
      <c r="D691" s="10"/>
      <c r="E691" s="10"/>
      <c r="F691" s="10"/>
      <c r="G691" s="10"/>
    </row>
    <row r="692" spans="1:7" s="11" customFormat="1" x14ac:dyDescent="0.55000000000000004">
      <c r="A692" s="9"/>
      <c r="B692" s="10"/>
      <c r="C692" s="10"/>
      <c r="D692" s="10"/>
      <c r="E692" s="10"/>
      <c r="F692" s="10"/>
      <c r="G692" s="10"/>
    </row>
    <row r="693" spans="1:7" s="11" customFormat="1" x14ac:dyDescent="0.55000000000000004">
      <c r="A693" s="9"/>
      <c r="B693" s="10"/>
      <c r="C693" s="10"/>
      <c r="D693" s="10"/>
      <c r="E693" s="10"/>
      <c r="F693" s="10"/>
      <c r="G693" s="10"/>
    </row>
    <row r="694" spans="1:7" s="11" customFormat="1" x14ac:dyDescent="0.55000000000000004">
      <c r="A694" s="9"/>
      <c r="B694" s="10"/>
      <c r="C694" s="10"/>
      <c r="D694" s="10"/>
      <c r="E694" s="10"/>
      <c r="F694" s="10"/>
      <c r="G694" s="10"/>
    </row>
    <row r="695" spans="1:7" s="11" customFormat="1" x14ac:dyDescent="0.55000000000000004">
      <c r="A695" s="9"/>
      <c r="B695" s="10"/>
      <c r="C695" s="10"/>
      <c r="D695" s="10"/>
      <c r="E695" s="10"/>
      <c r="F695" s="10"/>
      <c r="G695" s="10"/>
    </row>
    <row r="696" spans="1:7" s="11" customFormat="1" x14ac:dyDescent="0.55000000000000004">
      <c r="A696" s="9"/>
      <c r="B696" s="10"/>
      <c r="C696" s="10"/>
      <c r="D696" s="10"/>
      <c r="E696" s="10"/>
      <c r="F696" s="10"/>
      <c r="G696" s="10"/>
    </row>
    <row r="697" spans="1:7" s="11" customFormat="1" x14ac:dyDescent="0.55000000000000004">
      <c r="A697" s="9"/>
      <c r="B697" s="10"/>
      <c r="C697" s="10"/>
      <c r="D697" s="10"/>
      <c r="E697" s="10"/>
      <c r="F697" s="10"/>
      <c r="G697" s="10"/>
    </row>
    <row r="698" spans="1:7" s="11" customFormat="1" x14ac:dyDescent="0.55000000000000004">
      <c r="A698" s="9"/>
      <c r="B698" s="10"/>
      <c r="C698" s="10"/>
      <c r="D698" s="10"/>
      <c r="E698" s="10"/>
      <c r="F698" s="10"/>
      <c r="G698" s="10"/>
    </row>
    <row r="699" spans="1:7" s="11" customFormat="1" x14ac:dyDescent="0.55000000000000004">
      <c r="A699" s="9"/>
      <c r="B699" s="10"/>
      <c r="C699" s="10"/>
      <c r="D699" s="10"/>
      <c r="E699" s="10"/>
      <c r="F699" s="10"/>
      <c r="G699" s="10"/>
    </row>
    <row r="700" spans="1:7" s="11" customFormat="1" x14ac:dyDescent="0.55000000000000004">
      <c r="A700" s="9"/>
      <c r="B700" s="10"/>
      <c r="C700" s="10"/>
      <c r="D700" s="10"/>
      <c r="E700" s="10"/>
      <c r="F700" s="10"/>
      <c r="G700" s="10"/>
    </row>
    <row r="701" spans="1:7" s="11" customFormat="1" x14ac:dyDescent="0.55000000000000004">
      <c r="A701" s="9"/>
      <c r="B701" s="10"/>
      <c r="C701" s="10"/>
      <c r="D701" s="10"/>
      <c r="E701" s="10"/>
      <c r="F701" s="10"/>
      <c r="G701" s="10"/>
    </row>
    <row r="702" spans="1:7" s="11" customFormat="1" x14ac:dyDescent="0.55000000000000004">
      <c r="A702" s="9"/>
      <c r="B702" s="10"/>
      <c r="C702" s="10"/>
      <c r="D702" s="10"/>
      <c r="E702" s="10"/>
      <c r="F702" s="10"/>
      <c r="G702" s="10"/>
    </row>
    <row r="703" spans="1:7" s="11" customFormat="1" x14ac:dyDescent="0.55000000000000004">
      <c r="A703" s="9"/>
      <c r="B703" s="10"/>
      <c r="C703" s="10"/>
      <c r="D703" s="10"/>
      <c r="E703" s="10"/>
      <c r="F703" s="10"/>
      <c r="G703" s="10"/>
    </row>
    <row r="704" spans="1:7" s="11" customFormat="1" x14ac:dyDescent="0.55000000000000004">
      <c r="A704" s="9"/>
      <c r="B704" s="10"/>
      <c r="C704" s="10"/>
      <c r="D704" s="10"/>
      <c r="E704" s="10"/>
      <c r="F704" s="10"/>
      <c r="G704" s="10"/>
    </row>
    <row r="705" spans="1:7" s="11" customFormat="1" x14ac:dyDescent="0.55000000000000004">
      <c r="A705" s="9"/>
      <c r="B705" s="10"/>
      <c r="C705" s="10"/>
      <c r="D705" s="10"/>
      <c r="E705" s="10"/>
      <c r="F705" s="10"/>
      <c r="G705" s="10"/>
    </row>
    <row r="706" spans="1:7" s="11" customFormat="1" x14ac:dyDescent="0.55000000000000004">
      <c r="A706" s="9"/>
      <c r="B706" s="10"/>
      <c r="C706" s="10"/>
      <c r="D706" s="10"/>
      <c r="E706" s="10"/>
      <c r="F706" s="10"/>
      <c r="G706" s="10"/>
    </row>
    <row r="707" spans="1:7" s="11" customFormat="1" x14ac:dyDescent="0.55000000000000004">
      <c r="A707" s="9"/>
      <c r="B707" s="10"/>
      <c r="C707" s="10"/>
      <c r="D707" s="10"/>
      <c r="E707" s="10"/>
      <c r="F707" s="10"/>
      <c r="G707" s="10"/>
    </row>
    <row r="708" spans="1:7" s="11" customFormat="1" x14ac:dyDescent="0.55000000000000004">
      <c r="A708" s="9"/>
      <c r="B708" s="10"/>
      <c r="C708" s="10"/>
      <c r="D708" s="10"/>
      <c r="E708" s="10"/>
      <c r="F708" s="10"/>
      <c r="G708" s="10"/>
    </row>
    <row r="709" spans="1:7" s="11" customFormat="1" x14ac:dyDescent="0.55000000000000004">
      <c r="A709" s="9"/>
      <c r="B709" s="10"/>
      <c r="C709" s="10"/>
      <c r="D709" s="10"/>
      <c r="E709" s="10"/>
      <c r="F709" s="10"/>
      <c r="G709" s="10"/>
    </row>
    <row r="710" spans="1:7" s="11" customFormat="1" x14ac:dyDescent="0.55000000000000004">
      <c r="A710" s="9"/>
      <c r="B710" s="10"/>
      <c r="C710" s="10"/>
      <c r="D710" s="10"/>
      <c r="E710" s="10"/>
      <c r="F710" s="10"/>
      <c r="G710" s="10"/>
    </row>
    <row r="711" spans="1:7" s="11" customFormat="1" x14ac:dyDescent="0.55000000000000004">
      <c r="A711" s="9"/>
      <c r="B711" s="10"/>
      <c r="C711" s="10"/>
      <c r="D711" s="10"/>
      <c r="E711" s="10"/>
      <c r="F711" s="10"/>
      <c r="G711" s="10"/>
    </row>
    <row r="712" spans="1:7" s="11" customFormat="1" x14ac:dyDescent="0.55000000000000004">
      <c r="A712" s="9"/>
      <c r="B712" s="10"/>
      <c r="C712" s="10"/>
      <c r="D712" s="10"/>
      <c r="E712" s="10"/>
      <c r="F712" s="10"/>
      <c r="G712" s="10"/>
    </row>
    <row r="713" spans="1:7" s="11" customFormat="1" x14ac:dyDescent="0.55000000000000004">
      <c r="A713" s="9"/>
      <c r="B713" s="10"/>
      <c r="C713" s="10"/>
      <c r="D713" s="10"/>
      <c r="E713" s="10"/>
      <c r="F713" s="10"/>
      <c r="G713" s="10"/>
    </row>
    <row r="714" spans="1:7" s="11" customFormat="1" x14ac:dyDescent="0.55000000000000004">
      <c r="A714" s="9"/>
      <c r="B714" s="10"/>
      <c r="C714" s="10"/>
      <c r="D714" s="10"/>
      <c r="E714" s="10"/>
      <c r="F714" s="10"/>
      <c r="G714" s="10"/>
    </row>
    <row r="715" spans="1:7" s="11" customFormat="1" x14ac:dyDescent="0.55000000000000004">
      <c r="A715" s="9"/>
      <c r="B715" s="10"/>
      <c r="C715" s="10"/>
      <c r="D715" s="10"/>
      <c r="E715" s="10"/>
      <c r="F715" s="10"/>
      <c r="G715" s="10"/>
    </row>
    <row r="716" spans="1:7" s="11" customFormat="1" x14ac:dyDescent="0.55000000000000004">
      <c r="A716" s="9"/>
      <c r="B716" s="10"/>
      <c r="C716" s="10"/>
      <c r="D716" s="10"/>
      <c r="E716" s="10"/>
      <c r="F716" s="10"/>
      <c r="G716" s="10"/>
    </row>
    <row r="717" spans="1:7" s="11" customFormat="1" x14ac:dyDescent="0.55000000000000004">
      <c r="A717" s="9"/>
      <c r="B717" s="10"/>
      <c r="C717" s="10"/>
      <c r="D717" s="10"/>
      <c r="E717" s="10"/>
      <c r="F717" s="10"/>
      <c r="G717" s="10"/>
    </row>
    <row r="718" spans="1:7" s="11" customFormat="1" x14ac:dyDescent="0.55000000000000004">
      <c r="A718" s="9"/>
      <c r="B718" s="10"/>
      <c r="C718" s="10"/>
      <c r="D718" s="10"/>
      <c r="E718" s="10"/>
      <c r="F718" s="10"/>
      <c r="G718" s="10"/>
    </row>
    <row r="719" spans="1:7" s="11" customFormat="1" x14ac:dyDescent="0.55000000000000004">
      <c r="A719" s="9"/>
      <c r="B719" s="10"/>
      <c r="C719" s="10"/>
      <c r="D719" s="10"/>
      <c r="E719" s="10"/>
      <c r="F719" s="10"/>
      <c r="G719" s="10"/>
    </row>
    <row r="720" spans="1:7" s="11" customFormat="1" x14ac:dyDescent="0.55000000000000004">
      <c r="A720" s="9"/>
      <c r="B720" s="10"/>
      <c r="C720" s="10"/>
      <c r="D720" s="10"/>
      <c r="E720" s="10"/>
      <c r="F720" s="10"/>
      <c r="G720" s="10"/>
    </row>
    <row r="721" spans="1:7" s="11" customFormat="1" x14ac:dyDescent="0.55000000000000004">
      <c r="A721" s="9"/>
      <c r="B721" s="10"/>
      <c r="C721" s="10"/>
      <c r="D721" s="10"/>
      <c r="E721" s="10"/>
      <c r="F721" s="10"/>
      <c r="G721" s="10"/>
    </row>
    <row r="722" spans="1:7" s="11" customFormat="1" x14ac:dyDescent="0.55000000000000004">
      <c r="A722" s="9"/>
      <c r="B722" s="10"/>
      <c r="C722" s="10"/>
      <c r="D722" s="10"/>
      <c r="E722" s="10"/>
      <c r="F722" s="10"/>
      <c r="G722" s="10"/>
    </row>
    <row r="723" spans="1:7" s="11" customFormat="1" x14ac:dyDescent="0.55000000000000004">
      <c r="A723" s="9"/>
      <c r="B723" s="10"/>
      <c r="C723" s="10"/>
      <c r="D723" s="10"/>
      <c r="E723" s="10"/>
      <c r="F723" s="10"/>
      <c r="G723" s="10"/>
    </row>
    <row r="724" spans="1:7" s="11" customFormat="1" x14ac:dyDescent="0.55000000000000004">
      <c r="A724" s="9"/>
      <c r="B724" s="10"/>
      <c r="C724" s="10"/>
      <c r="D724" s="10"/>
      <c r="E724" s="10"/>
      <c r="F724" s="10"/>
      <c r="G724" s="10"/>
    </row>
    <row r="725" spans="1:7" s="11" customFormat="1" x14ac:dyDescent="0.55000000000000004">
      <c r="A725" s="9"/>
      <c r="B725" s="10"/>
      <c r="C725" s="10"/>
      <c r="D725" s="10"/>
      <c r="E725" s="10"/>
      <c r="F725" s="10"/>
      <c r="G725" s="10"/>
    </row>
    <row r="726" spans="1:7" s="11" customFormat="1" x14ac:dyDescent="0.55000000000000004">
      <c r="A726" s="9"/>
      <c r="B726" s="10"/>
      <c r="C726" s="10"/>
      <c r="D726" s="10"/>
      <c r="E726" s="10"/>
      <c r="F726" s="10"/>
      <c r="G726" s="10"/>
    </row>
    <row r="727" spans="1:7" s="11" customFormat="1" x14ac:dyDescent="0.55000000000000004">
      <c r="A727" s="9"/>
      <c r="B727" s="10"/>
      <c r="C727" s="10"/>
      <c r="D727" s="10"/>
      <c r="E727" s="10"/>
      <c r="F727" s="10"/>
      <c r="G727" s="10"/>
    </row>
    <row r="728" spans="1:7" s="11" customFormat="1" x14ac:dyDescent="0.55000000000000004">
      <c r="A728" s="9"/>
      <c r="B728" s="10"/>
      <c r="C728" s="10"/>
      <c r="D728" s="10"/>
      <c r="E728" s="10"/>
      <c r="F728" s="10"/>
      <c r="G728" s="10"/>
    </row>
    <row r="729" spans="1:7" s="11" customFormat="1" x14ac:dyDescent="0.55000000000000004">
      <c r="A729" s="9"/>
      <c r="B729" s="10"/>
      <c r="C729" s="10"/>
      <c r="D729" s="10"/>
      <c r="E729" s="10"/>
      <c r="F729" s="10"/>
      <c r="G729" s="10"/>
    </row>
    <row r="730" spans="1:7" s="11" customFormat="1" x14ac:dyDescent="0.55000000000000004">
      <c r="A730" s="9"/>
      <c r="B730" s="10"/>
      <c r="C730" s="10"/>
      <c r="D730" s="10"/>
      <c r="E730" s="10"/>
      <c r="F730" s="10"/>
      <c r="G730" s="10"/>
    </row>
    <row r="731" spans="1:7" s="11" customFormat="1" x14ac:dyDescent="0.55000000000000004">
      <c r="A731" s="9"/>
      <c r="B731" s="10"/>
      <c r="C731" s="10"/>
      <c r="D731" s="10"/>
      <c r="E731" s="10"/>
      <c r="F731" s="10"/>
      <c r="G731" s="10"/>
    </row>
    <row r="732" spans="1:7" s="11" customFormat="1" x14ac:dyDescent="0.55000000000000004">
      <c r="A732" s="9"/>
      <c r="B732" s="10"/>
      <c r="C732" s="10"/>
      <c r="D732" s="10"/>
      <c r="E732" s="10"/>
      <c r="F732" s="10"/>
      <c r="G732" s="10"/>
    </row>
    <row r="733" spans="1:7" s="11" customFormat="1" x14ac:dyDescent="0.55000000000000004">
      <c r="A733" s="9"/>
      <c r="B733" s="10"/>
      <c r="C733" s="10"/>
      <c r="D733" s="10"/>
      <c r="E733" s="10"/>
      <c r="F733" s="10"/>
      <c r="G733" s="10"/>
    </row>
    <row r="734" spans="1:7" s="11" customFormat="1" x14ac:dyDescent="0.55000000000000004">
      <c r="A734" s="9"/>
      <c r="B734" s="10"/>
      <c r="C734" s="10"/>
      <c r="D734" s="10"/>
      <c r="E734" s="10"/>
      <c r="F734" s="10"/>
      <c r="G734" s="10"/>
    </row>
    <row r="735" spans="1:7" s="11" customFormat="1" x14ac:dyDescent="0.55000000000000004">
      <c r="A735" s="9"/>
      <c r="B735" s="10"/>
      <c r="C735" s="10"/>
      <c r="D735" s="10"/>
      <c r="E735" s="10"/>
      <c r="F735" s="10"/>
      <c r="G735" s="10"/>
    </row>
    <row r="736" spans="1:7" s="11" customFormat="1" x14ac:dyDescent="0.55000000000000004">
      <c r="A736" s="9"/>
      <c r="B736" s="10"/>
      <c r="C736" s="10"/>
      <c r="D736" s="10"/>
      <c r="E736" s="10"/>
      <c r="F736" s="10"/>
      <c r="G736" s="10"/>
    </row>
    <row r="737" spans="1:7" s="11" customFormat="1" x14ac:dyDescent="0.55000000000000004">
      <c r="A737" s="9"/>
      <c r="B737" s="10"/>
      <c r="C737" s="10"/>
      <c r="D737" s="10"/>
      <c r="E737" s="10"/>
      <c r="F737" s="10"/>
      <c r="G737" s="10"/>
    </row>
    <row r="738" spans="1:7" s="11" customFormat="1" x14ac:dyDescent="0.55000000000000004">
      <c r="A738" s="9"/>
      <c r="B738" s="10"/>
      <c r="C738" s="10"/>
      <c r="D738" s="10"/>
      <c r="E738" s="10"/>
      <c r="F738" s="10"/>
      <c r="G738" s="10"/>
    </row>
    <row r="739" spans="1:7" s="11" customFormat="1" x14ac:dyDescent="0.55000000000000004">
      <c r="A739" s="9"/>
      <c r="B739" s="10"/>
      <c r="C739" s="10"/>
      <c r="D739" s="10"/>
      <c r="E739" s="10"/>
      <c r="F739" s="10"/>
      <c r="G739" s="10"/>
    </row>
    <row r="740" spans="1:7" s="11" customFormat="1" x14ac:dyDescent="0.55000000000000004">
      <c r="A740" s="9"/>
      <c r="B740" s="10"/>
      <c r="C740" s="10"/>
      <c r="D740" s="10"/>
      <c r="E740" s="10"/>
      <c r="F740" s="10"/>
      <c r="G740" s="10"/>
    </row>
    <row r="741" spans="1:7" s="11" customFormat="1" x14ac:dyDescent="0.55000000000000004">
      <c r="A741" s="9"/>
      <c r="B741" s="10"/>
      <c r="C741" s="10"/>
      <c r="D741" s="10"/>
      <c r="E741" s="10"/>
      <c r="F741" s="10"/>
      <c r="G741" s="10"/>
    </row>
    <row r="742" spans="1:7" s="11" customFormat="1" x14ac:dyDescent="0.55000000000000004">
      <c r="A742" s="9"/>
      <c r="B742" s="10"/>
      <c r="C742" s="10"/>
      <c r="D742" s="10"/>
      <c r="E742" s="10"/>
      <c r="F742" s="10"/>
      <c r="G742" s="10"/>
    </row>
    <row r="743" spans="1:7" s="11" customFormat="1" x14ac:dyDescent="0.55000000000000004">
      <c r="A743" s="9"/>
      <c r="B743" s="10"/>
      <c r="C743" s="10"/>
      <c r="D743" s="10"/>
      <c r="E743" s="10"/>
      <c r="F743" s="10"/>
      <c r="G743" s="10"/>
    </row>
    <row r="744" spans="1:7" s="11" customFormat="1" x14ac:dyDescent="0.55000000000000004">
      <c r="A744" s="9"/>
      <c r="B744" s="10"/>
      <c r="C744" s="10"/>
      <c r="D744" s="10"/>
      <c r="E744" s="10"/>
      <c r="F744" s="10"/>
      <c r="G744" s="10"/>
    </row>
    <row r="745" spans="1:7" s="11" customFormat="1" x14ac:dyDescent="0.55000000000000004">
      <c r="A745" s="9"/>
      <c r="B745" s="10"/>
      <c r="C745" s="10"/>
      <c r="D745" s="10"/>
      <c r="E745" s="10"/>
      <c r="F745" s="10"/>
      <c r="G745" s="10"/>
    </row>
    <row r="746" spans="1:7" s="11" customFormat="1" x14ac:dyDescent="0.55000000000000004">
      <c r="A746" s="9"/>
      <c r="B746" s="10"/>
      <c r="C746" s="10"/>
      <c r="D746" s="10"/>
      <c r="E746" s="10"/>
      <c r="F746" s="10"/>
      <c r="G746" s="10"/>
    </row>
    <row r="747" spans="1:7" s="11" customFormat="1" x14ac:dyDescent="0.55000000000000004">
      <c r="A747" s="9"/>
      <c r="B747" s="10"/>
      <c r="C747" s="10"/>
      <c r="D747" s="10"/>
      <c r="E747" s="10"/>
      <c r="F747" s="10"/>
      <c r="G747" s="10"/>
    </row>
    <row r="748" spans="1:7" s="11" customFormat="1" x14ac:dyDescent="0.55000000000000004">
      <c r="A748" s="9"/>
      <c r="B748" s="10"/>
      <c r="C748" s="10"/>
      <c r="D748" s="10"/>
      <c r="E748" s="10"/>
      <c r="F748" s="10"/>
      <c r="G748" s="10"/>
    </row>
    <row r="749" spans="1:7" s="11" customFormat="1" x14ac:dyDescent="0.55000000000000004">
      <c r="A749" s="9"/>
      <c r="B749" s="10"/>
      <c r="C749" s="10"/>
      <c r="D749" s="10"/>
      <c r="E749" s="10"/>
      <c r="F749" s="10"/>
      <c r="G749" s="10"/>
    </row>
    <row r="750" spans="1:7" s="11" customFormat="1" x14ac:dyDescent="0.55000000000000004">
      <c r="A750" s="9"/>
      <c r="B750" s="10"/>
      <c r="C750" s="10"/>
      <c r="D750" s="10"/>
      <c r="E750" s="10"/>
      <c r="F750" s="10"/>
      <c r="G750" s="10"/>
    </row>
    <row r="751" spans="1:7" s="11" customFormat="1" x14ac:dyDescent="0.55000000000000004">
      <c r="A751" s="9"/>
      <c r="B751" s="10"/>
      <c r="C751" s="10"/>
      <c r="D751" s="10"/>
      <c r="E751" s="10"/>
      <c r="F751" s="10"/>
      <c r="G751" s="10"/>
    </row>
    <row r="752" spans="1:7" s="11" customFormat="1" x14ac:dyDescent="0.55000000000000004">
      <c r="A752" s="9"/>
      <c r="B752" s="10"/>
      <c r="C752" s="10"/>
      <c r="D752" s="10"/>
      <c r="E752" s="10"/>
      <c r="F752" s="10"/>
      <c r="G752" s="10"/>
    </row>
    <row r="753" spans="1:7" s="11" customFormat="1" x14ac:dyDescent="0.55000000000000004">
      <c r="A753" s="9"/>
      <c r="B753" s="10"/>
      <c r="C753" s="10"/>
      <c r="D753" s="10"/>
      <c r="E753" s="10"/>
      <c r="F753" s="10"/>
      <c r="G753" s="10"/>
    </row>
    <row r="754" spans="1:7" s="11" customFormat="1" x14ac:dyDescent="0.55000000000000004">
      <c r="A754" s="9"/>
      <c r="B754" s="10"/>
      <c r="C754" s="10"/>
      <c r="D754" s="10"/>
      <c r="E754" s="10"/>
      <c r="F754" s="10"/>
      <c r="G754" s="10"/>
    </row>
    <row r="755" spans="1:7" s="11" customFormat="1" x14ac:dyDescent="0.55000000000000004">
      <c r="A755" s="9"/>
      <c r="B755" s="10"/>
      <c r="C755" s="10"/>
      <c r="D755" s="10"/>
      <c r="E755" s="10"/>
      <c r="F755" s="10"/>
      <c r="G755" s="10"/>
    </row>
    <row r="756" spans="1:7" s="11" customFormat="1" x14ac:dyDescent="0.55000000000000004">
      <c r="A756" s="9"/>
      <c r="B756" s="10"/>
      <c r="C756" s="10"/>
      <c r="D756" s="10"/>
      <c r="E756" s="10"/>
      <c r="F756" s="10"/>
      <c r="G756" s="10"/>
    </row>
    <row r="757" spans="1:7" s="11" customFormat="1" x14ac:dyDescent="0.55000000000000004">
      <c r="A757" s="9"/>
      <c r="B757" s="10"/>
      <c r="C757" s="10"/>
      <c r="D757" s="10"/>
      <c r="E757" s="10"/>
      <c r="F757" s="10"/>
      <c r="G757" s="10"/>
    </row>
    <row r="758" spans="1:7" s="11" customFormat="1" x14ac:dyDescent="0.55000000000000004">
      <c r="A758" s="9"/>
      <c r="B758" s="10"/>
      <c r="C758" s="10"/>
      <c r="D758" s="10"/>
      <c r="E758" s="10"/>
      <c r="F758" s="10"/>
      <c r="G758" s="10"/>
    </row>
    <row r="759" spans="1:7" s="11" customFormat="1" x14ac:dyDescent="0.55000000000000004">
      <c r="A759" s="9"/>
      <c r="B759" s="10"/>
      <c r="C759" s="10"/>
      <c r="D759" s="10"/>
      <c r="E759" s="10"/>
      <c r="F759" s="10"/>
      <c r="G759" s="10"/>
    </row>
    <row r="760" spans="1:7" s="11" customFormat="1" x14ac:dyDescent="0.55000000000000004">
      <c r="A760" s="9"/>
      <c r="B760" s="10"/>
      <c r="C760" s="10"/>
      <c r="D760" s="10"/>
      <c r="E760" s="10"/>
      <c r="F760" s="10"/>
      <c r="G760" s="10"/>
    </row>
    <row r="761" spans="1:7" s="11" customFormat="1" x14ac:dyDescent="0.55000000000000004">
      <c r="A761" s="9"/>
      <c r="B761" s="10"/>
      <c r="C761" s="10"/>
      <c r="D761" s="10"/>
      <c r="E761" s="10"/>
      <c r="F761" s="10"/>
      <c r="G761" s="10"/>
    </row>
    <row r="762" spans="1:7" s="11" customFormat="1" x14ac:dyDescent="0.55000000000000004">
      <c r="A762" s="9"/>
      <c r="B762" s="10"/>
      <c r="C762" s="10"/>
      <c r="D762" s="10"/>
      <c r="E762" s="10"/>
      <c r="F762" s="10"/>
      <c r="G762" s="10"/>
    </row>
    <row r="763" spans="1:7" s="11" customFormat="1" x14ac:dyDescent="0.55000000000000004">
      <c r="A763" s="9"/>
      <c r="B763" s="10"/>
      <c r="C763" s="10"/>
      <c r="D763" s="10"/>
      <c r="E763" s="10"/>
      <c r="F763" s="10"/>
      <c r="G763" s="10"/>
    </row>
    <row r="764" spans="1:7" s="11" customFormat="1" x14ac:dyDescent="0.55000000000000004">
      <c r="A764" s="9"/>
      <c r="B764" s="10"/>
      <c r="C764" s="10"/>
      <c r="D764" s="10"/>
      <c r="E764" s="10"/>
      <c r="F764" s="10"/>
      <c r="G764" s="10"/>
    </row>
    <row r="765" spans="1:7" s="11" customFormat="1" x14ac:dyDescent="0.55000000000000004">
      <c r="A765" s="9"/>
      <c r="B765" s="10"/>
      <c r="C765" s="10"/>
      <c r="D765" s="10"/>
      <c r="E765" s="10"/>
      <c r="F765" s="10"/>
      <c r="G765" s="10"/>
    </row>
    <row r="766" spans="1:7" s="11" customFormat="1" x14ac:dyDescent="0.55000000000000004">
      <c r="A766" s="9"/>
      <c r="B766" s="10"/>
      <c r="C766" s="10"/>
      <c r="D766" s="10"/>
      <c r="E766" s="10"/>
      <c r="F766" s="10"/>
      <c r="G766" s="10"/>
    </row>
    <row r="767" spans="1:7" s="11" customFormat="1" x14ac:dyDescent="0.55000000000000004">
      <c r="A767" s="9"/>
      <c r="B767" s="10"/>
      <c r="C767" s="10"/>
      <c r="D767" s="10"/>
      <c r="E767" s="10"/>
      <c r="F767" s="10"/>
      <c r="G767" s="10"/>
    </row>
    <row r="768" spans="1:7" s="11" customFormat="1" x14ac:dyDescent="0.55000000000000004">
      <c r="A768" s="9"/>
      <c r="B768" s="10"/>
      <c r="C768" s="10"/>
      <c r="D768" s="10"/>
      <c r="E768" s="10"/>
      <c r="F768" s="10"/>
      <c r="G768" s="10"/>
    </row>
    <row r="769" spans="1:7" s="11" customFormat="1" x14ac:dyDescent="0.55000000000000004">
      <c r="A769" s="9"/>
      <c r="B769" s="10"/>
      <c r="C769" s="10"/>
      <c r="D769" s="10"/>
      <c r="E769" s="10"/>
      <c r="F769" s="10"/>
      <c r="G769" s="10"/>
    </row>
    <row r="770" spans="1:7" s="11" customFormat="1" x14ac:dyDescent="0.55000000000000004">
      <c r="A770" s="9"/>
      <c r="B770" s="10"/>
      <c r="C770" s="10"/>
      <c r="D770" s="10"/>
      <c r="E770" s="10"/>
      <c r="F770" s="10"/>
      <c r="G770" s="10"/>
    </row>
    <row r="771" spans="1:7" s="11" customFormat="1" x14ac:dyDescent="0.55000000000000004">
      <c r="A771" s="9"/>
      <c r="B771" s="10"/>
      <c r="C771" s="10"/>
      <c r="D771" s="10"/>
      <c r="E771" s="10"/>
      <c r="F771" s="10"/>
      <c r="G771" s="10"/>
    </row>
    <row r="772" spans="1:7" s="11" customFormat="1" x14ac:dyDescent="0.55000000000000004">
      <c r="A772" s="9"/>
      <c r="B772" s="10"/>
      <c r="C772" s="10"/>
      <c r="D772" s="10"/>
      <c r="E772" s="10"/>
      <c r="F772" s="10"/>
      <c r="G772" s="10"/>
    </row>
    <row r="773" spans="1:7" s="11" customFormat="1" x14ac:dyDescent="0.55000000000000004">
      <c r="A773" s="9"/>
      <c r="B773" s="10"/>
      <c r="C773" s="10"/>
      <c r="D773" s="10"/>
      <c r="E773" s="10"/>
      <c r="F773" s="10"/>
      <c r="G773" s="10"/>
    </row>
    <row r="774" spans="1:7" s="11" customFormat="1" x14ac:dyDescent="0.55000000000000004">
      <c r="A774" s="9"/>
      <c r="B774" s="10"/>
      <c r="C774" s="10"/>
      <c r="D774" s="10"/>
      <c r="E774" s="10"/>
      <c r="F774" s="10"/>
      <c r="G774" s="10"/>
    </row>
    <row r="775" spans="1:7" s="11" customFormat="1" x14ac:dyDescent="0.55000000000000004">
      <c r="A775" s="9"/>
      <c r="B775" s="10"/>
      <c r="C775" s="10"/>
      <c r="D775" s="10"/>
      <c r="E775" s="10"/>
      <c r="F775" s="10"/>
      <c r="G775" s="10"/>
    </row>
    <row r="776" spans="1:7" s="11" customFormat="1" x14ac:dyDescent="0.55000000000000004">
      <c r="A776" s="9"/>
      <c r="B776" s="10"/>
      <c r="C776" s="10"/>
      <c r="D776" s="10"/>
      <c r="E776" s="10"/>
      <c r="F776" s="10"/>
      <c r="G776" s="10"/>
    </row>
    <row r="777" spans="1:7" s="11" customFormat="1" x14ac:dyDescent="0.55000000000000004">
      <c r="A777" s="9"/>
      <c r="B777" s="10"/>
      <c r="C777" s="10"/>
      <c r="D777" s="10"/>
      <c r="E777" s="10"/>
      <c r="F777" s="10"/>
      <c r="G777" s="10"/>
    </row>
    <row r="778" spans="1:7" s="11" customFormat="1" x14ac:dyDescent="0.55000000000000004">
      <c r="A778" s="9"/>
      <c r="B778" s="10"/>
      <c r="C778" s="10"/>
      <c r="D778" s="10"/>
      <c r="E778" s="10"/>
      <c r="F778" s="10"/>
      <c r="G778" s="10"/>
    </row>
    <row r="779" spans="1:7" s="11" customFormat="1" x14ac:dyDescent="0.55000000000000004">
      <c r="A779" s="9"/>
      <c r="B779" s="10"/>
      <c r="C779" s="10"/>
      <c r="D779" s="10"/>
      <c r="E779" s="10"/>
      <c r="F779" s="10"/>
      <c r="G779" s="10"/>
    </row>
    <row r="780" spans="1:7" s="11" customFormat="1" x14ac:dyDescent="0.55000000000000004">
      <c r="A780" s="9"/>
      <c r="B780" s="10"/>
      <c r="C780" s="10"/>
      <c r="D780" s="10"/>
      <c r="E780" s="10"/>
      <c r="F780" s="10"/>
      <c r="G780" s="10"/>
    </row>
    <row r="781" spans="1:7" s="11" customFormat="1" x14ac:dyDescent="0.55000000000000004">
      <c r="A781" s="9"/>
      <c r="B781" s="10"/>
      <c r="C781" s="10"/>
      <c r="D781" s="10"/>
      <c r="E781" s="10"/>
      <c r="F781" s="10"/>
      <c r="G781" s="10"/>
    </row>
    <row r="782" spans="1:7" s="11" customFormat="1" x14ac:dyDescent="0.55000000000000004">
      <c r="A782" s="9"/>
      <c r="B782" s="10"/>
      <c r="C782" s="10"/>
      <c r="D782" s="10"/>
      <c r="E782" s="10"/>
      <c r="F782" s="10"/>
      <c r="G782" s="10"/>
    </row>
    <row r="783" spans="1:7" s="11" customFormat="1" x14ac:dyDescent="0.55000000000000004">
      <c r="A783" s="9"/>
      <c r="B783" s="10"/>
      <c r="C783" s="10"/>
      <c r="D783" s="10"/>
      <c r="E783" s="10"/>
      <c r="F783" s="10"/>
      <c r="G783" s="10"/>
    </row>
    <row r="784" spans="1:7" s="11" customFormat="1" x14ac:dyDescent="0.55000000000000004">
      <c r="A784" s="9"/>
      <c r="B784" s="10"/>
      <c r="C784" s="10"/>
      <c r="D784" s="10"/>
      <c r="E784" s="10"/>
      <c r="F784" s="10"/>
      <c r="G784" s="10"/>
    </row>
    <row r="785" spans="1:7" s="11" customFormat="1" x14ac:dyDescent="0.55000000000000004">
      <c r="A785" s="9"/>
      <c r="B785" s="10"/>
      <c r="C785" s="10"/>
      <c r="D785" s="10"/>
      <c r="E785" s="10"/>
      <c r="F785" s="10"/>
      <c r="G785" s="10"/>
    </row>
    <row r="786" spans="1:7" s="11" customFormat="1" x14ac:dyDescent="0.55000000000000004">
      <c r="A786" s="9"/>
      <c r="B786" s="10"/>
      <c r="C786" s="10"/>
      <c r="D786" s="10"/>
      <c r="E786" s="10"/>
      <c r="F786" s="10"/>
      <c r="G786" s="10"/>
    </row>
    <row r="787" spans="1:7" s="11" customFormat="1" x14ac:dyDescent="0.55000000000000004">
      <c r="A787" s="9"/>
      <c r="B787" s="10"/>
      <c r="C787" s="10"/>
      <c r="D787" s="10"/>
      <c r="E787" s="10"/>
      <c r="F787" s="10"/>
      <c r="G787" s="10"/>
    </row>
    <row r="788" spans="1:7" s="11" customFormat="1" x14ac:dyDescent="0.55000000000000004">
      <c r="A788" s="9"/>
      <c r="B788" s="10"/>
      <c r="C788" s="10"/>
      <c r="D788" s="10"/>
      <c r="E788" s="10"/>
      <c r="F788" s="10"/>
      <c r="G788" s="10"/>
    </row>
    <row r="789" spans="1:7" s="11" customFormat="1" x14ac:dyDescent="0.55000000000000004">
      <c r="A789" s="9"/>
      <c r="B789" s="10"/>
      <c r="C789" s="10"/>
      <c r="D789" s="10"/>
      <c r="E789" s="10"/>
      <c r="F789" s="10"/>
      <c r="G789" s="10"/>
    </row>
    <row r="790" spans="1:7" s="11" customFormat="1" x14ac:dyDescent="0.55000000000000004">
      <c r="A790" s="9"/>
      <c r="B790" s="10"/>
      <c r="C790" s="10"/>
      <c r="D790" s="10"/>
      <c r="E790" s="10"/>
      <c r="F790" s="10"/>
      <c r="G790" s="10"/>
    </row>
    <row r="791" spans="1:7" s="11" customFormat="1" x14ac:dyDescent="0.55000000000000004">
      <c r="A791" s="9"/>
      <c r="B791" s="10"/>
      <c r="C791" s="10"/>
      <c r="D791" s="10"/>
      <c r="E791" s="10"/>
      <c r="F791" s="10"/>
      <c r="G791" s="10"/>
    </row>
    <row r="792" spans="1:7" s="11" customFormat="1" x14ac:dyDescent="0.55000000000000004">
      <c r="A792" s="9"/>
      <c r="B792" s="10"/>
      <c r="C792" s="10"/>
      <c r="D792" s="10"/>
      <c r="E792" s="10"/>
      <c r="F792" s="10"/>
      <c r="G792" s="10"/>
    </row>
    <row r="793" spans="1:7" s="11" customFormat="1" x14ac:dyDescent="0.55000000000000004">
      <c r="A793" s="9"/>
      <c r="B793" s="10"/>
      <c r="C793" s="10"/>
      <c r="D793" s="10"/>
      <c r="E793" s="10"/>
      <c r="F793" s="10"/>
      <c r="G793" s="10"/>
    </row>
    <row r="794" spans="1:7" s="11" customFormat="1" x14ac:dyDescent="0.55000000000000004">
      <c r="A794" s="9"/>
      <c r="B794" s="10"/>
      <c r="C794" s="10"/>
      <c r="D794" s="10"/>
      <c r="E794" s="10"/>
      <c r="F794" s="10"/>
      <c r="G794" s="10"/>
    </row>
    <row r="795" spans="1:7" s="11" customFormat="1" x14ac:dyDescent="0.55000000000000004">
      <c r="A795" s="9"/>
      <c r="B795" s="10"/>
      <c r="C795" s="10"/>
      <c r="D795" s="10"/>
      <c r="E795" s="10"/>
      <c r="F795" s="10"/>
      <c r="G795" s="10"/>
    </row>
    <row r="796" spans="1:7" s="11" customFormat="1" x14ac:dyDescent="0.55000000000000004">
      <c r="A796" s="9"/>
      <c r="B796" s="10"/>
      <c r="C796" s="10"/>
      <c r="D796" s="10"/>
      <c r="E796" s="10"/>
      <c r="F796" s="10"/>
      <c r="G796" s="10"/>
    </row>
    <row r="797" spans="1:7" s="11" customFormat="1" x14ac:dyDescent="0.55000000000000004">
      <c r="A797" s="9"/>
      <c r="B797" s="10"/>
      <c r="C797" s="10"/>
      <c r="D797" s="10"/>
      <c r="E797" s="10"/>
      <c r="F797" s="10"/>
      <c r="G797" s="10"/>
    </row>
    <row r="798" spans="1:7" s="11" customFormat="1" x14ac:dyDescent="0.55000000000000004">
      <c r="A798" s="9"/>
      <c r="B798" s="10"/>
      <c r="C798" s="10"/>
      <c r="D798" s="10"/>
      <c r="E798" s="10"/>
      <c r="F798" s="10"/>
      <c r="G798" s="10"/>
    </row>
    <row r="799" spans="1:7" s="11" customFormat="1" x14ac:dyDescent="0.55000000000000004">
      <c r="A799" s="9"/>
      <c r="B799" s="10"/>
      <c r="C799" s="10"/>
      <c r="D799" s="10"/>
      <c r="E799" s="10"/>
      <c r="F799" s="10"/>
      <c r="G799" s="10"/>
    </row>
    <row r="800" spans="1:7" s="11" customFormat="1" x14ac:dyDescent="0.55000000000000004">
      <c r="A800" s="9"/>
      <c r="B800" s="10"/>
      <c r="C800" s="10"/>
      <c r="D800" s="10"/>
      <c r="E800" s="10"/>
      <c r="F800" s="10"/>
      <c r="G800" s="10"/>
    </row>
    <row r="801" spans="1:7" s="11" customFormat="1" x14ac:dyDescent="0.55000000000000004">
      <c r="A801" s="9"/>
      <c r="B801" s="10"/>
      <c r="C801" s="10"/>
      <c r="D801" s="10"/>
      <c r="E801" s="10"/>
      <c r="F801" s="10"/>
      <c r="G801" s="10"/>
    </row>
    <row r="802" spans="1:7" s="11" customFormat="1" x14ac:dyDescent="0.55000000000000004">
      <c r="A802" s="9"/>
      <c r="B802" s="10"/>
      <c r="C802" s="10"/>
      <c r="D802" s="10"/>
      <c r="E802" s="10"/>
      <c r="F802" s="10"/>
      <c r="G802" s="10"/>
    </row>
    <row r="803" spans="1:7" s="11" customFormat="1" x14ac:dyDescent="0.55000000000000004">
      <c r="A803" s="9"/>
      <c r="B803" s="10"/>
      <c r="C803" s="10"/>
      <c r="D803" s="10"/>
      <c r="E803" s="10"/>
      <c r="F803" s="10"/>
      <c r="G803" s="10"/>
    </row>
    <row r="804" spans="1:7" s="11" customFormat="1" x14ac:dyDescent="0.55000000000000004">
      <c r="A804" s="9"/>
      <c r="B804" s="10"/>
      <c r="C804" s="10"/>
      <c r="D804" s="10"/>
      <c r="E804" s="10"/>
      <c r="F804" s="10"/>
      <c r="G804" s="10"/>
    </row>
    <row r="805" spans="1:7" s="11" customFormat="1" x14ac:dyDescent="0.55000000000000004">
      <c r="A805" s="9"/>
      <c r="B805" s="10"/>
      <c r="C805" s="10"/>
      <c r="D805" s="10"/>
      <c r="E805" s="10"/>
      <c r="F805" s="10"/>
      <c r="G805" s="10"/>
    </row>
    <row r="806" spans="1:7" s="11" customFormat="1" x14ac:dyDescent="0.55000000000000004">
      <c r="A806" s="9"/>
      <c r="B806" s="10"/>
      <c r="C806" s="10"/>
      <c r="D806" s="10"/>
      <c r="E806" s="10"/>
      <c r="F806" s="10"/>
      <c r="G806" s="10"/>
    </row>
    <row r="807" spans="1:7" s="11" customFormat="1" x14ac:dyDescent="0.55000000000000004">
      <c r="A807" s="9"/>
      <c r="B807" s="10"/>
      <c r="C807" s="10"/>
      <c r="D807" s="10"/>
      <c r="E807" s="10"/>
      <c r="F807" s="10"/>
      <c r="G807" s="10"/>
    </row>
    <row r="808" spans="1:7" s="11" customFormat="1" x14ac:dyDescent="0.55000000000000004">
      <c r="A808" s="9"/>
      <c r="B808" s="10"/>
      <c r="C808" s="10"/>
      <c r="D808" s="10"/>
      <c r="E808" s="10"/>
      <c r="F808" s="10"/>
      <c r="G808" s="10"/>
    </row>
    <row r="809" spans="1:7" s="11" customFormat="1" x14ac:dyDescent="0.55000000000000004">
      <c r="A809" s="9"/>
      <c r="B809" s="10"/>
      <c r="C809" s="10"/>
      <c r="D809" s="10"/>
      <c r="E809" s="10"/>
      <c r="F809" s="10"/>
      <c r="G809" s="10"/>
    </row>
    <row r="810" spans="1:7" s="11" customFormat="1" x14ac:dyDescent="0.55000000000000004">
      <c r="A810" s="9"/>
      <c r="B810" s="10"/>
      <c r="C810" s="10"/>
      <c r="D810" s="10"/>
      <c r="E810" s="10"/>
      <c r="F810" s="10"/>
      <c r="G810" s="10"/>
    </row>
    <row r="811" spans="1:7" s="11" customFormat="1" x14ac:dyDescent="0.55000000000000004">
      <c r="A811" s="9"/>
      <c r="B811" s="10"/>
      <c r="C811" s="10"/>
      <c r="D811" s="10"/>
      <c r="E811" s="10"/>
      <c r="F811" s="10"/>
      <c r="G811" s="10"/>
    </row>
    <row r="812" spans="1:7" s="11" customFormat="1" x14ac:dyDescent="0.55000000000000004">
      <c r="A812" s="9"/>
      <c r="B812" s="10"/>
      <c r="C812" s="10"/>
      <c r="D812" s="10"/>
      <c r="E812" s="10"/>
      <c r="F812" s="10"/>
      <c r="G812" s="10"/>
    </row>
    <row r="813" spans="1:7" s="11" customFormat="1" x14ac:dyDescent="0.55000000000000004">
      <c r="A813" s="9"/>
      <c r="B813" s="10"/>
      <c r="C813" s="10"/>
      <c r="D813" s="10"/>
      <c r="E813" s="10"/>
      <c r="F813" s="10"/>
      <c r="G813" s="10"/>
    </row>
    <row r="814" spans="1:7" s="11" customFormat="1" x14ac:dyDescent="0.55000000000000004">
      <c r="A814" s="9"/>
      <c r="B814" s="10"/>
      <c r="C814" s="10"/>
      <c r="D814" s="10"/>
      <c r="E814" s="10"/>
      <c r="F814" s="10"/>
      <c r="G814" s="10"/>
    </row>
    <row r="815" spans="1:7" s="11" customFormat="1" x14ac:dyDescent="0.55000000000000004">
      <c r="A815" s="9"/>
      <c r="B815" s="10"/>
      <c r="C815" s="10"/>
      <c r="D815" s="10"/>
      <c r="E815" s="10"/>
      <c r="F815" s="10"/>
      <c r="G815" s="10"/>
    </row>
    <row r="816" spans="1:7" s="11" customFormat="1" x14ac:dyDescent="0.55000000000000004">
      <c r="A816" s="9"/>
      <c r="B816" s="10"/>
      <c r="C816" s="10"/>
      <c r="D816" s="10"/>
      <c r="E816" s="10"/>
      <c r="F816" s="10"/>
      <c r="G816" s="10"/>
    </row>
    <row r="817" spans="1:11" s="11" customFormat="1" x14ac:dyDescent="0.55000000000000004">
      <c r="A817" s="9"/>
      <c r="B817" s="10"/>
      <c r="C817" s="10"/>
      <c r="D817" s="10"/>
      <c r="E817" s="10"/>
      <c r="F817" s="10"/>
      <c r="G817" s="10"/>
    </row>
    <row r="818" spans="1:11" s="11" customFormat="1" x14ac:dyDescent="0.55000000000000004">
      <c r="A818" s="9"/>
      <c r="B818" s="10"/>
      <c r="C818" s="10"/>
      <c r="D818" s="10"/>
      <c r="E818" s="10"/>
      <c r="F818" s="10"/>
      <c r="G818" s="10"/>
    </row>
    <row r="819" spans="1:11" s="11" customFormat="1" x14ac:dyDescent="0.55000000000000004">
      <c r="A819" s="9"/>
      <c r="B819" s="10"/>
      <c r="C819" s="10"/>
      <c r="D819" s="10"/>
      <c r="E819" s="10"/>
      <c r="F819" s="10"/>
      <c r="G819" s="10"/>
    </row>
    <row r="820" spans="1:11" s="11" customFormat="1" x14ac:dyDescent="0.55000000000000004">
      <c r="A820" s="9"/>
      <c r="B820" s="10"/>
      <c r="C820" s="10"/>
      <c r="D820" s="10"/>
      <c r="E820" s="10"/>
      <c r="F820" s="10"/>
      <c r="G820" s="10"/>
    </row>
    <row r="821" spans="1:11" s="11" customFormat="1" x14ac:dyDescent="0.55000000000000004">
      <c r="A821" s="9"/>
      <c r="B821" s="10"/>
      <c r="C821" s="10"/>
      <c r="D821" s="10"/>
      <c r="E821" s="10"/>
      <c r="F821" s="10"/>
      <c r="G821" s="10"/>
    </row>
    <row r="822" spans="1:11" s="11" customFormat="1" x14ac:dyDescent="0.55000000000000004">
      <c r="A822" s="9"/>
      <c r="B822" s="10"/>
      <c r="C822" s="10"/>
      <c r="D822" s="10"/>
      <c r="E822" s="10"/>
      <c r="F822" s="10"/>
      <c r="G822" s="10"/>
    </row>
    <row r="823" spans="1:11" s="11" customFormat="1" x14ac:dyDescent="0.55000000000000004">
      <c r="A823" s="9"/>
      <c r="B823" s="10"/>
      <c r="C823" s="10"/>
      <c r="D823" s="10"/>
      <c r="E823" s="10"/>
      <c r="F823" s="10"/>
      <c r="G823" s="10"/>
    </row>
    <row r="824" spans="1:11" s="11" customFormat="1" x14ac:dyDescent="0.55000000000000004">
      <c r="A824" s="9"/>
      <c r="B824" s="10"/>
      <c r="C824" s="10"/>
      <c r="D824" s="10"/>
      <c r="E824" s="10"/>
      <c r="F824" s="10"/>
      <c r="G824" s="10"/>
    </row>
    <row r="825" spans="1:11" s="11" customFormat="1" x14ac:dyDescent="0.55000000000000004">
      <c r="A825" s="9"/>
      <c r="B825" s="10"/>
      <c r="C825" s="10"/>
      <c r="D825" s="10"/>
      <c r="E825" s="10"/>
      <c r="F825" s="10"/>
      <c r="G825" s="10"/>
    </row>
    <row r="826" spans="1:11" s="11" customFormat="1" x14ac:dyDescent="0.55000000000000004">
      <c r="A826" s="9"/>
      <c r="B826" s="10"/>
      <c r="C826" s="10"/>
      <c r="D826" s="10"/>
      <c r="E826" s="10"/>
      <c r="F826" s="10"/>
      <c r="G826" s="10"/>
    </row>
    <row r="827" spans="1:11" s="11" customFormat="1" x14ac:dyDescent="0.55000000000000004">
      <c r="A827" s="9"/>
      <c r="B827" s="10"/>
      <c r="C827" s="10"/>
      <c r="D827" s="10"/>
      <c r="E827" s="10"/>
      <c r="F827" s="10"/>
      <c r="G827" s="10"/>
    </row>
    <row r="828" spans="1:11" x14ac:dyDescent="0.55000000000000004">
      <c r="B828" s="10"/>
      <c r="C828" s="10"/>
      <c r="D828" s="10"/>
      <c r="E828" s="10"/>
      <c r="F828" s="10"/>
      <c r="G828" s="10"/>
      <c r="J828" s="11"/>
      <c r="K828" s="11"/>
    </row>
    <row r="829" spans="1:11" x14ac:dyDescent="0.55000000000000004">
      <c r="B829" s="10"/>
      <c r="C829" s="10"/>
      <c r="D829" s="10"/>
      <c r="E829" s="10"/>
      <c r="F829" s="10"/>
      <c r="G829" s="10"/>
      <c r="J829" s="11"/>
      <c r="K829" s="11"/>
    </row>
    <row r="830" spans="1:11" x14ac:dyDescent="0.55000000000000004">
      <c r="B830" s="10"/>
      <c r="C830" s="10"/>
      <c r="D830" s="10"/>
      <c r="E830" s="10"/>
      <c r="F830" s="10"/>
      <c r="G830" s="10"/>
      <c r="J830" s="11"/>
      <c r="K830" s="11"/>
    </row>
    <row r="831" spans="1:11" x14ac:dyDescent="0.55000000000000004">
      <c r="B831" s="10"/>
      <c r="C831" s="10"/>
      <c r="D831" s="10"/>
      <c r="E831" s="10"/>
      <c r="F831" s="10"/>
      <c r="G831" s="10"/>
      <c r="J831" s="11"/>
      <c r="K831" s="11"/>
    </row>
    <row r="832" spans="1:11" x14ac:dyDescent="0.55000000000000004">
      <c r="B832" s="10"/>
      <c r="C832" s="10"/>
      <c r="D832" s="10"/>
      <c r="E832" s="10"/>
      <c r="F832" s="10"/>
      <c r="G832" s="10"/>
      <c r="J832" s="11"/>
      <c r="K832" s="11"/>
    </row>
    <row r="833" spans="4:11" x14ac:dyDescent="0.55000000000000004">
      <c r="D833" s="10"/>
      <c r="E833" s="10"/>
      <c r="F833" s="10"/>
      <c r="G833" s="10"/>
      <c r="J833" s="11"/>
      <c r="K833" s="11"/>
    </row>
  </sheetData>
  <mergeCells count="15">
    <mergeCell ref="K5:K6"/>
    <mergeCell ref="A1:K1"/>
    <mergeCell ref="A2:K2"/>
    <mergeCell ref="J4:K4"/>
    <mergeCell ref="A5:A6"/>
    <mergeCell ref="B5:B6"/>
    <mergeCell ref="C5:C6"/>
    <mergeCell ref="D5:D6"/>
    <mergeCell ref="E5:E6"/>
    <mergeCell ref="F5:F6"/>
    <mergeCell ref="B26:C26"/>
    <mergeCell ref="G5:G6"/>
    <mergeCell ref="H5:H6"/>
    <mergeCell ref="I5:I6"/>
    <mergeCell ref="J5:J6"/>
  </mergeCells>
  <printOptions horizontalCentered="1"/>
  <pageMargins left="0" right="0" top="0.59055118110236227" bottom="0" header="0.31496062992125984" footer="0.31496062992125984"/>
  <pageSetup paperSize="9" scale="45" fitToHeight="0" orientation="portrait" r:id="rId1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0F13-A006-4245-AE76-415DED59F84F}">
  <sheetPr>
    <tabColor rgb="FFFFC000"/>
    <pageSetUpPr fitToPage="1"/>
  </sheetPr>
  <dimension ref="A1:BJ1009"/>
  <sheetViews>
    <sheetView view="pageBreakPreview" topLeftCell="A176" zoomScale="50" zoomScaleNormal="50" zoomScaleSheetLayoutView="50" workbookViewId="0">
      <selection activeCell="AS17" sqref="AS17"/>
    </sheetView>
  </sheetViews>
  <sheetFormatPr defaultColWidth="12.6640625" defaultRowHeight="27.85" x14ac:dyDescent="0.7"/>
  <cols>
    <col min="1" max="1" width="8.21875" style="17" customWidth="1"/>
    <col min="2" max="2" width="29.109375" style="17" bestFit="1" customWidth="1"/>
    <col min="3" max="3" width="17.6640625" style="17" bestFit="1" customWidth="1"/>
    <col min="4" max="4" width="16.21875" style="17" bestFit="1" customWidth="1"/>
    <col min="5" max="5" width="18.6640625" style="17" bestFit="1" customWidth="1"/>
    <col min="6" max="6" width="25.5546875" style="19" bestFit="1" customWidth="1"/>
    <col min="7" max="7" width="34.88671875" style="19" bestFit="1" customWidth="1"/>
    <col min="8" max="9" width="15.44140625" style="20" customWidth="1"/>
    <col min="10" max="10" width="13.44140625" style="17" bestFit="1" customWidth="1"/>
    <col min="11" max="11" width="16.44140625" style="17" bestFit="1" customWidth="1"/>
    <col min="12" max="15" width="16.6640625" style="20" hidden="1" customWidth="1"/>
    <col min="16" max="17" width="16.6640625" style="29" hidden="1" customWidth="1"/>
    <col min="18" max="23" width="16.6640625" style="20" hidden="1" customWidth="1"/>
    <col min="24" max="24" width="26.21875" style="20" hidden="1" customWidth="1"/>
    <col min="25" max="26" width="16.6640625" style="29" hidden="1" customWidth="1"/>
    <col min="27" max="27" width="17.44140625" style="29" hidden="1" customWidth="1"/>
    <col min="28" max="28" width="25.21875" style="29" hidden="1" customWidth="1"/>
    <col min="29" max="29" width="38.21875" style="20" hidden="1" customWidth="1"/>
    <col min="30" max="33" width="16.6640625" style="20" hidden="1" customWidth="1"/>
    <col min="34" max="34" width="35.6640625" style="20" hidden="1" customWidth="1"/>
    <col min="35" max="41" width="16.6640625" style="20" hidden="1" customWidth="1"/>
    <col min="42" max="16384" width="12.6640625" style="17"/>
  </cols>
  <sheetData>
    <row r="1" spans="1:41" s="15" customFormat="1" ht="36" customHeight="1" x14ac:dyDescent="0.2">
      <c r="A1" s="159" t="s">
        <v>509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</row>
    <row r="2" spans="1:41" s="15" customFormat="1" ht="36" customHeight="1" x14ac:dyDescent="0.2">
      <c r="A2" s="159" t="s">
        <v>510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</row>
    <row r="3" spans="1:41" s="15" customFormat="1" ht="35.35" x14ac:dyDescent="0.2">
      <c r="A3" s="1"/>
      <c r="F3" s="25"/>
      <c r="G3" s="25"/>
      <c r="H3" s="14"/>
      <c r="I3" s="14"/>
      <c r="L3" s="14"/>
      <c r="M3" s="14"/>
      <c r="N3" s="14"/>
      <c r="O3" s="14"/>
      <c r="P3" s="14"/>
      <c r="Q3" s="14"/>
      <c r="S3" s="14"/>
      <c r="T3" s="14"/>
      <c r="U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</row>
    <row r="4" spans="1:41" s="13" customFormat="1" ht="49.95" customHeight="1" x14ac:dyDescent="0.2">
      <c r="A4" s="142" t="s">
        <v>514</v>
      </c>
      <c r="B4" s="142"/>
      <c r="C4" s="142"/>
      <c r="D4" s="2"/>
      <c r="E4" s="2"/>
      <c r="F4" s="26"/>
      <c r="G4" s="26"/>
      <c r="H4" s="2"/>
      <c r="I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s="16" customFormat="1" ht="32.950000000000003" customHeight="1" x14ac:dyDescent="0.7">
      <c r="A5" s="160" t="s">
        <v>0</v>
      </c>
      <c r="B5" s="160" t="s">
        <v>86</v>
      </c>
      <c r="C5" s="160" t="s">
        <v>1</v>
      </c>
      <c r="D5" s="160" t="s">
        <v>2</v>
      </c>
      <c r="E5" s="160" t="s">
        <v>3</v>
      </c>
      <c r="F5" s="160" t="s">
        <v>101</v>
      </c>
      <c r="G5" s="160" t="s">
        <v>116</v>
      </c>
      <c r="H5" s="160" t="s">
        <v>7</v>
      </c>
      <c r="I5" s="160" t="s">
        <v>6</v>
      </c>
      <c r="J5" s="160" t="s">
        <v>4</v>
      </c>
      <c r="K5" s="160" t="s">
        <v>5</v>
      </c>
      <c r="L5" s="167" t="s">
        <v>401</v>
      </c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9"/>
      <c r="Y5" s="162" t="s">
        <v>394</v>
      </c>
      <c r="Z5" s="163"/>
      <c r="AA5" s="163"/>
      <c r="AB5" s="163"/>
      <c r="AC5" s="163"/>
      <c r="AD5" s="163"/>
      <c r="AE5" s="163"/>
      <c r="AF5" s="163"/>
      <c r="AG5" s="163"/>
      <c r="AH5" s="164"/>
      <c r="AJ5" s="82"/>
      <c r="AK5" s="82"/>
      <c r="AL5" s="82"/>
      <c r="AM5" s="82"/>
      <c r="AN5" s="82"/>
      <c r="AO5" s="82"/>
    </row>
    <row r="6" spans="1:41" s="16" customFormat="1" ht="32.950000000000003" customHeight="1" x14ac:dyDescent="0.7">
      <c r="A6" s="161"/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70" t="s">
        <v>388</v>
      </c>
      <c r="M6" s="171"/>
      <c r="N6" s="171"/>
      <c r="O6" s="172"/>
      <c r="P6" s="173" t="s">
        <v>421</v>
      </c>
      <c r="Q6" s="173"/>
      <c r="R6" s="173"/>
      <c r="S6" s="173"/>
      <c r="T6" s="174" t="s">
        <v>118</v>
      </c>
      <c r="U6" s="175"/>
      <c r="V6" s="175"/>
      <c r="W6" s="176"/>
      <c r="X6" s="141" t="s">
        <v>400</v>
      </c>
      <c r="Y6" s="162" t="s">
        <v>392</v>
      </c>
      <c r="Z6" s="163"/>
      <c r="AA6" s="163"/>
      <c r="AB6" s="177" t="s">
        <v>398</v>
      </c>
      <c r="AC6" s="178"/>
      <c r="AD6" s="179"/>
      <c r="AE6" s="162" t="s">
        <v>393</v>
      </c>
      <c r="AF6" s="163"/>
      <c r="AG6" s="163"/>
      <c r="AH6" s="164"/>
      <c r="AI6" s="165" t="s">
        <v>389</v>
      </c>
      <c r="AJ6" s="166"/>
      <c r="AK6" s="166"/>
      <c r="AL6" s="166"/>
      <c r="AM6" s="166"/>
      <c r="AN6" s="166"/>
      <c r="AO6" s="166"/>
    </row>
    <row r="7" spans="1:41" s="16" customFormat="1" ht="32.950000000000003" customHeight="1" x14ac:dyDescent="0.7">
      <c r="A7" s="158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4"/>
      <c r="M7" s="155"/>
      <c r="N7" s="155"/>
      <c r="O7" s="156"/>
      <c r="P7" s="145"/>
      <c r="Q7" s="145"/>
      <c r="R7" s="145"/>
      <c r="S7" s="145"/>
      <c r="T7" s="151"/>
      <c r="U7" s="152"/>
      <c r="V7" s="152"/>
      <c r="W7" s="153"/>
      <c r="X7" s="141"/>
      <c r="Y7" s="146"/>
      <c r="Z7" s="147"/>
      <c r="AA7" s="147"/>
      <c r="AB7" s="148"/>
      <c r="AC7" s="149"/>
      <c r="AD7" s="150"/>
      <c r="AE7" s="146"/>
      <c r="AF7" s="147"/>
      <c r="AG7" s="147"/>
      <c r="AH7" s="157"/>
      <c r="AI7" s="143"/>
      <c r="AJ7" s="144"/>
      <c r="AK7" s="144"/>
      <c r="AL7" s="144"/>
      <c r="AM7" s="144"/>
      <c r="AN7" s="144"/>
      <c r="AO7" s="144"/>
    </row>
    <row r="8" spans="1:41" ht="32.450000000000003" customHeight="1" x14ac:dyDescent="0.7">
      <c r="A8" s="59">
        <v>1</v>
      </c>
      <c r="B8" s="108" t="s">
        <v>182</v>
      </c>
      <c r="C8" s="108" t="s">
        <v>8</v>
      </c>
      <c r="D8" s="60" t="s">
        <v>9</v>
      </c>
      <c r="E8" s="60" t="s">
        <v>10</v>
      </c>
      <c r="F8" s="61" t="s">
        <v>106</v>
      </c>
      <c r="G8" s="60" t="s">
        <v>512</v>
      </c>
      <c r="H8" s="62">
        <v>9</v>
      </c>
      <c r="I8" s="63">
        <v>114</v>
      </c>
      <c r="J8" s="64">
        <v>14.601032999999999</v>
      </c>
      <c r="K8" s="64">
        <v>99.615860999999995</v>
      </c>
      <c r="L8" s="65" t="s">
        <v>110</v>
      </c>
      <c r="M8" s="65" t="s">
        <v>110</v>
      </c>
      <c r="N8" s="62" t="str">
        <f t="shared" ref="N8:N71" si="0">IF(M8&lt;&gt;"", "Complete", IF(L8&lt;&gt;"", "In progress", ""))</f>
        <v>Complete</v>
      </c>
      <c r="O8" s="62" t="s">
        <v>124</v>
      </c>
      <c r="P8" s="65" t="s">
        <v>380</v>
      </c>
      <c r="Q8" s="65" t="s">
        <v>380</v>
      </c>
      <c r="R8" s="65" t="str">
        <f t="shared" ref="R8:R39" si="1">IF(
  AND(
     OR(H8=9,H8=18,H8=30),
     OR(F8="ภาคเหนือ",F8="ภาคใต้",F8="ภาคตะวันออก",F8="ภาคตะวันตก",F8="ภาคตะวันออกเฉียงเหนือ")
  ),
  IF(Q8&lt;&gt;"","Complete",IF(P8&lt;&gt;"","In progress","")),
  "-"
)</f>
        <v>Complete</v>
      </c>
      <c r="S8" s="51" t="s">
        <v>448</v>
      </c>
      <c r="T8" s="65" t="s">
        <v>399</v>
      </c>
      <c r="U8" s="65"/>
      <c r="V8" s="62" t="str">
        <f t="shared" ref="V8:V71" si="2">IF(U8&lt;&gt;"", "Complete", IF(T8&lt;&gt;"", "In progress", ""))</f>
        <v>In progress</v>
      </c>
      <c r="W8" s="62"/>
      <c r="X8" s="62"/>
      <c r="Y8" s="65" t="s">
        <v>110</v>
      </c>
      <c r="Z8" s="73">
        <v>244145</v>
      </c>
      <c r="AA8" s="65" t="str">
        <f t="shared" ref="AA8:AA71" si="3">IF(Z8&lt;&gt;"", "Complete", IF(Y8&lt;&gt;"", "In progress", ""))</f>
        <v>Complete</v>
      </c>
      <c r="AB8" s="73">
        <v>244206</v>
      </c>
      <c r="AC8" s="73" t="s">
        <v>399</v>
      </c>
      <c r="AD8" s="62" t="str">
        <f t="shared" ref="AD8:AD71" si="4">IF(AC8&lt;&gt;"", "Complete", IF(AB8&lt;&gt;"", "In progress", ""))</f>
        <v>Complete</v>
      </c>
      <c r="AE8" s="62" t="s">
        <v>469</v>
      </c>
      <c r="AF8" s="62"/>
      <c r="AG8" s="62" t="str">
        <f t="shared" ref="AG8:AG71" si="5">IF(AF8&lt;&gt;"", "Complete", IF(AE8&lt;&gt;"", "In progress", ""))</f>
        <v>In progress</v>
      </c>
      <c r="AH8" s="62"/>
      <c r="AI8" s="62"/>
      <c r="AJ8" s="62"/>
      <c r="AK8" s="62"/>
      <c r="AL8" s="62"/>
      <c r="AM8" s="62"/>
      <c r="AN8" s="62"/>
      <c r="AO8" s="62" t="str">
        <f t="shared" ref="AO8:AO71" si="6">IF(AL8&lt;&gt;"", "Complete", IF(AK8&lt;&gt;"", "In progress", ""))</f>
        <v/>
      </c>
    </row>
    <row r="9" spans="1:41" ht="32.450000000000003" customHeight="1" x14ac:dyDescent="0.7">
      <c r="A9" s="59">
        <v>2</v>
      </c>
      <c r="B9" s="108" t="s">
        <v>236</v>
      </c>
      <c r="C9" s="108" t="s">
        <v>8</v>
      </c>
      <c r="D9" s="60" t="s">
        <v>9</v>
      </c>
      <c r="E9" s="60" t="s">
        <v>10</v>
      </c>
      <c r="F9" s="61" t="s">
        <v>106</v>
      </c>
      <c r="G9" s="60" t="s">
        <v>512</v>
      </c>
      <c r="H9" s="62">
        <v>9</v>
      </c>
      <c r="I9" s="63">
        <v>90</v>
      </c>
      <c r="J9" s="64">
        <v>14.588587</v>
      </c>
      <c r="K9" s="64">
        <v>99.638116999999994</v>
      </c>
      <c r="L9" s="65" t="s">
        <v>110</v>
      </c>
      <c r="M9" s="65" t="s">
        <v>110</v>
      </c>
      <c r="N9" s="62" t="str">
        <f t="shared" si="0"/>
        <v>Complete</v>
      </c>
      <c r="O9" s="62" t="s">
        <v>124</v>
      </c>
      <c r="P9" s="65" t="s">
        <v>380</v>
      </c>
      <c r="Q9" s="65" t="s">
        <v>380</v>
      </c>
      <c r="R9" s="65" t="str">
        <f t="shared" si="1"/>
        <v>Complete</v>
      </c>
      <c r="S9" s="51" t="s">
        <v>448</v>
      </c>
      <c r="T9" s="65" t="s">
        <v>399</v>
      </c>
      <c r="U9" s="65"/>
      <c r="V9" s="62" t="str">
        <f t="shared" si="2"/>
        <v>In progress</v>
      </c>
      <c r="W9" s="62"/>
      <c r="X9" s="62"/>
      <c r="Y9" s="65" t="s">
        <v>110</v>
      </c>
      <c r="Z9" s="73">
        <v>244145</v>
      </c>
      <c r="AA9" s="65" t="str">
        <f t="shared" si="3"/>
        <v>Complete</v>
      </c>
      <c r="AB9" s="73">
        <v>244206</v>
      </c>
      <c r="AC9" s="73" t="s">
        <v>399</v>
      </c>
      <c r="AD9" s="62" t="str">
        <f t="shared" si="4"/>
        <v>Complete</v>
      </c>
      <c r="AE9" s="62" t="s">
        <v>469</v>
      </c>
      <c r="AF9" s="62"/>
      <c r="AG9" s="62" t="str">
        <f t="shared" si="5"/>
        <v>In progress</v>
      </c>
      <c r="AH9" s="62"/>
      <c r="AI9" s="62"/>
      <c r="AJ9" s="62"/>
      <c r="AK9" s="62"/>
      <c r="AL9" s="62"/>
      <c r="AM9" s="62"/>
      <c r="AN9" s="62"/>
      <c r="AO9" s="62" t="str">
        <f t="shared" si="6"/>
        <v/>
      </c>
    </row>
    <row r="10" spans="1:41" ht="32.450000000000003" customHeight="1" x14ac:dyDescent="0.7">
      <c r="A10" s="59">
        <v>3</v>
      </c>
      <c r="B10" s="108" t="s">
        <v>251</v>
      </c>
      <c r="C10" s="108" t="s">
        <v>8</v>
      </c>
      <c r="D10" s="60" t="s">
        <v>9</v>
      </c>
      <c r="E10" s="60" t="s">
        <v>10</v>
      </c>
      <c r="F10" s="61" t="s">
        <v>106</v>
      </c>
      <c r="G10" s="60" t="s">
        <v>512</v>
      </c>
      <c r="H10" s="62">
        <v>9</v>
      </c>
      <c r="I10" s="63">
        <v>104</v>
      </c>
      <c r="J10" s="64">
        <v>14.567454</v>
      </c>
      <c r="K10" s="64">
        <v>99.634530999999996</v>
      </c>
      <c r="L10" s="65" t="s">
        <v>110</v>
      </c>
      <c r="M10" s="65" t="s">
        <v>110</v>
      </c>
      <c r="N10" s="62" t="str">
        <f t="shared" si="0"/>
        <v>Complete</v>
      </c>
      <c r="O10" s="62" t="s">
        <v>124</v>
      </c>
      <c r="P10" s="65" t="s">
        <v>380</v>
      </c>
      <c r="Q10" s="65" t="s">
        <v>380</v>
      </c>
      <c r="R10" s="65" t="str">
        <f t="shared" si="1"/>
        <v>Complete</v>
      </c>
      <c r="S10" s="51" t="s">
        <v>448</v>
      </c>
      <c r="T10" s="65" t="s">
        <v>399</v>
      </c>
      <c r="U10" s="65"/>
      <c r="V10" s="62" t="str">
        <f t="shared" si="2"/>
        <v>In progress</v>
      </c>
      <c r="W10" s="62"/>
      <c r="X10" s="62"/>
      <c r="Y10" s="65" t="s">
        <v>110</v>
      </c>
      <c r="Z10" s="73">
        <v>244145</v>
      </c>
      <c r="AA10" s="65" t="str">
        <f t="shared" si="3"/>
        <v>Complete</v>
      </c>
      <c r="AB10" s="73">
        <v>244206</v>
      </c>
      <c r="AC10" s="73" t="s">
        <v>399</v>
      </c>
      <c r="AD10" s="62" t="str">
        <f t="shared" si="4"/>
        <v>Complete</v>
      </c>
      <c r="AE10" s="62" t="s">
        <v>469</v>
      </c>
      <c r="AF10" s="62"/>
      <c r="AG10" s="62" t="str">
        <f t="shared" si="5"/>
        <v>In progress</v>
      </c>
      <c r="AH10" s="62"/>
      <c r="AI10" s="62"/>
      <c r="AJ10" s="62"/>
      <c r="AK10" s="62"/>
      <c r="AL10" s="62"/>
      <c r="AM10" s="62"/>
      <c r="AN10" s="62"/>
      <c r="AO10" s="62" t="str">
        <f t="shared" si="6"/>
        <v/>
      </c>
    </row>
    <row r="11" spans="1:41" ht="32.450000000000003" customHeight="1" x14ac:dyDescent="0.7">
      <c r="A11" s="62">
        <v>4</v>
      </c>
      <c r="B11" s="108" t="s">
        <v>266</v>
      </c>
      <c r="C11" s="108" t="s">
        <v>8</v>
      </c>
      <c r="D11" s="60" t="s">
        <v>9</v>
      </c>
      <c r="E11" s="60" t="s">
        <v>10</v>
      </c>
      <c r="F11" s="61" t="s">
        <v>106</v>
      </c>
      <c r="G11" s="60" t="s">
        <v>512</v>
      </c>
      <c r="H11" s="62">
        <v>9</v>
      </c>
      <c r="I11" s="63">
        <v>86</v>
      </c>
      <c r="J11" s="64">
        <v>14.625292</v>
      </c>
      <c r="K11" s="64">
        <v>99.652235000000005</v>
      </c>
      <c r="L11" s="65" t="s">
        <v>110</v>
      </c>
      <c r="M11" s="65" t="s">
        <v>110</v>
      </c>
      <c r="N11" s="62" t="str">
        <f t="shared" si="0"/>
        <v>Complete</v>
      </c>
      <c r="O11" s="62" t="s">
        <v>124</v>
      </c>
      <c r="P11" s="65" t="s">
        <v>380</v>
      </c>
      <c r="Q11" s="65" t="s">
        <v>380</v>
      </c>
      <c r="R11" s="65" t="str">
        <f t="shared" si="1"/>
        <v>Complete</v>
      </c>
      <c r="S11" s="51" t="s">
        <v>448</v>
      </c>
      <c r="T11" s="65" t="s">
        <v>399</v>
      </c>
      <c r="U11" s="65"/>
      <c r="V11" s="62" t="str">
        <f t="shared" si="2"/>
        <v>In progress</v>
      </c>
      <c r="W11" s="62"/>
      <c r="X11" s="62"/>
      <c r="Y11" s="65" t="s">
        <v>110</v>
      </c>
      <c r="Z11" s="73">
        <v>244145</v>
      </c>
      <c r="AA11" s="65" t="str">
        <f t="shared" si="3"/>
        <v>Complete</v>
      </c>
      <c r="AB11" s="73">
        <v>244206</v>
      </c>
      <c r="AC11" s="73" t="s">
        <v>399</v>
      </c>
      <c r="AD11" s="62" t="str">
        <f t="shared" si="4"/>
        <v>Complete</v>
      </c>
      <c r="AE11" s="62" t="s">
        <v>469</v>
      </c>
      <c r="AF11" s="62"/>
      <c r="AG11" s="62" t="str">
        <f t="shared" si="5"/>
        <v>In progress</v>
      </c>
      <c r="AH11" s="62"/>
      <c r="AI11" s="62"/>
      <c r="AJ11" s="62"/>
      <c r="AK11" s="62"/>
      <c r="AL11" s="62"/>
      <c r="AM11" s="62"/>
      <c r="AN11" s="62"/>
      <c r="AO11" s="62" t="str">
        <f t="shared" si="6"/>
        <v/>
      </c>
    </row>
    <row r="12" spans="1:41" ht="32.450000000000003" customHeight="1" x14ac:dyDescent="0.7">
      <c r="A12" s="62">
        <v>5</v>
      </c>
      <c r="B12" s="108" t="s">
        <v>161</v>
      </c>
      <c r="C12" s="108" t="s">
        <v>11</v>
      </c>
      <c r="D12" s="60" t="s">
        <v>9</v>
      </c>
      <c r="E12" s="60" t="s">
        <v>10</v>
      </c>
      <c r="F12" s="61" t="s">
        <v>106</v>
      </c>
      <c r="G12" s="60" t="s">
        <v>512</v>
      </c>
      <c r="H12" s="62">
        <v>9</v>
      </c>
      <c r="I12" s="63">
        <v>105</v>
      </c>
      <c r="J12" s="64">
        <v>14.477975000000001</v>
      </c>
      <c r="K12" s="64">
        <v>99.653895000000006</v>
      </c>
      <c r="L12" s="65" t="s">
        <v>110</v>
      </c>
      <c r="M12" s="65" t="s">
        <v>110</v>
      </c>
      <c r="N12" s="62" t="str">
        <f t="shared" si="0"/>
        <v>Complete</v>
      </c>
      <c r="O12" s="62" t="s">
        <v>124</v>
      </c>
      <c r="P12" s="65" t="s">
        <v>380</v>
      </c>
      <c r="Q12" s="65" t="s">
        <v>380</v>
      </c>
      <c r="R12" s="65" t="str">
        <f t="shared" si="1"/>
        <v>Complete</v>
      </c>
      <c r="S12" s="51" t="s">
        <v>448</v>
      </c>
      <c r="T12" s="65" t="s">
        <v>399</v>
      </c>
      <c r="U12" s="65"/>
      <c r="V12" s="62" t="str">
        <f t="shared" si="2"/>
        <v>In progress</v>
      </c>
      <c r="W12" s="62"/>
      <c r="X12" s="62"/>
      <c r="Y12" s="65" t="s">
        <v>110</v>
      </c>
      <c r="Z12" s="73">
        <v>244145</v>
      </c>
      <c r="AA12" s="65" t="str">
        <f t="shared" si="3"/>
        <v>Complete</v>
      </c>
      <c r="AB12" s="73">
        <v>244206</v>
      </c>
      <c r="AC12" s="73" t="s">
        <v>399</v>
      </c>
      <c r="AD12" s="62" t="str">
        <f t="shared" si="4"/>
        <v>Complete</v>
      </c>
      <c r="AE12" s="62" t="s">
        <v>469</v>
      </c>
      <c r="AF12" s="62"/>
      <c r="AG12" s="62" t="str">
        <f t="shared" si="5"/>
        <v>In progress</v>
      </c>
      <c r="AH12" s="62"/>
      <c r="AI12" s="62"/>
      <c r="AJ12" s="62"/>
      <c r="AK12" s="62"/>
      <c r="AL12" s="62"/>
      <c r="AM12" s="62"/>
      <c r="AN12" s="62"/>
      <c r="AO12" s="62" t="str">
        <f t="shared" si="6"/>
        <v/>
      </c>
    </row>
    <row r="13" spans="1:41" ht="32.450000000000003" customHeight="1" x14ac:dyDescent="0.7">
      <c r="A13" s="59">
        <v>6</v>
      </c>
      <c r="B13" s="108" t="s">
        <v>203</v>
      </c>
      <c r="C13" s="108" t="s">
        <v>11</v>
      </c>
      <c r="D13" s="60" t="s">
        <v>9</v>
      </c>
      <c r="E13" s="60" t="s">
        <v>10</v>
      </c>
      <c r="F13" s="61" t="s">
        <v>106</v>
      </c>
      <c r="G13" s="60" t="s">
        <v>512</v>
      </c>
      <c r="H13" s="62">
        <v>9</v>
      </c>
      <c r="I13" s="63">
        <v>106</v>
      </c>
      <c r="J13" s="64">
        <v>14.532685000000001</v>
      </c>
      <c r="K13" s="64">
        <v>99.649880999999993</v>
      </c>
      <c r="L13" s="65" t="s">
        <v>110</v>
      </c>
      <c r="M13" s="65" t="s">
        <v>110</v>
      </c>
      <c r="N13" s="62" t="str">
        <f t="shared" si="0"/>
        <v>Complete</v>
      </c>
      <c r="O13" s="62" t="s">
        <v>124</v>
      </c>
      <c r="P13" s="65" t="s">
        <v>380</v>
      </c>
      <c r="Q13" s="65" t="s">
        <v>380</v>
      </c>
      <c r="R13" s="65" t="str">
        <f t="shared" si="1"/>
        <v>Complete</v>
      </c>
      <c r="S13" s="51" t="s">
        <v>448</v>
      </c>
      <c r="T13" s="65" t="s">
        <v>399</v>
      </c>
      <c r="U13" s="65"/>
      <c r="V13" s="62" t="str">
        <f t="shared" si="2"/>
        <v>In progress</v>
      </c>
      <c r="W13" s="62"/>
      <c r="X13" s="62"/>
      <c r="Y13" s="65" t="s">
        <v>110</v>
      </c>
      <c r="Z13" s="73">
        <v>244145</v>
      </c>
      <c r="AA13" s="65" t="str">
        <f t="shared" si="3"/>
        <v>Complete</v>
      </c>
      <c r="AB13" s="73">
        <v>244206</v>
      </c>
      <c r="AC13" s="73" t="s">
        <v>399</v>
      </c>
      <c r="AD13" s="62" t="str">
        <f t="shared" si="4"/>
        <v>Complete</v>
      </c>
      <c r="AE13" s="62" t="s">
        <v>469</v>
      </c>
      <c r="AF13" s="62"/>
      <c r="AG13" s="62" t="str">
        <f t="shared" si="5"/>
        <v>In progress</v>
      </c>
      <c r="AH13" s="62"/>
      <c r="AI13" s="62"/>
      <c r="AJ13" s="62"/>
      <c r="AK13" s="62"/>
      <c r="AL13" s="62"/>
      <c r="AM13" s="62"/>
      <c r="AN13" s="62"/>
      <c r="AO13" s="62" t="str">
        <f t="shared" si="6"/>
        <v/>
      </c>
    </row>
    <row r="14" spans="1:41" ht="32.450000000000003" customHeight="1" x14ac:dyDescent="0.7">
      <c r="A14" s="59">
        <v>7</v>
      </c>
      <c r="B14" s="108" t="s">
        <v>223</v>
      </c>
      <c r="C14" s="108" t="s">
        <v>11</v>
      </c>
      <c r="D14" s="60" t="s">
        <v>9</v>
      </c>
      <c r="E14" s="60" t="s">
        <v>10</v>
      </c>
      <c r="F14" s="61" t="s">
        <v>106</v>
      </c>
      <c r="G14" s="60" t="s">
        <v>512</v>
      </c>
      <c r="H14" s="62">
        <v>9</v>
      </c>
      <c r="I14" s="63">
        <v>87</v>
      </c>
      <c r="J14" s="64">
        <v>14.494989</v>
      </c>
      <c r="K14" s="64">
        <v>99.673000999999999</v>
      </c>
      <c r="L14" s="65" t="s">
        <v>110</v>
      </c>
      <c r="M14" s="65" t="s">
        <v>110</v>
      </c>
      <c r="N14" s="62" t="str">
        <f t="shared" si="0"/>
        <v>Complete</v>
      </c>
      <c r="O14" s="62" t="s">
        <v>124</v>
      </c>
      <c r="P14" s="65" t="s">
        <v>380</v>
      </c>
      <c r="Q14" s="65" t="s">
        <v>380</v>
      </c>
      <c r="R14" s="65" t="str">
        <f t="shared" si="1"/>
        <v>Complete</v>
      </c>
      <c r="S14" s="51" t="s">
        <v>448</v>
      </c>
      <c r="T14" s="65" t="s">
        <v>399</v>
      </c>
      <c r="U14" s="65"/>
      <c r="V14" s="62" t="str">
        <f t="shared" si="2"/>
        <v>In progress</v>
      </c>
      <c r="W14" s="62"/>
      <c r="X14" s="62"/>
      <c r="Y14" s="65" t="s">
        <v>110</v>
      </c>
      <c r="Z14" s="73">
        <v>244145</v>
      </c>
      <c r="AA14" s="65" t="str">
        <f t="shared" si="3"/>
        <v>Complete</v>
      </c>
      <c r="AB14" s="73">
        <v>244206</v>
      </c>
      <c r="AC14" s="73" t="s">
        <v>399</v>
      </c>
      <c r="AD14" s="62" t="str">
        <f t="shared" si="4"/>
        <v>Complete</v>
      </c>
      <c r="AE14" s="62" t="s">
        <v>469</v>
      </c>
      <c r="AF14" s="62"/>
      <c r="AG14" s="62" t="str">
        <f t="shared" si="5"/>
        <v>In progress</v>
      </c>
      <c r="AH14" s="62"/>
      <c r="AI14" s="62"/>
      <c r="AJ14" s="62"/>
      <c r="AK14" s="62"/>
      <c r="AL14" s="62"/>
      <c r="AM14" s="62"/>
      <c r="AN14" s="62"/>
      <c r="AO14" s="62" t="str">
        <f t="shared" si="6"/>
        <v/>
      </c>
    </row>
    <row r="15" spans="1:41" ht="32.450000000000003" customHeight="1" x14ac:dyDescent="0.7">
      <c r="A15" s="59">
        <v>8</v>
      </c>
      <c r="B15" s="108" t="s">
        <v>278</v>
      </c>
      <c r="C15" s="108" t="s">
        <v>11</v>
      </c>
      <c r="D15" s="60" t="s">
        <v>9</v>
      </c>
      <c r="E15" s="60" t="s">
        <v>10</v>
      </c>
      <c r="F15" s="61" t="s">
        <v>106</v>
      </c>
      <c r="G15" s="60" t="s">
        <v>512</v>
      </c>
      <c r="H15" s="62">
        <v>9</v>
      </c>
      <c r="I15" s="63">
        <v>132</v>
      </c>
      <c r="J15" s="64">
        <v>14.51521</v>
      </c>
      <c r="K15" s="64">
        <v>99.633162999999996</v>
      </c>
      <c r="L15" s="65" t="s">
        <v>110</v>
      </c>
      <c r="M15" s="65" t="s">
        <v>110</v>
      </c>
      <c r="N15" s="62" t="str">
        <f t="shared" si="0"/>
        <v>Complete</v>
      </c>
      <c r="O15" s="62" t="s">
        <v>124</v>
      </c>
      <c r="P15" s="65" t="s">
        <v>380</v>
      </c>
      <c r="Q15" s="65" t="s">
        <v>380</v>
      </c>
      <c r="R15" s="65" t="str">
        <f t="shared" si="1"/>
        <v>Complete</v>
      </c>
      <c r="S15" s="51" t="s">
        <v>448</v>
      </c>
      <c r="T15" s="65" t="s">
        <v>399</v>
      </c>
      <c r="U15" s="65"/>
      <c r="V15" s="62" t="str">
        <f t="shared" si="2"/>
        <v>In progress</v>
      </c>
      <c r="W15" s="62"/>
      <c r="X15" s="62"/>
      <c r="Y15" s="65" t="s">
        <v>110</v>
      </c>
      <c r="Z15" s="73">
        <v>244145</v>
      </c>
      <c r="AA15" s="65" t="str">
        <f t="shared" si="3"/>
        <v>Complete</v>
      </c>
      <c r="AB15" s="73">
        <v>244206</v>
      </c>
      <c r="AC15" s="73" t="s">
        <v>399</v>
      </c>
      <c r="AD15" s="62" t="str">
        <f t="shared" si="4"/>
        <v>Complete</v>
      </c>
      <c r="AE15" s="62" t="s">
        <v>469</v>
      </c>
      <c r="AF15" s="62"/>
      <c r="AG15" s="62" t="str">
        <f t="shared" si="5"/>
        <v>In progress</v>
      </c>
      <c r="AH15" s="62"/>
      <c r="AI15" s="62"/>
      <c r="AJ15" s="62"/>
      <c r="AK15" s="62"/>
      <c r="AL15" s="62"/>
      <c r="AM15" s="62"/>
      <c r="AN15" s="62"/>
      <c r="AO15" s="62" t="str">
        <f t="shared" si="6"/>
        <v/>
      </c>
    </row>
    <row r="16" spans="1:41" ht="32.450000000000003" customHeight="1" x14ac:dyDescent="0.7">
      <c r="A16" s="62">
        <v>9</v>
      </c>
      <c r="B16" s="108" t="s">
        <v>289</v>
      </c>
      <c r="C16" s="108" t="s">
        <v>12</v>
      </c>
      <c r="D16" s="60" t="s">
        <v>9</v>
      </c>
      <c r="E16" s="60" t="s">
        <v>10</v>
      </c>
      <c r="F16" s="61" t="s">
        <v>106</v>
      </c>
      <c r="G16" s="60" t="s">
        <v>512</v>
      </c>
      <c r="H16" s="62">
        <v>9</v>
      </c>
      <c r="I16" s="63">
        <v>73</v>
      </c>
      <c r="J16" s="64">
        <v>14.486867</v>
      </c>
      <c r="K16" s="64">
        <v>99.695015999999995</v>
      </c>
      <c r="L16" s="65" t="s">
        <v>110</v>
      </c>
      <c r="M16" s="65" t="s">
        <v>110</v>
      </c>
      <c r="N16" s="62" t="str">
        <f t="shared" si="0"/>
        <v>Complete</v>
      </c>
      <c r="O16" s="62" t="s">
        <v>124</v>
      </c>
      <c r="P16" s="65" t="s">
        <v>380</v>
      </c>
      <c r="Q16" s="65" t="s">
        <v>380</v>
      </c>
      <c r="R16" s="65" t="str">
        <f t="shared" si="1"/>
        <v>Complete</v>
      </c>
      <c r="S16" s="51" t="s">
        <v>448</v>
      </c>
      <c r="T16" s="65" t="s">
        <v>399</v>
      </c>
      <c r="U16" s="65"/>
      <c r="V16" s="62" t="str">
        <f t="shared" si="2"/>
        <v>In progress</v>
      </c>
      <c r="W16" s="62"/>
      <c r="X16" s="62"/>
      <c r="Y16" s="65" t="s">
        <v>110</v>
      </c>
      <c r="Z16" s="73">
        <v>244145</v>
      </c>
      <c r="AA16" s="65" t="str">
        <f t="shared" si="3"/>
        <v>Complete</v>
      </c>
      <c r="AB16" s="73">
        <v>244206</v>
      </c>
      <c r="AC16" s="73" t="s">
        <v>399</v>
      </c>
      <c r="AD16" s="62" t="str">
        <f t="shared" si="4"/>
        <v>Complete</v>
      </c>
      <c r="AE16" s="62" t="s">
        <v>469</v>
      </c>
      <c r="AF16" s="62"/>
      <c r="AG16" s="62" t="str">
        <f t="shared" si="5"/>
        <v>In progress</v>
      </c>
      <c r="AH16" s="62"/>
      <c r="AI16" s="62"/>
      <c r="AJ16" s="62"/>
      <c r="AK16" s="62"/>
      <c r="AL16" s="62"/>
      <c r="AM16" s="62"/>
      <c r="AN16" s="62"/>
      <c r="AO16" s="62" t="str">
        <f t="shared" si="6"/>
        <v/>
      </c>
    </row>
    <row r="17" spans="1:41" ht="32.450000000000003" customHeight="1" x14ac:dyDescent="0.7">
      <c r="A17" s="62">
        <v>10</v>
      </c>
      <c r="B17" s="108" t="s">
        <v>144</v>
      </c>
      <c r="C17" s="108" t="s">
        <v>12</v>
      </c>
      <c r="D17" s="60" t="s">
        <v>9</v>
      </c>
      <c r="E17" s="60" t="s">
        <v>10</v>
      </c>
      <c r="F17" s="61" t="s">
        <v>106</v>
      </c>
      <c r="G17" s="60" t="s">
        <v>512</v>
      </c>
      <c r="H17" s="62">
        <v>9</v>
      </c>
      <c r="I17" s="63">
        <v>42</v>
      </c>
      <c r="J17" s="64">
        <v>14.448948</v>
      </c>
      <c r="K17" s="64">
        <v>99.723167000000004</v>
      </c>
      <c r="L17" s="65" t="s">
        <v>110</v>
      </c>
      <c r="M17" s="65" t="s">
        <v>110</v>
      </c>
      <c r="N17" s="62" t="str">
        <f t="shared" si="0"/>
        <v>Complete</v>
      </c>
      <c r="O17" s="62" t="s">
        <v>124</v>
      </c>
      <c r="P17" s="65" t="s">
        <v>380</v>
      </c>
      <c r="Q17" s="65" t="s">
        <v>380</v>
      </c>
      <c r="R17" s="65" t="str">
        <f t="shared" si="1"/>
        <v>Complete</v>
      </c>
      <c r="S17" s="51" t="s">
        <v>448</v>
      </c>
      <c r="T17" s="65" t="s">
        <v>399</v>
      </c>
      <c r="U17" s="65"/>
      <c r="V17" s="62" t="str">
        <f t="shared" si="2"/>
        <v>In progress</v>
      </c>
      <c r="W17" s="62"/>
      <c r="X17" s="62"/>
      <c r="Y17" s="65" t="s">
        <v>110</v>
      </c>
      <c r="Z17" s="73">
        <v>244145</v>
      </c>
      <c r="AA17" s="65" t="str">
        <f t="shared" si="3"/>
        <v>Complete</v>
      </c>
      <c r="AB17" s="73">
        <v>244206</v>
      </c>
      <c r="AC17" s="73" t="s">
        <v>399</v>
      </c>
      <c r="AD17" s="62" t="str">
        <f t="shared" si="4"/>
        <v>Complete</v>
      </c>
      <c r="AE17" s="62" t="s">
        <v>469</v>
      </c>
      <c r="AF17" s="62"/>
      <c r="AG17" s="62" t="str">
        <f t="shared" si="5"/>
        <v>In progress</v>
      </c>
      <c r="AH17" s="62"/>
      <c r="AI17" s="62"/>
      <c r="AJ17" s="62"/>
      <c r="AK17" s="62"/>
      <c r="AL17" s="62"/>
      <c r="AM17" s="62"/>
      <c r="AN17" s="62"/>
      <c r="AO17" s="62" t="str">
        <f t="shared" si="6"/>
        <v/>
      </c>
    </row>
    <row r="18" spans="1:41" ht="32.450000000000003" customHeight="1" x14ac:dyDescent="0.7">
      <c r="A18" s="59">
        <v>11</v>
      </c>
      <c r="B18" s="108" t="s">
        <v>431</v>
      </c>
      <c r="C18" s="108" t="s">
        <v>12</v>
      </c>
      <c r="D18" s="60" t="s">
        <v>9</v>
      </c>
      <c r="E18" s="60" t="s">
        <v>10</v>
      </c>
      <c r="F18" s="61" t="s">
        <v>106</v>
      </c>
      <c r="G18" s="60" t="s">
        <v>512</v>
      </c>
      <c r="H18" s="62">
        <v>9</v>
      </c>
      <c r="I18" s="63">
        <v>40</v>
      </c>
      <c r="J18" s="63">
        <v>14.421935</v>
      </c>
      <c r="K18" s="64">
        <v>99.727384999999998</v>
      </c>
      <c r="L18" s="65" t="s">
        <v>110</v>
      </c>
      <c r="M18" s="65" t="s">
        <v>110</v>
      </c>
      <c r="N18" s="62" t="str">
        <f t="shared" si="0"/>
        <v>Complete</v>
      </c>
      <c r="O18" s="62" t="s">
        <v>124</v>
      </c>
      <c r="P18" s="65" t="s">
        <v>380</v>
      </c>
      <c r="Q18" s="65" t="s">
        <v>380</v>
      </c>
      <c r="R18" s="65" t="str">
        <f t="shared" si="1"/>
        <v>Complete</v>
      </c>
      <c r="S18" s="51" t="s">
        <v>448</v>
      </c>
      <c r="T18" s="65" t="s">
        <v>399</v>
      </c>
      <c r="U18" s="65"/>
      <c r="V18" s="62" t="str">
        <f t="shared" si="2"/>
        <v>In progress</v>
      </c>
      <c r="W18" s="62"/>
      <c r="X18" s="62"/>
      <c r="Y18" s="65" t="s">
        <v>110</v>
      </c>
      <c r="Z18" s="73">
        <v>244145</v>
      </c>
      <c r="AA18" s="65" t="str">
        <f t="shared" si="3"/>
        <v>Complete</v>
      </c>
      <c r="AB18" s="73">
        <v>244206</v>
      </c>
      <c r="AC18" s="73" t="s">
        <v>399</v>
      </c>
      <c r="AD18" s="62" t="str">
        <f t="shared" si="4"/>
        <v>Complete</v>
      </c>
      <c r="AE18" s="62" t="s">
        <v>469</v>
      </c>
      <c r="AF18" s="62"/>
      <c r="AG18" s="62" t="str">
        <f t="shared" si="5"/>
        <v>In progress</v>
      </c>
      <c r="AH18" s="62"/>
      <c r="AI18" s="62"/>
      <c r="AJ18" s="62"/>
      <c r="AK18" s="62"/>
      <c r="AL18" s="62"/>
      <c r="AM18" s="62"/>
      <c r="AN18" s="62"/>
      <c r="AO18" s="62" t="str">
        <f t="shared" si="6"/>
        <v/>
      </c>
    </row>
    <row r="19" spans="1:41" ht="32.450000000000003" customHeight="1" x14ac:dyDescent="0.7">
      <c r="A19" s="59">
        <v>12</v>
      </c>
      <c r="B19" s="108" t="s">
        <v>224</v>
      </c>
      <c r="C19" s="108" t="s">
        <v>12</v>
      </c>
      <c r="D19" s="60" t="s">
        <v>9</v>
      </c>
      <c r="E19" s="60" t="s">
        <v>10</v>
      </c>
      <c r="F19" s="61" t="s">
        <v>106</v>
      </c>
      <c r="G19" s="60" t="s">
        <v>512</v>
      </c>
      <c r="H19" s="62">
        <v>9</v>
      </c>
      <c r="I19" s="63">
        <v>40</v>
      </c>
      <c r="J19" s="64">
        <v>14.435006</v>
      </c>
      <c r="K19" s="64">
        <v>99.735956000000002</v>
      </c>
      <c r="L19" s="65" t="s">
        <v>110</v>
      </c>
      <c r="M19" s="65" t="s">
        <v>110</v>
      </c>
      <c r="N19" s="62" t="str">
        <f t="shared" si="0"/>
        <v>Complete</v>
      </c>
      <c r="O19" s="62" t="s">
        <v>124</v>
      </c>
      <c r="P19" s="65" t="s">
        <v>380</v>
      </c>
      <c r="Q19" s="65" t="s">
        <v>380</v>
      </c>
      <c r="R19" s="65" t="str">
        <f t="shared" si="1"/>
        <v>Complete</v>
      </c>
      <c r="S19" s="51" t="s">
        <v>448</v>
      </c>
      <c r="T19" s="65" t="s">
        <v>399</v>
      </c>
      <c r="U19" s="65"/>
      <c r="V19" s="62" t="str">
        <f t="shared" si="2"/>
        <v>In progress</v>
      </c>
      <c r="W19" s="62"/>
      <c r="X19" s="62"/>
      <c r="Y19" s="65" t="s">
        <v>110</v>
      </c>
      <c r="Z19" s="73">
        <v>244145</v>
      </c>
      <c r="AA19" s="65" t="str">
        <f t="shared" si="3"/>
        <v>Complete</v>
      </c>
      <c r="AB19" s="73">
        <v>244206</v>
      </c>
      <c r="AC19" s="73" t="s">
        <v>399</v>
      </c>
      <c r="AD19" s="62" t="str">
        <f t="shared" si="4"/>
        <v>Complete</v>
      </c>
      <c r="AE19" s="62" t="s">
        <v>469</v>
      </c>
      <c r="AF19" s="62"/>
      <c r="AG19" s="62" t="str">
        <f t="shared" si="5"/>
        <v>In progress</v>
      </c>
      <c r="AH19" s="62"/>
      <c r="AI19" s="62"/>
      <c r="AJ19" s="62"/>
      <c r="AK19" s="62"/>
      <c r="AL19" s="62"/>
      <c r="AM19" s="62"/>
      <c r="AN19" s="62"/>
      <c r="AO19" s="62" t="str">
        <f t="shared" si="6"/>
        <v/>
      </c>
    </row>
    <row r="20" spans="1:41" ht="32.450000000000003" customHeight="1" x14ac:dyDescent="0.7">
      <c r="A20" s="59">
        <v>13</v>
      </c>
      <c r="B20" s="108" t="s">
        <v>237</v>
      </c>
      <c r="C20" s="108" t="s">
        <v>12</v>
      </c>
      <c r="D20" s="60" t="s">
        <v>9</v>
      </c>
      <c r="E20" s="60" t="s">
        <v>10</v>
      </c>
      <c r="F20" s="61" t="s">
        <v>106</v>
      </c>
      <c r="G20" s="60" t="s">
        <v>512</v>
      </c>
      <c r="H20" s="62">
        <v>9</v>
      </c>
      <c r="I20" s="63">
        <v>56</v>
      </c>
      <c r="J20" s="64">
        <v>14.481615</v>
      </c>
      <c r="K20" s="64">
        <v>99.745157000000006</v>
      </c>
      <c r="L20" s="65" t="s">
        <v>110</v>
      </c>
      <c r="M20" s="65" t="s">
        <v>110</v>
      </c>
      <c r="N20" s="62" t="str">
        <f t="shared" si="0"/>
        <v>Complete</v>
      </c>
      <c r="O20" s="62" t="s">
        <v>124</v>
      </c>
      <c r="P20" s="65" t="s">
        <v>380</v>
      </c>
      <c r="Q20" s="65" t="s">
        <v>380</v>
      </c>
      <c r="R20" s="65" t="str">
        <f t="shared" si="1"/>
        <v>Complete</v>
      </c>
      <c r="S20" s="51" t="s">
        <v>448</v>
      </c>
      <c r="T20" s="65" t="s">
        <v>399</v>
      </c>
      <c r="U20" s="65"/>
      <c r="V20" s="62" t="str">
        <f t="shared" si="2"/>
        <v>In progress</v>
      </c>
      <c r="W20" s="62"/>
      <c r="X20" s="62"/>
      <c r="Y20" s="65" t="s">
        <v>110</v>
      </c>
      <c r="Z20" s="73">
        <v>244145</v>
      </c>
      <c r="AA20" s="65" t="str">
        <f t="shared" si="3"/>
        <v>Complete</v>
      </c>
      <c r="AB20" s="73">
        <v>244206</v>
      </c>
      <c r="AC20" s="73" t="s">
        <v>399</v>
      </c>
      <c r="AD20" s="62" t="str">
        <f t="shared" si="4"/>
        <v>Complete</v>
      </c>
      <c r="AE20" s="62" t="s">
        <v>469</v>
      </c>
      <c r="AF20" s="62"/>
      <c r="AG20" s="62" t="str">
        <f t="shared" si="5"/>
        <v>In progress</v>
      </c>
      <c r="AH20" s="62"/>
      <c r="AI20" s="62"/>
      <c r="AJ20" s="62"/>
      <c r="AK20" s="62"/>
      <c r="AL20" s="62"/>
      <c r="AM20" s="62"/>
      <c r="AN20" s="62"/>
      <c r="AO20" s="62" t="str">
        <f t="shared" si="6"/>
        <v/>
      </c>
    </row>
    <row r="21" spans="1:41" ht="32.450000000000003" customHeight="1" x14ac:dyDescent="0.7">
      <c r="A21" s="62">
        <v>14</v>
      </c>
      <c r="B21" s="108" t="s">
        <v>267</v>
      </c>
      <c r="C21" s="108" t="s">
        <v>12</v>
      </c>
      <c r="D21" s="60" t="s">
        <v>9</v>
      </c>
      <c r="E21" s="60" t="s">
        <v>10</v>
      </c>
      <c r="F21" s="61" t="s">
        <v>106</v>
      </c>
      <c r="G21" s="60" t="s">
        <v>302</v>
      </c>
      <c r="H21" s="62">
        <v>9</v>
      </c>
      <c r="I21" s="63">
        <v>75</v>
      </c>
      <c r="J21" s="64">
        <v>14.446396</v>
      </c>
      <c r="K21" s="64">
        <v>99.667615999999995</v>
      </c>
      <c r="L21" s="65" t="s">
        <v>110</v>
      </c>
      <c r="M21" s="65" t="s">
        <v>110</v>
      </c>
      <c r="N21" s="62" t="str">
        <f t="shared" si="0"/>
        <v>Complete</v>
      </c>
      <c r="O21" s="62" t="s">
        <v>124</v>
      </c>
      <c r="P21" s="65" t="s">
        <v>380</v>
      </c>
      <c r="Q21" s="65" t="s">
        <v>380</v>
      </c>
      <c r="R21" s="65" t="str">
        <f t="shared" si="1"/>
        <v>Complete</v>
      </c>
      <c r="S21" s="51" t="s">
        <v>448</v>
      </c>
      <c r="T21" s="65" t="s">
        <v>399</v>
      </c>
      <c r="U21" s="65"/>
      <c r="V21" s="62" t="str">
        <f t="shared" si="2"/>
        <v>In progress</v>
      </c>
      <c r="W21" s="62"/>
      <c r="X21" s="62"/>
      <c r="Y21" s="65" t="s">
        <v>110</v>
      </c>
      <c r="Z21" s="73">
        <v>244145</v>
      </c>
      <c r="AA21" s="65" t="str">
        <f t="shared" si="3"/>
        <v>Complete</v>
      </c>
      <c r="AB21" s="73">
        <v>244206</v>
      </c>
      <c r="AC21" s="73" t="s">
        <v>399</v>
      </c>
      <c r="AD21" s="62" t="str">
        <f t="shared" si="4"/>
        <v>Complete</v>
      </c>
      <c r="AE21" s="62" t="s">
        <v>469</v>
      </c>
      <c r="AF21" s="62"/>
      <c r="AG21" s="62" t="str">
        <f t="shared" si="5"/>
        <v>In progress</v>
      </c>
      <c r="AH21" s="62"/>
      <c r="AI21" s="62"/>
      <c r="AJ21" s="62"/>
      <c r="AK21" s="62"/>
      <c r="AL21" s="62"/>
      <c r="AM21" s="62"/>
      <c r="AN21" s="62"/>
      <c r="AO21" s="62" t="str">
        <f t="shared" si="6"/>
        <v/>
      </c>
    </row>
    <row r="22" spans="1:41" ht="32.450000000000003" customHeight="1" x14ac:dyDescent="0.7">
      <c r="A22" s="62">
        <v>15</v>
      </c>
      <c r="B22" s="108" t="s">
        <v>279</v>
      </c>
      <c r="C22" s="108" t="s">
        <v>12</v>
      </c>
      <c r="D22" s="60" t="s">
        <v>9</v>
      </c>
      <c r="E22" s="60" t="s">
        <v>10</v>
      </c>
      <c r="F22" s="61" t="s">
        <v>106</v>
      </c>
      <c r="G22" s="60" t="s">
        <v>512</v>
      </c>
      <c r="H22" s="62">
        <v>9</v>
      </c>
      <c r="I22" s="63">
        <v>34</v>
      </c>
      <c r="J22" s="64">
        <v>14.406573</v>
      </c>
      <c r="K22" s="64">
        <v>99.741555000000005</v>
      </c>
      <c r="L22" s="65" t="s">
        <v>110</v>
      </c>
      <c r="M22" s="65" t="s">
        <v>110</v>
      </c>
      <c r="N22" s="62" t="str">
        <f t="shared" si="0"/>
        <v>Complete</v>
      </c>
      <c r="O22" s="62" t="s">
        <v>124</v>
      </c>
      <c r="P22" s="65" t="s">
        <v>380</v>
      </c>
      <c r="Q22" s="65" t="s">
        <v>380</v>
      </c>
      <c r="R22" s="65" t="str">
        <f t="shared" si="1"/>
        <v>Complete</v>
      </c>
      <c r="S22" s="51" t="s">
        <v>448</v>
      </c>
      <c r="T22" s="65" t="s">
        <v>399</v>
      </c>
      <c r="U22" s="65"/>
      <c r="V22" s="62" t="str">
        <f t="shared" si="2"/>
        <v>In progress</v>
      </c>
      <c r="W22" s="62"/>
      <c r="X22" s="62"/>
      <c r="Y22" s="65" t="s">
        <v>110</v>
      </c>
      <c r="Z22" s="73">
        <v>244145</v>
      </c>
      <c r="AA22" s="65" t="str">
        <f t="shared" si="3"/>
        <v>Complete</v>
      </c>
      <c r="AB22" s="73">
        <v>244206</v>
      </c>
      <c r="AC22" s="73" t="s">
        <v>399</v>
      </c>
      <c r="AD22" s="62" t="str">
        <f t="shared" si="4"/>
        <v>Complete</v>
      </c>
      <c r="AE22" s="62" t="s">
        <v>469</v>
      </c>
      <c r="AF22" s="62"/>
      <c r="AG22" s="62" t="str">
        <f t="shared" si="5"/>
        <v>In progress</v>
      </c>
      <c r="AH22" s="62"/>
      <c r="AI22" s="62"/>
      <c r="AJ22" s="62"/>
      <c r="AK22" s="62"/>
      <c r="AL22" s="62"/>
      <c r="AM22" s="62"/>
      <c r="AN22" s="62"/>
      <c r="AO22" s="62" t="str">
        <f t="shared" si="6"/>
        <v/>
      </c>
    </row>
    <row r="23" spans="1:41" ht="32.450000000000003" customHeight="1" x14ac:dyDescent="0.7">
      <c r="A23" s="59">
        <v>16</v>
      </c>
      <c r="B23" s="123" t="s">
        <v>145</v>
      </c>
      <c r="C23" s="123" t="s">
        <v>13</v>
      </c>
      <c r="D23" s="68" t="s">
        <v>14</v>
      </c>
      <c r="E23" s="68" t="s">
        <v>10</v>
      </c>
      <c r="F23" s="61" t="s">
        <v>106</v>
      </c>
      <c r="G23" s="60" t="s">
        <v>512</v>
      </c>
      <c r="H23" s="62">
        <v>18</v>
      </c>
      <c r="I23" s="63">
        <v>43</v>
      </c>
      <c r="J23" s="64">
        <v>14.359956</v>
      </c>
      <c r="K23" s="64">
        <v>99.672070000000005</v>
      </c>
      <c r="L23" s="65" t="s">
        <v>110</v>
      </c>
      <c r="M23" s="65" t="s">
        <v>110</v>
      </c>
      <c r="N23" s="62" t="str">
        <f t="shared" si="0"/>
        <v>Complete</v>
      </c>
      <c r="O23" s="62" t="s">
        <v>124</v>
      </c>
      <c r="P23" s="65" t="s">
        <v>379</v>
      </c>
      <c r="Q23" s="65" t="s">
        <v>384</v>
      </c>
      <c r="R23" s="65" t="str">
        <f t="shared" si="1"/>
        <v>Complete</v>
      </c>
      <c r="S23" s="51" t="s">
        <v>448</v>
      </c>
      <c r="T23" s="65" t="s">
        <v>399</v>
      </c>
      <c r="U23" s="65"/>
      <c r="V23" s="62" t="str">
        <f t="shared" si="2"/>
        <v>In progress</v>
      </c>
      <c r="W23" s="62"/>
      <c r="X23" s="62"/>
      <c r="Y23" s="65" t="s">
        <v>399</v>
      </c>
      <c r="Z23" s="75" t="s">
        <v>420</v>
      </c>
      <c r="AA23" s="65" t="str">
        <f t="shared" si="3"/>
        <v>Complete</v>
      </c>
      <c r="AB23" s="62" t="s">
        <v>418</v>
      </c>
      <c r="AC23" s="62" t="s">
        <v>447</v>
      </c>
      <c r="AD23" s="62" t="str">
        <f t="shared" si="4"/>
        <v>Complete</v>
      </c>
      <c r="AE23" s="73">
        <v>244470</v>
      </c>
      <c r="AF23" s="73">
        <v>244470</v>
      </c>
      <c r="AG23" s="62" t="str">
        <f t="shared" si="5"/>
        <v>Complete</v>
      </c>
      <c r="AH23" s="62"/>
      <c r="AI23" s="62" t="s">
        <v>449</v>
      </c>
      <c r="AJ23" s="62" t="s">
        <v>463</v>
      </c>
      <c r="AK23" s="73">
        <v>244684</v>
      </c>
      <c r="AL23" s="62"/>
      <c r="AM23" s="62"/>
      <c r="AN23" s="62"/>
      <c r="AO23" s="62" t="str">
        <f t="shared" si="6"/>
        <v>In progress</v>
      </c>
    </row>
    <row r="24" spans="1:41" ht="32.450000000000003" customHeight="1" x14ac:dyDescent="0.7">
      <c r="A24" s="59">
        <v>17</v>
      </c>
      <c r="B24" s="123" t="s">
        <v>290</v>
      </c>
      <c r="C24" s="123" t="s">
        <v>13</v>
      </c>
      <c r="D24" s="68" t="s">
        <v>14</v>
      </c>
      <c r="E24" s="68" t="s">
        <v>10</v>
      </c>
      <c r="F24" s="61" t="s">
        <v>106</v>
      </c>
      <c r="G24" s="60" t="s">
        <v>512</v>
      </c>
      <c r="H24" s="62">
        <v>9</v>
      </c>
      <c r="I24" s="63">
        <v>57</v>
      </c>
      <c r="J24" s="64">
        <v>14.39692</v>
      </c>
      <c r="K24" s="64">
        <v>99.666640000000001</v>
      </c>
      <c r="L24" s="65" t="s">
        <v>110</v>
      </c>
      <c r="M24" s="65" t="s">
        <v>110</v>
      </c>
      <c r="N24" s="62" t="str">
        <f t="shared" si="0"/>
        <v>Complete</v>
      </c>
      <c r="O24" s="62" t="s">
        <v>124</v>
      </c>
      <c r="P24" s="65" t="s">
        <v>380</v>
      </c>
      <c r="Q24" s="65" t="s">
        <v>380</v>
      </c>
      <c r="R24" s="65" t="str">
        <f t="shared" si="1"/>
        <v>Complete</v>
      </c>
      <c r="S24" s="51" t="s">
        <v>448</v>
      </c>
      <c r="T24" s="65" t="s">
        <v>399</v>
      </c>
      <c r="U24" s="65"/>
      <c r="V24" s="62" t="str">
        <f t="shared" si="2"/>
        <v>In progress</v>
      </c>
      <c r="W24" s="62"/>
      <c r="X24" s="62"/>
      <c r="Y24" s="65" t="s">
        <v>110</v>
      </c>
      <c r="Z24" s="73">
        <v>244145</v>
      </c>
      <c r="AA24" s="65" t="str">
        <f t="shared" si="3"/>
        <v>Complete</v>
      </c>
      <c r="AB24" s="73">
        <v>244206</v>
      </c>
      <c r="AC24" s="73" t="s">
        <v>399</v>
      </c>
      <c r="AD24" s="62" t="str">
        <f t="shared" si="4"/>
        <v>Complete</v>
      </c>
      <c r="AE24" s="62" t="s">
        <v>469</v>
      </c>
      <c r="AF24" s="62"/>
      <c r="AG24" s="62" t="str">
        <f t="shared" si="5"/>
        <v>In progress</v>
      </c>
      <c r="AH24" s="62"/>
      <c r="AI24" s="62"/>
      <c r="AJ24" s="62"/>
      <c r="AK24" s="62"/>
      <c r="AL24" s="62"/>
      <c r="AM24" s="62"/>
      <c r="AN24" s="62"/>
      <c r="AO24" s="62" t="str">
        <f t="shared" si="6"/>
        <v/>
      </c>
    </row>
    <row r="25" spans="1:41" ht="32.450000000000003" customHeight="1" x14ac:dyDescent="0.7">
      <c r="A25" s="59">
        <v>18</v>
      </c>
      <c r="B25" s="123" t="s">
        <v>146</v>
      </c>
      <c r="C25" s="123" t="s">
        <v>13</v>
      </c>
      <c r="D25" s="68" t="s">
        <v>14</v>
      </c>
      <c r="E25" s="68" t="s">
        <v>10</v>
      </c>
      <c r="F25" s="61" t="s">
        <v>106</v>
      </c>
      <c r="G25" s="60" t="s">
        <v>512</v>
      </c>
      <c r="H25" s="62">
        <v>9</v>
      </c>
      <c r="I25" s="63">
        <v>62</v>
      </c>
      <c r="J25" s="64">
        <v>14.379446</v>
      </c>
      <c r="K25" s="64">
        <v>99.647717</v>
      </c>
      <c r="L25" s="65" t="s">
        <v>110</v>
      </c>
      <c r="M25" s="65" t="s">
        <v>110</v>
      </c>
      <c r="N25" s="62" t="str">
        <f t="shared" si="0"/>
        <v>Complete</v>
      </c>
      <c r="O25" s="62" t="s">
        <v>124</v>
      </c>
      <c r="P25" s="65" t="s">
        <v>380</v>
      </c>
      <c r="Q25" s="65" t="s">
        <v>380</v>
      </c>
      <c r="R25" s="65" t="str">
        <f t="shared" si="1"/>
        <v>Complete</v>
      </c>
      <c r="S25" s="51" t="s">
        <v>448</v>
      </c>
      <c r="T25" s="65" t="s">
        <v>399</v>
      </c>
      <c r="U25" s="65"/>
      <c r="V25" s="62" t="str">
        <f t="shared" si="2"/>
        <v>In progress</v>
      </c>
      <c r="W25" s="62"/>
      <c r="X25" s="62"/>
      <c r="Y25" s="65" t="s">
        <v>110</v>
      </c>
      <c r="Z25" s="73">
        <v>244145</v>
      </c>
      <c r="AA25" s="65" t="str">
        <f t="shared" si="3"/>
        <v>Complete</v>
      </c>
      <c r="AB25" s="73">
        <v>244206</v>
      </c>
      <c r="AC25" s="73" t="s">
        <v>399</v>
      </c>
      <c r="AD25" s="62" t="str">
        <f t="shared" si="4"/>
        <v>Complete</v>
      </c>
      <c r="AE25" s="62" t="s">
        <v>469</v>
      </c>
      <c r="AF25" s="62"/>
      <c r="AG25" s="62" t="str">
        <f t="shared" si="5"/>
        <v>In progress</v>
      </c>
      <c r="AH25" s="62"/>
      <c r="AI25" s="62"/>
      <c r="AJ25" s="62"/>
      <c r="AK25" s="62"/>
      <c r="AL25" s="62"/>
      <c r="AM25" s="62"/>
      <c r="AN25" s="62"/>
      <c r="AO25" s="62" t="str">
        <f t="shared" si="6"/>
        <v/>
      </c>
    </row>
    <row r="26" spans="1:41" ht="32.450000000000003" customHeight="1" x14ac:dyDescent="0.7">
      <c r="A26" s="62">
        <v>19</v>
      </c>
      <c r="B26" s="123" t="s">
        <v>162</v>
      </c>
      <c r="C26" s="123" t="s">
        <v>13</v>
      </c>
      <c r="D26" s="68" t="s">
        <v>14</v>
      </c>
      <c r="E26" s="68" t="s">
        <v>10</v>
      </c>
      <c r="F26" s="61" t="s">
        <v>106</v>
      </c>
      <c r="G26" s="60" t="s">
        <v>512</v>
      </c>
      <c r="H26" s="62">
        <v>9</v>
      </c>
      <c r="I26" s="63">
        <v>58</v>
      </c>
      <c r="J26" s="64">
        <v>14.358155999999999</v>
      </c>
      <c r="K26" s="64">
        <v>99.663729000000004</v>
      </c>
      <c r="L26" s="65" t="s">
        <v>110</v>
      </c>
      <c r="M26" s="65" t="s">
        <v>110</v>
      </c>
      <c r="N26" s="62" t="str">
        <f t="shared" si="0"/>
        <v>Complete</v>
      </c>
      <c r="O26" s="62" t="s">
        <v>124</v>
      </c>
      <c r="P26" s="65" t="s">
        <v>380</v>
      </c>
      <c r="Q26" s="65" t="s">
        <v>380</v>
      </c>
      <c r="R26" s="65" t="str">
        <f t="shared" si="1"/>
        <v>Complete</v>
      </c>
      <c r="S26" s="51" t="s">
        <v>448</v>
      </c>
      <c r="T26" s="65" t="s">
        <v>399</v>
      </c>
      <c r="U26" s="65"/>
      <c r="V26" s="62" t="str">
        <f t="shared" si="2"/>
        <v>In progress</v>
      </c>
      <c r="W26" s="62"/>
      <c r="X26" s="62"/>
      <c r="Y26" s="65" t="s">
        <v>110</v>
      </c>
      <c r="Z26" s="73">
        <v>244145</v>
      </c>
      <c r="AA26" s="65" t="str">
        <f t="shared" si="3"/>
        <v>Complete</v>
      </c>
      <c r="AB26" s="73">
        <v>244206</v>
      </c>
      <c r="AC26" s="73" t="s">
        <v>399</v>
      </c>
      <c r="AD26" s="62" t="str">
        <f t="shared" si="4"/>
        <v>Complete</v>
      </c>
      <c r="AE26" s="62" t="s">
        <v>469</v>
      </c>
      <c r="AF26" s="62"/>
      <c r="AG26" s="62" t="str">
        <f t="shared" si="5"/>
        <v>In progress</v>
      </c>
      <c r="AH26" s="62"/>
      <c r="AI26" s="62"/>
      <c r="AJ26" s="62"/>
      <c r="AK26" s="62"/>
      <c r="AL26" s="62"/>
      <c r="AM26" s="62"/>
      <c r="AN26" s="62"/>
      <c r="AO26" s="62" t="str">
        <f t="shared" si="6"/>
        <v/>
      </c>
    </row>
    <row r="27" spans="1:41" ht="32.450000000000003" customHeight="1" x14ac:dyDescent="0.7">
      <c r="A27" s="62">
        <v>20</v>
      </c>
      <c r="B27" s="123" t="s">
        <v>183</v>
      </c>
      <c r="C27" s="123" t="s">
        <v>13</v>
      </c>
      <c r="D27" s="68" t="s">
        <v>14</v>
      </c>
      <c r="E27" s="68" t="s">
        <v>10</v>
      </c>
      <c r="F27" s="61" t="s">
        <v>106</v>
      </c>
      <c r="G27" s="60" t="s">
        <v>512</v>
      </c>
      <c r="H27" s="62">
        <v>9</v>
      </c>
      <c r="I27" s="63">
        <v>46</v>
      </c>
      <c r="J27" s="64">
        <v>14.376531</v>
      </c>
      <c r="K27" s="64">
        <v>99.675021999999998</v>
      </c>
      <c r="L27" s="65" t="s">
        <v>110</v>
      </c>
      <c r="M27" s="65" t="s">
        <v>110</v>
      </c>
      <c r="N27" s="62" t="str">
        <f t="shared" si="0"/>
        <v>Complete</v>
      </c>
      <c r="O27" s="62" t="s">
        <v>124</v>
      </c>
      <c r="P27" s="65" t="s">
        <v>380</v>
      </c>
      <c r="Q27" s="65" t="s">
        <v>380</v>
      </c>
      <c r="R27" s="65" t="str">
        <f t="shared" si="1"/>
        <v>Complete</v>
      </c>
      <c r="S27" s="51" t="s">
        <v>448</v>
      </c>
      <c r="T27" s="65" t="s">
        <v>399</v>
      </c>
      <c r="U27" s="65"/>
      <c r="V27" s="62" t="str">
        <f t="shared" si="2"/>
        <v>In progress</v>
      </c>
      <c r="W27" s="62"/>
      <c r="X27" s="62"/>
      <c r="Y27" s="65" t="s">
        <v>110</v>
      </c>
      <c r="Z27" s="73">
        <v>244145</v>
      </c>
      <c r="AA27" s="65" t="str">
        <f t="shared" si="3"/>
        <v>Complete</v>
      </c>
      <c r="AB27" s="73">
        <v>244206</v>
      </c>
      <c r="AC27" s="73" t="s">
        <v>399</v>
      </c>
      <c r="AD27" s="62" t="str">
        <f t="shared" si="4"/>
        <v>Complete</v>
      </c>
      <c r="AE27" s="62" t="s">
        <v>469</v>
      </c>
      <c r="AF27" s="62"/>
      <c r="AG27" s="62" t="str">
        <f t="shared" si="5"/>
        <v>In progress</v>
      </c>
      <c r="AH27" s="62"/>
      <c r="AI27" s="62"/>
      <c r="AJ27" s="62"/>
      <c r="AK27" s="62"/>
      <c r="AL27" s="62"/>
      <c r="AM27" s="62"/>
      <c r="AN27" s="62"/>
      <c r="AO27" s="62" t="str">
        <f t="shared" si="6"/>
        <v/>
      </c>
    </row>
    <row r="28" spans="1:41" ht="32.450000000000003" customHeight="1" x14ac:dyDescent="0.7">
      <c r="A28" s="59">
        <v>21</v>
      </c>
      <c r="B28" s="123" t="s">
        <v>204</v>
      </c>
      <c r="C28" s="123" t="s">
        <v>13</v>
      </c>
      <c r="D28" s="68" t="s">
        <v>14</v>
      </c>
      <c r="E28" s="68" t="s">
        <v>10</v>
      </c>
      <c r="F28" s="61" t="s">
        <v>106</v>
      </c>
      <c r="G28" s="60" t="s">
        <v>513</v>
      </c>
      <c r="H28" s="62">
        <v>9</v>
      </c>
      <c r="I28" s="63">
        <v>49</v>
      </c>
      <c r="J28" s="64">
        <v>14.362259999999999</v>
      </c>
      <c r="K28" s="64">
        <v>99.668807999999999</v>
      </c>
      <c r="L28" s="65" t="s">
        <v>110</v>
      </c>
      <c r="M28" s="65" t="s">
        <v>110</v>
      </c>
      <c r="N28" s="62" t="str">
        <f t="shared" si="0"/>
        <v>Complete</v>
      </c>
      <c r="O28" s="62" t="s">
        <v>124</v>
      </c>
      <c r="P28" s="65" t="s">
        <v>380</v>
      </c>
      <c r="Q28" s="65" t="s">
        <v>380</v>
      </c>
      <c r="R28" s="65" t="str">
        <f t="shared" si="1"/>
        <v>Complete</v>
      </c>
      <c r="S28" s="51" t="s">
        <v>448</v>
      </c>
      <c r="T28" s="65" t="s">
        <v>399</v>
      </c>
      <c r="U28" s="65"/>
      <c r="V28" s="62" t="str">
        <f t="shared" si="2"/>
        <v>In progress</v>
      </c>
      <c r="W28" s="62"/>
      <c r="X28" s="62"/>
      <c r="Y28" s="65" t="s">
        <v>110</v>
      </c>
      <c r="Z28" s="73">
        <v>244145</v>
      </c>
      <c r="AA28" s="65" t="str">
        <f t="shared" si="3"/>
        <v>Complete</v>
      </c>
      <c r="AB28" s="73">
        <v>244206</v>
      </c>
      <c r="AC28" s="73" t="s">
        <v>399</v>
      </c>
      <c r="AD28" s="62" t="str">
        <f t="shared" si="4"/>
        <v>Complete</v>
      </c>
      <c r="AE28" s="62" t="s">
        <v>469</v>
      </c>
      <c r="AF28" s="62"/>
      <c r="AG28" s="62" t="str">
        <f t="shared" si="5"/>
        <v>In progress</v>
      </c>
      <c r="AH28" s="62"/>
      <c r="AI28" s="62"/>
      <c r="AJ28" s="62"/>
      <c r="AK28" s="62"/>
      <c r="AL28" s="62"/>
      <c r="AM28" s="62"/>
      <c r="AN28" s="62"/>
      <c r="AO28" s="62" t="str">
        <f t="shared" si="6"/>
        <v/>
      </c>
    </row>
    <row r="29" spans="1:41" ht="32.450000000000003" customHeight="1" x14ac:dyDescent="0.7">
      <c r="A29" s="59">
        <v>22</v>
      </c>
      <c r="B29" s="123" t="s">
        <v>225</v>
      </c>
      <c r="C29" s="123" t="s">
        <v>13</v>
      </c>
      <c r="D29" s="68" t="s">
        <v>14</v>
      </c>
      <c r="E29" s="68" t="s">
        <v>10</v>
      </c>
      <c r="F29" s="61" t="s">
        <v>106</v>
      </c>
      <c r="G29" s="60" t="s">
        <v>302</v>
      </c>
      <c r="H29" s="62">
        <v>9</v>
      </c>
      <c r="I29" s="63">
        <v>42</v>
      </c>
      <c r="J29" s="64">
        <v>14.391266999999999</v>
      </c>
      <c r="K29" s="64">
        <v>99.692070999999999</v>
      </c>
      <c r="L29" s="65" t="s">
        <v>110</v>
      </c>
      <c r="M29" s="65" t="s">
        <v>110</v>
      </c>
      <c r="N29" s="62" t="str">
        <f t="shared" si="0"/>
        <v>Complete</v>
      </c>
      <c r="O29" s="62" t="s">
        <v>124</v>
      </c>
      <c r="P29" s="65" t="s">
        <v>380</v>
      </c>
      <c r="Q29" s="65" t="s">
        <v>380</v>
      </c>
      <c r="R29" s="65" t="str">
        <f t="shared" si="1"/>
        <v>Complete</v>
      </c>
      <c r="S29" s="51" t="s">
        <v>448</v>
      </c>
      <c r="T29" s="65" t="s">
        <v>399</v>
      </c>
      <c r="U29" s="65"/>
      <c r="V29" s="62" t="str">
        <f t="shared" si="2"/>
        <v>In progress</v>
      </c>
      <c r="W29" s="62"/>
      <c r="X29" s="62"/>
      <c r="Y29" s="65" t="s">
        <v>110</v>
      </c>
      <c r="Z29" s="73">
        <v>244145</v>
      </c>
      <c r="AA29" s="65" t="str">
        <f t="shared" si="3"/>
        <v>Complete</v>
      </c>
      <c r="AB29" s="73">
        <v>244206</v>
      </c>
      <c r="AC29" s="73" t="s">
        <v>399</v>
      </c>
      <c r="AD29" s="62" t="str">
        <f t="shared" si="4"/>
        <v>Complete</v>
      </c>
      <c r="AE29" s="62" t="s">
        <v>469</v>
      </c>
      <c r="AF29" s="62"/>
      <c r="AG29" s="62" t="str">
        <f t="shared" si="5"/>
        <v>In progress</v>
      </c>
      <c r="AH29" s="62"/>
      <c r="AI29" s="62"/>
      <c r="AJ29" s="62"/>
      <c r="AK29" s="62"/>
      <c r="AL29" s="62"/>
      <c r="AM29" s="62"/>
      <c r="AN29" s="62"/>
      <c r="AO29" s="62" t="str">
        <f t="shared" si="6"/>
        <v/>
      </c>
    </row>
    <row r="30" spans="1:41" ht="32.450000000000003" customHeight="1" x14ac:dyDescent="0.7">
      <c r="A30" s="59">
        <v>23</v>
      </c>
      <c r="B30" s="123" t="s">
        <v>238</v>
      </c>
      <c r="C30" s="123" t="s">
        <v>13</v>
      </c>
      <c r="D30" s="68" t="s">
        <v>14</v>
      </c>
      <c r="E30" s="68" t="s">
        <v>10</v>
      </c>
      <c r="F30" s="61" t="s">
        <v>106</v>
      </c>
      <c r="G30" s="60" t="s">
        <v>512</v>
      </c>
      <c r="H30" s="62">
        <v>9</v>
      </c>
      <c r="I30" s="63">
        <v>59</v>
      </c>
      <c r="J30" s="64">
        <v>14.373447000000001</v>
      </c>
      <c r="K30" s="64">
        <v>99.644687000000005</v>
      </c>
      <c r="L30" s="65" t="s">
        <v>110</v>
      </c>
      <c r="M30" s="65" t="s">
        <v>110</v>
      </c>
      <c r="N30" s="62" t="str">
        <f t="shared" si="0"/>
        <v>Complete</v>
      </c>
      <c r="O30" s="62" t="s">
        <v>124</v>
      </c>
      <c r="P30" s="65" t="s">
        <v>380</v>
      </c>
      <c r="Q30" s="65" t="s">
        <v>380</v>
      </c>
      <c r="R30" s="65" t="str">
        <f t="shared" si="1"/>
        <v>Complete</v>
      </c>
      <c r="S30" s="51" t="s">
        <v>448</v>
      </c>
      <c r="T30" s="65" t="s">
        <v>399</v>
      </c>
      <c r="U30" s="65"/>
      <c r="V30" s="62" t="str">
        <f t="shared" si="2"/>
        <v>In progress</v>
      </c>
      <c r="W30" s="62"/>
      <c r="X30" s="62"/>
      <c r="Y30" s="65" t="s">
        <v>110</v>
      </c>
      <c r="Z30" s="73">
        <v>244145</v>
      </c>
      <c r="AA30" s="65" t="str">
        <f t="shared" si="3"/>
        <v>Complete</v>
      </c>
      <c r="AB30" s="73">
        <v>244206</v>
      </c>
      <c r="AC30" s="73" t="s">
        <v>399</v>
      </c>
      <c r="AD30" s="62" t="str">
        <f t="shared" si="4"/>
        <v>Complete</v>
      </c>
      <c r="AE30" s="62" t="s">
        <v>469</v>
      </c>
      <c r="AF30" s="62"/>
      <c r="AG30" s="62" t="str">
        <f t="shared" si="5"/>
        <v>In progress</v>
      </c>
      <c r="AH30" s="62"/>
      <c r="AI30" s="62"/>
      <c r="AJ30" s="62"/>
      <c r="AK30" s="62"/>
      <c r="AL30" s="62"/>
      <c r="AM30" s="62"/>
      <c r="AN30" s="62"/>
      <c r="AO30" s="62" t="str">
        <f t="shared" si="6"/>
        <v/>
      </c>
    </row>
    <row r="31" spans="1:41" ht="32.450000000000003" customHeight="1" x14ac:dyDescent="0.7">
      <c r="A31" s="62">
        <v>24</v>
      </c>
      <c r="B31" s="123" t="s">
        <v>252</v>
      </c>
      <c r="C31" s="123" t="s">
        <v>13</v>
      </c>
      <c r="D31" s="68" t="s">
        <v>14</v>
      </c>
      <c r="E31" s="68" t="s">
        <v>10</v>
      </c>
      <c r="F31" s="61" t="s">
        <v>106</v>
      </c>
      <c r="G31" s="108" t="s">
        <v>304</v>
      </c>
      <c r="H31" s="62">
        <v>9</v>
      </c>
      <c r="I31" s="63">
        <v>31.4</v>
      </c>
      <c r="J31" s="64">
        <v>14.379073</v>
      </c>
      <c r="K31" s="64">
        <v>99.654608999999994</v>
      </c>
      <c r="L31" s="65" t="s">
        <v>110</v>
      </c>
      <c r="M31" s="65" t="s">
        <v>110</v>
      </c>
      <c r="N31" s="62" t="str">
        <f t="shared" si="0"/>
        <v>Complete</v>
      </c>
      <c r="O31" s="62" t="s">
        <v>124</v>
      </c>
      <c r="P31" s="65" t="s">
        <v>380</v>
      </c>
      <c r="Q31" s="65" t="s">
        <v>380</v>
      </c>
      <c r="R31" s="65" t="str">
        <f t="shared" si="1"/>
        <v>Complete</v>
      </c>
      <c r="S31" s="51" t="s">
        <v>448</v>
      </c>
      <c r="T31" s="65" t="s">
        <v>399</v>
      </c>
      <c r="U31" s="65"/>
      <c r="V31" s="62" t="str">
        <f t="shared" si="2"/>
        <v>In progress</v>
      </c>
      <c r="W31" s="62"/>
      <c r="X31" s="62"/>
      <c r="Y31" s="65" t="s">
        <v>110</v>
      </c>
      <c r="Z31" s="73">
        <v>244145</v>
      </c>
      <c r="AA31" s="65" t="str">
        <f t="shared" si="3"/>
        <v>Complete</v>
      </c>
      <c r="AB31" s="73">
        <v>244206</v>
      </c>
      <c r="AC31" s="73" t="s">
        <v>399</v>
      </c>
      <c r="AD31" s="62" t="str">
        <f t="shared" si="4"/>
        <v>Complete</v>
      </c>
      <c r="AE31" s="62" t="s">
        <v>469</v>
      </c>
      <c r="AF31" s="62"/>
      <c r="AG31" s="62" t="str">
        <f t="shared" si="5"/>
        <v>In progress</v>
      </c>
      <c r="AH31" s="62"/>
      <c r="AI31" s="62"/>
      <c r="AJ31" s="62"/>
      <c r="AK31" s="62"/>
      <c r="AL31" s="62"/>
      <c r="AM31" s="62"/>
      <c r="AN31" s="62"/>
      <c r="AO31" s="62" t="str">
        <f t="shared" si="6"/>
        <v/>
      </c>
    </row>
    <row r="32" spans="1:41" ht="32.450000000000003" customHeight="1" x14ac:dyDescent="0.7">
      <c r="A32" s="62">
        <v>25</v>
      </c>
      <c r="B32" s="123" t="s">
        <v>280</v>
      </c>
      <c r="C32" s="123" t="s">
        <v>13</v>
      </c>
      <c r="D32" s="68" t="s">
        <v>14</v>
      </c>
      <c r="E32" s="68" t="s">
        <v>10</v>
      </c>
      <c r="F32" s="61" t="s">
        <v>106</v>
      </c>
      <c r="G32" s="60" t="s">
        <v>512</v>
      </c>
      <c r="H32" s="62">
        <v>9</v>
      </c>
      <c r="I32" s="63">
        <v>75</v>
      </c>
      <c r="J32" s="64">
        <v>14.408834000000001</v>
      </c>
      <c r="K32" s="64">
        <v>99.644616999999997</v>
      </c>
      <c r="L32" s="65" t="s">
        <v>110</v>
      </c>
      <c r="M32" s="65" t="s">
        <v>110</v>
      </c>
      <c r="N32" s="62" t="str">
        <f t="shared" si="0"/>
        <v>Complete</v>
      </c>
      <c r="O32" s="62" t="s">
        <v>124</v>
      </c>
      <c r="P32" s="65" t="s">
        <v>380</v>
      </c>
      <c r="Q32" s="65" t="s">
        <v>380</v>
      </c>
      <c r="R32" s="65" t="str">
        <f t="shared" si="1"/>
        <v>Complete</v>
      </c>
      <c r="S32" s="51" t="s">
        <v>448</v>
      </c>
      <c r="T32" s="65" t="s">
        <v>399</v>
      </c>
      <c r="U32" s="65"/>
      <c r="V32" s="62" t="str">
        <f t="shared" si="2"/>
        <v>In progress</v>
      </c>
      <c r="W32" s="62"/>
      <c r="X32" s="62"/>
      <c r="Y32" s="65" t="s">
        <v>110</v>
      </c>
      <c r="Z32" s="73">
        <v>244145</v>
      </c>
      <c r="AA32" s="65" t="str">
        <f t="shared" si="3"/>
        <v>Complete</v>
      </c>
      <c r="AB32" s="73">
        <v>244206</v>
      </c>
      <c r="AC32" s="73" t="s">
        <v>399</v>
      </c>
      <c r="AD32" s="62" t="str">
        <f t="shared" si="4"/>
        <v>Complete</v>
      </c>
      <c r="AE32" s="62" t="s">
        <v>469</v>
      </c>
      <c r="AF32" s="62"/>
      <c r="AG32" s="62" t="str">
        <f t="shared" si="5"/>
        <v>In progress</v>
      </c>
      <c r="AH32" s="62"/>
      <c r="AI32" s="62"/>
      <c r="AJ32" s="62"/>
      <c r="AK32" s="62"/>
      <c r="AL32" s="62"/>
      <c r="AM32" s="62"/>
      <c r="AN32" s="62"/>
      <c r="AO32" s="62" t="str">
        <f t="shared" si="6"/>
        <v/>
      </c>
    </row>
    <row r="33" spans="1:41" ht="32.450000000000003" customHeight="1" x14ac:dyDescent="0.7">
      <c r="A33" s="59">
        <v>26</v>
      </c>
      <c r="B33" s="123" t="s">
        <v>163</v>
      </c>
      <c r="C33" s="123" t="s">
        <v>15</v>
      </c>
      <c r="D33" s="68" t="s">
        <v>14</v>
      </c>
      <c r="E33" s="68" t="s">
        <v>10</v>
      </c>
      <c r="F33" s="61" t="s">
        <v>106</v>
      </c>
      <c r="G33" s="60" t="s">
        <v>512</v>
      </c>
      <c r="H33" s="62">
        <v>9</v>
      </c>
      <c r="I33" s="63">
        <v>26</v>
      </c>
      <c r="J33" s="64">
        <v>14.374582999999999</v>
      </c>
      <c r="K33" s="64">
        <v>99.736028000000005</v>
      </c>
      <c r="L33" s="65" t="s">
        <v>110</v>
      </c>
      <c r="M33" s="65" t="s">
        <v>110</v>
      </c>
      <c r="N33" s="62" t="str">
        <f t="shared" si="0"/>
        <v>Complete</v>
      </c>
      <c r="O33" s="62" t="s">
        <v>124</v>
      </c>
      <c r="P33" s="65" t="s">
        <v>380</v>
      </c>
      <c r="Q33" s="65" t="s">
        <v>380</v>
      </c>
      <c r="R33" s="65" t="str">
        <f t="shared" si="1"/>
        <v>Complete</v>
      </c>
      <c r="S33" s="51" t="s">
        <v>448</v>
      </c>
      <c r="T33" s="65" t="s">
        <v>399</v>
      </c>
      <c r="U33" s="65"/>
      <c r="V33" s="62" t="str">
        <f t="shared" si="2"/>
        <v>In progress</v>
      </c>
      <c r="W33" s="62"/>
      <c r="X33" s="62"/>
      <c r="Y33" s="65" t="s">
        <v>110</v>
      </c>
      <c r="Z33" s="73">
        <v>244145</v>
      </c>
      <c r="AA33" s="65" t="str">
        <f t="shared" si="3"/>
        <v>Complete</v>
      </c>
      <c r="AB33" s="73">
        <v>244206</v>
      </c>
      <c r="AC33" s="73" t="s">
        <v>399</v>
      </c>
      <c r="AD33" s="62" t="str">
        <f t="shared" si="4"/>
        <v>Complete</v>
      </c>
      <c r="AE33" s="62" t="s">
        <v>469</v>
      </c>
      <c r="AF33" s="62"/>
      <c r="AG33" s="62" t="str">
        <f t="shared" si="5"/>
        <v>In progress</v>
      </c>
      <c r="AH33" s="62"/>
      <c r="AI33" s="62"/>
      <c r="AJ33" s="62"/>
      <c r="AK33" s="62"/>
      <c r="AL33" s="62"/>
      <c r="AM33" s="62"/>
      <c r="AN33" s="62"/>
      <c r="AO33" s="62" t="str">
        <f t="shared" si="6"/>
        <v/>
      </c>
    </row>
    <row r="34" spans="1:41" ht="32.450000000000003" customHeight="1" x14ac:dyDescent="0.7">
      <c r="A34" s="59">
        <v>27</v>
      </c>
      <c r="B34" s="123" t="s">
        <v>184</v>
      </c>
      <c r="C34" s="123" t="s">
        <v>15</v>
      </c>
      <c r="D34" s="68" t="s">
        <v>14</v>
      </c>
      <c r="E34" s="68" t="s">
        <v>10</v>
      </c>
      <c r="F34" s="61" t="s">
        <v>106</v>
      </c>
      <c r="G34" s="60" t="s">
        <v>512</v>
      </c>
      <c r="H34" s="62">
        <v>9</v>
      </c>
      <c r="I34" s="63">
        <v>27</v>
      </c>
      <c r="J34" s="64">
        <v>14.365289000000001</v>
      </c>
      <c r="K34" s="64">
        <v>99.727479000000002</v>
      </c>
      <c r="L34" s="65" t="s">
        <v>110</v>
      </c>
      <c r="M34" s="65" t="s">
        <v>110</v>
      </c>
      <c r="N34" s="62" t="str">
        <f t="shared" si="0"/>
        <v>Complete</v>
      </c>
      <c r="O34" s="62" t="s">
        <v>124</v>
      </c>
      <c r="P34" s="65" t="s">
        <v>380</v>
      </c>
      <c r="Q34" s="65" t="s">
        <v>380</v>
      </c>
      <c r="R34" s="65" t="str">
        <f t="shared" si="1"/>
        <v>Complete</v>
      </c>
      <c r="S34" s="51" t="s">
        <v>448</v>
      </c>
      <c r="T34" s="65" t="s">
        <v>399</v>
      </c>
      <c r="U34" s="65"/>
      <c r="V34" s="62" t="str">
        <f t="shared" si="2"/>
        <v>In progress</v>
      </c>
      <c r="W34" s="62"/>
      <c r="X34" s="62"/>
      <c r="Y34" s="65" t="s">
        <v>110</v>
      </c>
      <c r="Z34" s="73">
        <v>244145</v>
      </c>
      <c r="AA34" s="65" t="str">
        <f t="shared" si="3"/>
        <v>Complete</v>
      </c>
      <c r="AB34" s="73">
        <v>244206</v>
      </c>
      <c r="AC34" s="73" t="s">
        <v>399</v>
      </c>
      <c r="AD34" s="62" t="str">
        <f t="shared" si="4"/>
        <v>Complete</v>
      </c>
      <c r="AE34" s="62" t="s">
        <v>469</v>
      </c>
      <c r="AF34" s="62"/>
      <c r="AG34" s="62" t="str">
        <f t="shared" si="5"/>
        <v>In progress</v>
      </c>
      <c r="AH34" s="62"/>
      <c r="AI34" s="62"/>
      <c r="AJ34" s="62"/>
      <c r="AK34" s="62"/>
      <c r="AL34" s="62"/>
      <c r="AM34" s="62"/>
      <c r="AN34" s="62"/>
      <c r="AO34" s="62" t="str">
        <f t="shared" si="6"/>
        <v/>
      </c>
    </row>
    <row r="35" spans="1:41" ht="32.450000000000003" customHeight="1" x14ac:dyDescent="0.7">
      <c r="A35" s="59">
        <v>28</v>
      </c>
      <c r="B35" s="123" t="s">
        <v>239</v>
      </c>
      <c r="C35" s="123" t="s">
        <v>15</v>
      </c>
      <c r="D35" s="68" t="s">
        <v>14</v>
      </c>
      <c r="E35" s="68" t="s">
        <v>10</v>
      </c>
      <c r="F35" s="61" t="s">
        <v>106</v>
      </c>
      <c r="G35" s="60" t="s">
        <v>512</v>
      </c>
      <c r="H35" s="62">
        <v>9</v>
      </c>
      <c r="I35" s="63">
        <v>28</v>
      </c>
      <c r="J35" s="64">
        <v>14.391363999999999</v>
      </c>
      <c r="K35" s="64">
        <v>99.746643000000006</v>
      </c>
      <c r="L35" s="65" t="s">
        <v>110</v>
      </c>
      <c r="M35" s="65" t="s">
        <v>110</v>
      </c>
      <c r="N35" s="62" t="str">
        <f t="shared" si="0"/>
        <v>Complete</v>
      </c>
      <c r="O35" s="62" t="s">
        <v>124</v>
      </c>
      <c r="P35" s="65" t="s">
        <v>380</v>
      </c>
      <c r="Q35" s="65" t="s">
        <v>380</v>
      </c>
      <c r="R35" s="65" t="str">
        <f t="shared" si="1"/>
        <v>Complete</v>
      </c>
      <c r="S35" s="51" t="s">
        <v>448</v>
      </c>
      <c r="T35" s="65" t="s">
        <v>399</v>
      </c>
      <c r="U35" s="65"/>
      <c r="V35" s="62" t="str">
        <f t="shared" si="2"/>
        <v>In progress</v>
      </c>
      <c r="W35" s="62"/>
      <c r="X35" s="62"/>
      <c r="Y35" s="65" t="s">
        <v>110</v>
      </c>
      <c r="Z35" s="73">
        <v>244145</v>
      </c>
      <c r="AA35" s="65" t="str">
        <f t="shared" si="3"/>
        <v>Complete</v>
      </c>
      <c r="AB35" s="73">
        <v>244206</v>
      </c>
      <c r="AC35" s="73" t="s">
        <v>399</v>
      </c>
      <c r="AD35" s="62" t="str">
        <f t="shared" si="4"/>
        <v>Complete</v>
      </c>
      <c r="AE35" s="62" t="s">
        <v>469</v>
      </c>
      <c r="AF35" s="62"/>
      <c r="AG35" s="62" t="str">
        <f t="shared" si="5"/>
        <v>In progress</v>
      </c>
      <c r="AH35" s="62"/>
      <c r="AI35" s="62"/>
      <c r="AJ35" s="62"/>
      <c r="AK35" s="62"/>
      <c r="AL35" s="62"/>
      <c r="AM35" s="62"/>
      <c r="AN35" s="62"/>
      <c r="AO35" s="62" t="str">
        <f t="shared" si="6"/>
        <v/>
      </c>
    </row>
    <row r="36" spans="1:41" ht="32.450000000000003" customHeight="1" x14ac:dyDescent="0.7">
      <c r="A36" s="62">
        <v>29</v>
      </c>
      <c r="B36" s="123" t="s">
        <v>253</v>
      </c>
      <c r="C36" s="123" t="s">
        <v>15</v>
      </c>
      <c r="D36" s="68" t="s">
        <v>14</v>
      </c>
      <c r="E36" s="68" t="s">
        <v>10</v>
      </c>
      <c r="F36" s="61" t="s">
        <v>106</v>
      </c>
      <c r="G36" s="60" t="s">
        <v>302</v>
      </c>
      <c r="H36" s="62">
        <v>9</v>
      </c>
      <c r="I36" s="63">
        <v>30</v>
      </c>
      <c r="J36" s="64">
        <v>14.365251000000001</v>
      </c>
      <c r="K36" s="64">
        <v>99.716418000000004</v>
      </c>
      <c r="L36" s="65" t="s">
        <v>110</v>
      </c>
      <c r="M36" s="65" t="s">
        <v>110</v>
      </c>
      <c r="N36" s="62" t="str">
        <f t="shared" si="0"/>
        <v>Complete</v>
      </c>
      <c r="O36" s="62" t="s">
        <v>124</v>
      </c>
      <c r="P36" s="65" t="s">
        <v>380</v>
      </c>
      <c r="Q36" s="65" t="s">
        <v>380</v>
      </c>
      <c r="R36" s="65" t="str">
        <f t="shared" si="1"/>
        <v>Complete</v>
      </c>
      <c r="S36" s="51" t="s">
        <v>448</v>
      </c>
      <c r="T36" s="65" t="s">
        <v>399</v>
      </c>
      <c r="U36" s="65"/>
      <c r="V36" s="62" t="str">
        <f t="shared" si="2"/>
        <v>In progress</v>
      </c>
      <c r="W36" s="62"/>
      <c r="X36" s="62"/>
      <c r="Y36" s="65" t="s">
        <v>110</v>
      </c>
      <c r="Z36" s="73">
        <v>244145</v>
      </c>
      <c r="AA36" s="65" t="str">
        <f t="shared" si="3"/>
        <v>Complete</v>
      </c>
      <c r="AB36" s="73">
        <v>244206</v>
      </c>
      <c r="AC36" s="73" t="s">
        <v>399</v>
      </c>
      <c r="AD36" s="62" t="str">
        <f t="shared" si="4"/>
        <v>Complete</v>
      </c>
      <c r="AE36" s="62" t="s">
        <v>469</v>
      </c>
      <c r="AF36" s="62"/>
      <c r="AG36" s="62" t="str">
        <f t="shared" si="5"/>
        <v>In progress</v>
      </c>
      <c r="AH36" s="62"/>
      <c r="AI36" s="62"/>
      <c r="AJ36" s="62"/>
      <c r="AK36" s="62"/>
      <c r="AL36" s="62"/>
      <c r="AM36" s="62"/>
      <c r="AN36" s="62"/>
      <c r="AO36" s="62" t="str">
        <f t="shared" si="6"/>
        <v/>
      </c>
    </row>
    <row r="37" spans="1:41" ht="32.450000000000003" customHeight="1" x14ac:dyDescent="0.7">
      <c r="A37" s="62">
        <v>30</v>
      </c>
      <c r="B37" s="123" t="s">
        <v>281</v>
      </c>
      <c r="C37" s="123" t="s">
        <v>15</v>
      </c>
      <c r="D37" s="68" t="s">
        <v>14</v>
      </c>
      <c r="E37" s="68" t="s">
        <v>10</v>
      </c>
      <c r="F37" s="61" t="s">
        <v>106</v>
      </c>
      <c r="G37" s="60" t="s">
        <v>512</v>
      </c>
      <c r="H37" s="62">
        <v>9</v>
      </c>
      <c r="I37" s="63">
        <v>26</v>
      </c>
      <c r="J37" s="64">
        <v>14.376645</v>
      </c>
      <c r="K37" s="64">
        <v>99.738810999999998</v>
      </c>
      <c r="L37" s="65" t="s">
        <v>110</v>
      </c>
      <c r="M37" s="65" t="s">
        <v>110</v>
      </c>
      <c r="N37" s="62" t="str">
        <f t="shared" si="0"/>
        <v>Complete</v>
      </c>
      <c r="O37" s="62" t="s">
        <v>124</v>
      </c>
      <c r="P37" s="65" t="s">
        <v>380</v>
      </c>
      <c r="Q37" s="65" t="s">
        <v>380</v>
      </c>
      <c r="R37" s="65" t="str">
        <f t="shared" si="1"/>
        <v>Complete</v>
      </c>
      <c r="S37" s="51" t="s">
        <v>448</v>
      </c>
      <c r="T37" s="65" t="s">
        <v>399</v>
      </c>
      <c r="U37" s="65"/>
      <c r="V37" s="62" t="str">
        <f t="shared" si="2"/>
        <v>In progress</v>
      </c>
      <c r="W37" s="62"/>
      <c r="X37" s="62"/>
      <c r="Y37" s="65" t="s">
        <v>110</v>
      </c>
      <c r="Z37" s="73">
        <v>244145</v>
      </c>
      <c r="AA37" s="65" t="str">
        <f t="shared" si="3"/>
        <v>Complete</v>
      </c>
      <c r="AB37" s="73">
        <v>244206</v>
      </c>
      <c r="AC37" s="73" t="s">
        <v>399</v>
      </c>
      <c r="AD37" s="62" t="str">
        <f t="shared" si="4"/>
        <v>Complete</v>
      </c>
      <c r="AE37" s="62" t="s">
        <v>469</v>
      </c>
      <c r="AF37" s="62"/>
      <c r="AG37" s="62" t="str">
        <f t="shared" si="5"/>
        <v>In progress</v>
      </c>
      <c r="AH37" s="62"/>
      <c r="AI37" s="62"/>
      <c r="AJ37" s="62"/>
      <c r="AK37" s="62"/>
      <c r="AL37" s="62"/>
      <c r="AM37" s="62"/>
      <c r="AN37" s="62"/>
      <c r="AO37" s="62" t="str">
        <f t="shared" si="6"/>
        <v/>
      </c>
    </row>
    <row r="38" spans="1:41" s="18" customFormat="1" ht="32.450000000000003" customHeight="1" x14ac:dyDescent="0.4">
      <c r="A38" s="59">
        <v>31</v>
      </c>
      <c r="B38" s="108" t="s">
        <v>240</v>
      </c>
      <c r="C38" s="108" t="s">
        <v>16</v>
      </c>
      <c r="D38" s="60" t="s">
        <v>17</v>
      </c>
      <c r="E38" s="60" t="s">
        <v>18</v>
      </c>
      <c r="F38" s="68" t="s">
        <v>103</v>
      </c>
      <c r="G38" s="60" t="s">
        <v>512</v>
      </c>
      <c r="H38" s="59">
        <v>9</v>
      </c>
      <c r="I38" s="63">
        <v>154</v>
      </c>
      <c r="J38" s="64">
        <v>15.9575</v>
      </c>
      <c r="K38" s="64">
        <v>99.384280000000004</v>
      </c>
      <c r="L38" s="65" t="s">
        <v>110</v>
      </c>
      <c r="M38" s="65" t="s">
        <v>109</v>
      </c>
      <c r="N38" s="62" t="str">
        <f t="shared" si="0"/>
        <v>Complete</v>
      </c>
      <c r="O38" s="62" t="s">
        <v>124</v>
      </c>
      <c r="P38" s="65" t="s">
        <v>380</v>
      </c>
      <c r="Q38" s="65" t="s">
        <v>380</v>
      </c>
      <c r="R38" s="65" t="str">
        <f t="shared" si="1"/>
        <v>Complete</v>
      </c>
      <c r="S38" s="51" t="s">
        <v>448</v>
      </c>
      <c r="T38" s="65" t="s">
        <v>414</v>
      </c>
      <c r="U38" s="65"/>
      <c r="V38" s="62" t="str">
        <f t="shared" si="2"/>
        <v>In progress</v>
      </c>
      <c r="W38" s="62"/>
      <c r="X38" s="62"/>
      <c r="Y38" s="65" t="s">
        <v>110</v>
      </c>
      <c r="Z38" s="73">
        <v>244145</v>
      </c>
      <c r="AA38" s="65" t="str">
        <f t="shared" si="3"/>
        <v>Complete</v>
      </c>
      <c r="AB38" s="73">
        <v>244206</v>
      </c>
      <c r="AC38" s="73" t="s">
        <v>399</v>
      </c>
      <c r="AD38" s="62" t="str">
        <f t="shared" si="4"/>
        <v>Complete</v>
      </c>
      <c r="AE38" s="62" t="s">
        <v>469</v>
      </c>
      <c r="AF38" s="62"/>
      <c r="AG38" s="62" t="str">
        <f t="shared" si="5"/>
        <v>In progress</v>
      </c>
      <c r="AH38" s="62"/>
      <c r="AI38" s="62"/>
      <c r="AJ38" s="62"/>
      <c r="AK38" s="62"/>
      <c r="AL38" s="62"/>
      <c r="AM38" s="62"/>
      <c r="AN38" s="62"/>
      <c r="AO38" s="62" t="str">
        <f t="shared" si="6"/>
        <v/>
      </c>
    </row>
    <row r="39" spans="1:41" s="18" customFormat="1" ht="32.450000000000003" customHeight="1" x14ac:dyDescent="0.4">
      <c r="A39" s="59">
        <v>32</v>
      </c>
      <c r="B39" s="108" t="s">
        <v>254</v>
      </c>
      <c r="C39" s="108" t="s">
        <v>16</v>
      </c>
      <c r="D39" s="60" t="s">
        <v>17</v>
      </c>
      <c r="E39" s="60" t="s">
        <v>18</v>
      </c>
      <c r="F39" s="68" t="s">
        <v>103</v>
      </c>
      <c r="G39" s="68" t="s">
        <v>304</v>
      </c>
      <c r="H39" s="59">
        <v>9</v>
      </c>
      <c r="I39" s="63">
        <v>168</v>
      </c>
      <c r="J39" s="64">
        <v>15.952680000000001</v>
      </c>
      <c r="K39" s="64">
        <v>99.357929999999996</v>
      </c>
      <c r="L39" s="65" t="s">
        <v>110</v>
      </c>
      <c r="M39" s="65" t="s">
        <v>109</v>
      </c>
      <c r="N39" s="62" t="str">
        <f t="shared" si="0"/>
        <v>Complete</v>
      </c>
      <c r="O39" s="62" t="s">
        <v>124</v>
      </c>
      <c r="P39" s="65" t="s">
        <v>380</v>
      </c>
      <c r="Q39" s="65" t="s">
        <v>380</v>
      </c>
      <c r="R39" s="65" t="str">
        <f t="shared" si="1"/>
        <v>Complete</v>
      </c>
      <c r="S39" s="51" t="s">
        <v>448</v>
      </c>
      <c r="T39" s="65" t="s">
        <v>414</v>
      </c>
      <c r="U39" s="65"/>
      <c r="V39" s="62" t="str">
        <f t="shared" si="2"/>
        <v>In progress</v>
      </c>
      <c r="W39" s="62"/>
      <c r="X39" s="62"/>
      <c r="Y39" s="65" t="s">
        <v>110</v>
      </c>
      <c r="Z39" s="73">
        <v>244145</v>
      </c>
      <c r="AA39" s="65" t="str">
        <f t="shared" si="3"/>
        <v>Complete</v>
      </c>
      <c r="AB39" s="73">
        <v>244206</v>
      </c>
      <c r="AC39" s="73" t="s">
        <v>399</v>
      </c>
      <c r="AD39" s="62" t="str">
        <f t="shared" si="4"/>
        <v>Complete</v>
      </c>
      <c r="AE39" s="62" t="s">
        <v>469</v>
      </c>
      <c r="AF39" s="62"/>
      <c r="AG39" s="62" t="str">
        <f t="shared" si="5"/>
        <v>In progress</v>
      </c>
      <c r="AH39" s="62"/>
      <c r="AI39" s="62"/>
      <c r="AJ39" s="62"/>
      <c r="AK39" s="62"/>
      <c r="AL39" s="62"/>
      <c r="AM39" s="62"/>
      <c r="AN39" s="62"/>
      <c r="AO39" s="62" t="str">
        <f t="shared" si="6"/>
        <v/>
      </c>
    </row>
    <row r="40" spans="1:41" s="18" customFormat="1" ht="32.450000000000003" customHeight="1" x14ac:dyDescent="0.4">
      <c r="A40" s="59">
        <v>33</v>
      </c>
      <c r="B40" s="108" t="s">
        <v>147</v>
      </c>
      <c r="C40" s="108" t="s">
        <v>16</v>
      </c>
      <c r="D40" s="60" t="s">
        <v>17</v>
      </c>
      <c r="E40" s="60" t="s">
        <v>18</v>
      </c>
      <c r="F40" s="68" t="s">
        <v>103</v>
      </c>
      <c r="G40" s="60" t="s">
        <v>512</v>
      </c>
      <c r="H40" s="59">
        <v>9</v>
      </c>
      <c r="I40" s="63">
        <v>153.4</v>
      </c>
      <c r="J40" s="64">
        <v>15.946070000000001</v>
      </c>
      <c r="K40" s="64">
        <v>99.413359999999997</v>
      </c>
      <c r="L40" s="65" t="s">
        <v>110</v>
      </c>
      <c r="M40" s="65" t="s">
        <v>109</v>
      </c>
      <c r="N40" s="62" t="str">
        <f t="shared" si="0"/>
        <v>Complete</v>
      </c>
      <c r="O40" s="62" t="s">
        <v>124</v>
      </c>
      <c r="P40" s="65" t="s">
        <v>380</v>
      </c>
      <c r="Q40" s="65" t="s">
        <v>380</v>
      </c>
      <c r="R40" s="65" t="str">
        <f t="shared" ref="R40:R71" si="7">IF(
  AND(
     OR(H40=9,H40=18,H40=30),
     OR(F40="ภาคเหนือ",F40="ภาคใต้",F40="ภาคตะวันออก",F40="ภาคตะวันตก",F40="ภาคตะวันออกเฉียงเหนือ")
  ),
  IF(Q40&lt;&gt;"","Complete",IF(P40&lt;&gt;"","In progress","")),
  "-"
)</f>
        <v>Complete</v>
      </c>
      <c r="S40" s="51" t="s">
        <v>448</v>
      </c>
      <c r="T40" s="65" t="s">
        <v>414</v>
      </c>
      <c r="U40" s="65"/>
      <c r="V40" s="62" t="str">
        <f t="shared" si="2"/>
        <v>In progress</v>
      </c>
      <c r="W40" s="62"/>
      <c r="X40" s="62"/>
      <c r="Y40" s="65" t="s">
        <v>110</v>
      </c>
      <c r="Z40" s="73">
        <v>244145</v>
      </c>
      <c r="AA40" s="65" t="str">
        <f t="shared" si="3"/>
        <v>Complete</v>
      </c>
      <c r="AB40" s="73">
        <v>244206</v>
      </c>
      <c r="AC40" s="73" t="s">
        <v>399</v>
      </c>
      <c r="AD40" s="62" t="str">
        <f t="shared" si="4"/>
        <v>Complete</v>
      </c>
      <c r="AE40" s="62" t="s">
        <v>469</v>
      </c>
      <c r="AF40" s="62"/>
      <c r="AG40" s="62" t="str">
        <f t="shared" si="5"/>
        <v>In progress</v>
      </c>
      <c r="AH40" s="62"/>
      <c r="AI40" s="62"/>
      <c r="AJ40" s="62"/>
      <c r="AK40" s="62"/>
      <c r="AL40" s="62"/>
      <c r="AM40" s="62"/>
      <c r="AN40" s="62"/>
      <c r="AO40" s="62" t="str">
        <f t="shared" si="6"/>
        <v/>
      </c>
    </row>
    <row r="41" spans="1:41" s="18" customFormat="1" ht="32.450000000000003" customHeight="1" x14ac:dyDescent="0.4">
      <c r="A41" s="62">
        <v>34</v>
      </c>
      <c r="B41" s="108" t="s">
        <v>164</v>
      </c>
      <c r="C41" s="108" t="s">
        <v>16</v>
      </c>
      <c r="D41" s="60" t="s">
        <v>17</v>
      </c>
      <c r="E41" s="60" t="s">
        <v>18</v>
      </c>
      <c r="F41" s="68" t="s">
        <v>103</v>
      </c>
      <c r="G41" s="60" t="s">
        <v>512</v>
      </c>
      <c r="H41" s="59">
        <v>9</v>
      </c>
      <c r="I41" s="63">
        <v>140</v>
      </c>
      <c r="J41" s="64">
        <v>15.93205</v>
      </c>
      <c r="K41" s="64">
        <v>99.387860000000003</v>
      </c>
      <c r="L41" s="65" t="s">
        <v>110</v>
      </c>
      <c r="M41" s="65" t="s">
        <v>377</v>
      </c>
      <c r="N41" s="62" t="str">
        <f t="shared" si="0"/>
        <v>Complete</v>
      </c>
      <c r="O41" s="62" t="s">
        <v>124</v>
      </c>
      <c r="P41" s="65" t="s">
        <v>380</v>
      </c>
      <c r="Q41" s="65" t="s">
        <v>380</v>
      </c>
      <c r="R41" s="65" t="str">
        <f t="shared" si="7"/>
        <v>Complete</v>
      </c>
      <c r="S41" s="51" t="s">
        <v>448</v>
      </c>
      <c r="T41" s="65" t="s">
        <v>415</v>
      </c>
      <c r="U41" s="65"/>
      <c r="V41" s="62" t="str">
        <f t="shared" si="2"/>
        <v>In progress</v>
      </c>
      <c r="W41" s="62"/>
      <c r="X41" s="62"/>
      <c r="Y41" s="65" t="s">
        <v>110</v>
      </c>
      <c r="Z41" s="73">
        <v>244145</v>
      </c>
      <c r="AA41" s="65" t="str">
        <f t="shared" si="3"/>
        <v>Complete</v>
      </c>
      <c r="AB41" s="73">
        <v>244206</v>
      </c>
      <c r="AC41" s="73" t="s">
        <v>399</v>
      </c>
      <c r="AD41" s="62" t="str">
        <f t="shared" si="4"/>
        <v>Complete</v>
      </c>
      <c r="AE41" s="62" t="s">
        <v>469</v>
      </c>
      <c r="AF41" s="62"/>
      <c r="AG41" s="62" t="str">
        <f t="shared" si="5"/>
        <v>In progress</v>
      </c>
      <c r="AH41" s="62"/>
      <c r="AI41" s="62"/>
      <c r="AJ41" s="62"/>
      <c r="AK41" s="62"/>
      <c r="AL41" s="62"/>
      <c r="AM41" s="62"/>
      <c r="AN41" s="62"/>
      <c r="AO41" s="62" t="str">
        <f t="shared" si="6"/>
        <v/>
      </c>
    </row>
    <row r="42" spans="1:41" s="18" customFormat="1" ht="32.450000000000003" customHeight="1" x14ac:dyDescent="0.4">
      <c r="A42" s="62">
        <v>35</v>
      </c>
      <c r="B42" s="108" t="s">
        <v>435</v>
      </c>
      <c r="C42" s="108" t="s">
        <v>16</v>
      </c>
      <c r="D42" s="60" t="s">
        <v>17</v>
      </c>
      <c r="E42" s="60" t="s">
        <v>18</v>
      </c>
      <c r="F42" s="68" t="s">
        <v>103</v>
      </c>
      <c r="G42" s="60" t="s">
        <v>512</v>
      </c>
      <c r="H42" s="59">
        <v>9</v>
      </c>
      <c r="I42" s="63">
        <v>129</v>
      </c>
      <c r="J42" s="64">
        <v>15.919129999999999</v>
      </c>
      <c r="K42" s="64">
        <v>99.401449999999997</v>
      </c>
      <c r="L42" s="65" t="s">
        <v>110</v>
      </c>
      <c r="M42" s="65" t="s">
        <v>109</v>
      </c>
      <c r="N42" s="62" t="str">
        <f t="shared" si="0"/>
        <v>Complete</v>
      </c>
      <c r="O42" s="62" t="s">
        <v>124</v>
      </c>
      <c r="P42" s="65" t="s">
        <v>380</v>
      </c>
      <c r="Q42" s="65" t="s">
        <v>380</v>
      </c>
      <c r="R42" s="65" t="str">
        <f t="shared" si="7"/>
        <v>Complete</v>
      </c>
      <c r="S42" s="51" t="s">
        <v>448</v>
      </c>
      <c r="T42" s="65" t="s">
        <v>414</v>
      </c>
      <c r="U42" s="65"/>
      <c r="V42" s="62" t="str">
        <f t="shared" si="2"/>
        <v>In progress</v>
      </c>
      <c r="W42" s="62"/>
      <c r="X42" s="62"/>
      <c r="Y42" s="65" t="s">
        <v>110</v>
      </c>
      <c r="Z42" s="73">
        <v>244145</v>
      </c>
      <c r="AA42" s="65" t="str">
        <f t="shared" si="3"/>
        <v>Complete</v>
      </c>
      <c r="AB42" s="73">
        <v>244206</v>
      </c>
      <c r="AC42" s="73" t="s">
        <v>399</v>
      </c>
      <c r="AD42" s="62" t="str">
        <f t="shared" si="4"/>
        <v>Complete</v>
      </c>
      <c r="AE42" s="62" t="s">
        <v>469</v>
      </c>
      <c r="AF42" s="62"/>
      <c r="AG42" s="62" t="str">
        <f t="shared" si="5"/>
        <v>In progress</v>
      </c>
      <c r="AH42" s="62"/>
      <c r="AI42" s="62"/>
      <c r="AJ42" s="62"/>
      <c r="AK42" s="62"/>
      <c r="AL42" s="62"/>
      <c r="AM42" s="62"/>
      <c r="AN42" s="62"/>
      <c r="AO42" s="62" t="str">
        <f t="shared" si="6"/>
        <v/>
      </c>
    </row>
    <row r="43" spans="1:41" s="18" customFormat="1" ht="32.450000000000003" customHeight="1" x14ac:dyDescent="0.4">
      <c r="A43" s="59">
        <v>36</v>
      </c>
      <c r="B43" s="108" t="s">
        <v>442</v>
      </c>
      <c r="C43" s="108" t="s">
        <v>16</v>
      </c>
      <c r="D43" s="60" t="s">
        <v>17</v>
      </c>
      <c r="E43" s="60" t="s">
        <v>18</v>
      </c>
      <c r="F43" s="68" t="s">
        <v>103</v>
      </c>
      <c r="G43" s="68" t="s">
        <v>304</v>
      </c>
      <c r="H43" s="59">
        <v>18</v>
      </c>
      <c r="I43" s="63">
        <v>125</v>
      </c>
      <c r="J43" s="64">
        <v>15.927490000000001</v>
      </c>
      <c r="K43" s="64">
        <v>99.422960000000003</v>
      </c>
      <c r="L43" s="65" t="s">
        <v>110</v>
      </c>
      <c r="M43" s="65" t="s">
        <v>377</v>
      </c>
      <c r="N43" s="62" t="str">
        <f t="shared" si="0"/>
        <v>Complete</v>
      </c>
      <c r="O43" s="62" t="s">
        <v>124</v>
      </c>
      <c r="P43" s="65" t="s">
        <v>380</v>
      </c>
      <c r="Q43" s="65" t="s">
        <v>379</v>
      </c>
      <c r="R43" s="65" t="str">
        <f t="shared" si="7"/>
        <v>Complete</v>
      </c>
      <c r="S43" s="51" t="s">
        <v>448</v>
      </c>
      <c r="T43" s="65" t="s">
        <v>415</v>
      </c>
      <c r="U43" s="65"/>
      <c r="V43" s="62" t="str">
        <f t="shared" si="2"/>
        <v>In progress</v>
      </c>
      <c r="W43" s="62"/>
      <c r="X43" s="62"/>
      <c r="Y43" s="65" t="s">
        <v>399</v>
      </c>
      <c r="Z43" s="75" t="s">
        <v>420</v>
      </c>
      <c r="AA43" s="65" t="str">
        <f t="shared" si="3"/>
        <v>Complete</v>
      </c>
      <c r="AB43" s="62" t="s">
        <v>418</v>
      </c>
      <c r="AC43" s="62" t="s">
        <v>447</v>
      </c>
      <c r="AD43" s="62" t="str">
        <f t="shared" si="4"/>
        <v>Complete</v>
      </c>
      <c r="AE43" s="73">
        <v>244470</v>
      </c>
      <c r="AF43" s="73">
        <v>244470</v>
      </c>
      <c r="AG43" s="62" t="str">
        <f t="shared" si="5"/>
        <v>Complete</v>
      </c>
      <c r="AH43" s="73">
        <v>244684</v>
      </c>
      <c r="AI43" s="62" t="s">
        <v>458</v>
      </c>
      <c r="AJ43" s="62" t="s">
        <v>463</v>
      </c>
      <c r="AK43" s="62" t="s">
        <v>452</v>
      </c>
      <c r="AL43" s="62"/>
      <c r="AM43" s="62"/>
      <c r="AN43" s="62"/>
      <c r="AO43" s="62" t="str">
        <f t="shared" si="6"/>
        <v>In progress</v>
      </c>
    </row>
    <row r="44" spans="1:41" s="18" customFormat="1" ht="32.450000000000003" customHeight="1" x14ac:dyDescent="0.4">
      <c r="A44" s="59">
        <v>37</v>
      </c>
      <c r="B44" s="108" t="s">
        <v>165</v>
      </c>
      <c r="C44" s="108" t="s">
        <v>19</v>
      </c>
      <c r="D44" s="60" t="s">
        <v>20</v>
      </c>
      <c r="E44" s="60" t="s">
        <v>18</v>
      </c>
      <c r="F44" s="68" t="s">
        <v>103</v>
      </c>
      <c r="G44" s="60" t="s">
        <v>512</v>
      </c>
      <c r="H44" s="59">
        <v>9</v>
      </c>
      <c r="I44" s="63">
        <v>132</v>
      </c>
      <c r="J44" s="64">
        <v>16.105584</v>
      </c>
      <c r="K44" s="64">
        <v>99.371335999999999</v>
      </c>
      <c r="L44" s="65" t="s">
        <v>110</v>
      </c>
      <c r="M44" s="65" t="s">
        <v>108</v>
      </c>
      <c r="N44" s="62" t="str">
        <f t="shared" si="0"/>
        <v>Complete</v>
      </c>
      <c r="O44" s="62" t="s">
        <v>124</v>
      </c>
      <c r="P44" s="65" t="s">
        <v>380</v>
      </c>
      <c r="Q44" s="65" t="s">
        <v>380</v>
      </c>
      <c r="R44" s="65" t="str">
        <f t="shared" si="7"/>
        <v>Complete</v>
      </c>
      <c r="S44" s="51" t="s">
        <v>448</v>
      </c>
      <c r="T44" s="65" t="s">
        <v>413</v>
      </c>
      <c r="U44" s="65"/>
      <c r="V44" s="62" t="str">
        <f t="shared" si="2"/>
        <v>In progress</v>
      </c>
      <c r="W44" s="62"/>
      <c r="X44" s="62"/>
      <c r="Y44" s="65" t="s">
        <v>110</v>
      </c>
      <c r="Z44" s="73">
        <v>244145</v>
      </c>
      <c r="AA44" s="65" t="str">
        <f t="shared" si="3"/>
        <v>Complete</v>
      </c>
      <c r="AB44" s="73">
        <v>244206</v>
      </c>
      <c r="AC44" s="73" t="s">
        <v>399</v>
      </c>
      <c r="AD44" s="62" t="str">
        <f t="shared" si="4"/>
        <v>Complete</v>
      </c>
      <c r="AE44" s="62" t="s">
        <v>469</v>
      </c>
      <c r="AF44" s="62"/>
      <c r="AG44" s="62" t="str">
        <f t="shared" si="5"/>
        <v>In progress</v>
      </c>
      <c r="AH44" s="62"/>
      <c r="AI44" s="62"/>
      <c r="AJ44" s="62"/>
      <c r="AK44" s="62"/>
      <c r="AL44" s="62"/>
      <c r="AM44" s="62"/>
      <c r="AN44" s="62"/>
      <c r="AO44" s="62" t="str">
        <f t="shared" si="6"/>
        <v/>
      </c>
    </row>
    <row r="45" spans="1:41" s="18" customFormat="1" ht="32.450000000000003" customHeight="1" x14ac:dyDescent="0.4">
      <c r="A45" s="59">
        <v>38</v>
      </c>
      <c r="B45" s="108" t="s">
        <v>205</v>
      </c>
      <c r="C45" s="108" t="s">
        <v>19</v>
      </c>
      <c r="D45" s="60" t="s">
        <v>20</v>
      </c>
      <c r="E45" s="60" t="s">
        <v>18</v>
      </c>
      <c r="F45" s="68" t="s">
        <v>103</v>
      </c>
      <c r="G45" s="60" t="s">
        <v>512</v>
      </c>
      <c r="H45" s="59">
        <v>9</v>
      </c>
      <c r="I45" s="63">
        <v>121</v>
      </c>
      <c r="J45" s="64">
        <v>16.072842000000001</v>
      </c>
      <c r="K45" s="64">
        <v>99.372585000000001</v>
      </c>
      <c r="L45" s="65" t="s">
        <v>110</v>
      </c>
      <c r="M45" s="65" t="s">
        <v>108</v>
      </c>
      <c r="N45" s="62" t="str">
        <f t="shared" si="0"/>
        <v>Complete</v>
      </c>
      <c r="O45" s="62" t="s">
        <v>124</v>
      </c>
      <c r="P45" s="65" t="s">
        <v>380</v>
      </c>
      <c r="Q45" s="65" t="s">
        <v>380</v>
      </c>
      <c r="R45" s="65" t="str">
        <f t="shared" si="7"/>
        <v>Complete</v>
      </c>
      <c r="S45" s="51" t="s">
        <v>448</v>
      </c>
      <c r="T45" s="65" t="s">
        <v>413</v>
      </c>
      <c r="U45" s="65"/>
      <c r="V45" s="62" t="str">
        <f t="shared" si="2"/>
        <v>In progress</v>
      </c>
      <c r="W45" s="62"/>
      <c r="X45" s="62"/>
      <c r="Y45" s="65" t="s">
        <v>110</v>
      </c>
      <c r="Z45" s="73">
        <v>244145</v>
      </c>
      <c r="AA45" s="65" t="str">
        <f t="shared" si="3"/>
        <v>Complete</v>
      </c>
      <c r="AB45" s="73">
        <v>244206</v>
      </c>
      <c r="AC45" s="73" t="s">
        <v>399</v>
      </c>
      <c r="AD45" s="62" t="str">
        <f t="shared" si="4"/>
        <v>Complete</v>
      </c>
      <c r="AE45" s="62" t="s">
        <v>469</v>
      </c>
      <c r="AF45" s="62"/>
      <c r="AG45" s="62" t="str">
        <f t="shared" si="5"/>
        <v>In progress</v>
      </c>
      <c r="AH45" s="62"/>
      <c r="AI45" s="62"/>
      <c r="AJ45" s="62"/>
      <c r="AK45" s="62"/>
      <c r="AL45" s="62"/>
      <c r="AM45" s="62"/>
      <c r="AN45" s="62"/>
      <c r="AO45" s="62" t="str">
        <f t="shared" si="6"/>
        <v/>
      </c>
    </row>
    <row r="46" spans="1:41" s="18" customFormat="1" ht="32.450000000000003" customHeight="1" x14ac:dyDescent="0.4">
      <c r="A46" s="62">
        <v>39</v>
      </c>
      <c r="B46" s="108" t="s">
        <v>148</v>
      </c>
      <c r="C46" s="108" t="s">
        <v>21</v>
      </c>
      <c r="D46" s="60" t="s">
        <v>22</v>
      </c>
      <c r="E46" s="60" t="s">
        <v>18</v>
      </c>
      <c r="F46" s="68" t="s">
        <v>103</v>
      </c>
      <c r="G46" s="60" t="s">
        <v>512</v>
      </c>
      <c r="H46" s="59">
        <v>9</v>
      </c>
      <c r="I46" s="63">
        <v>112.8</v>
      </c>
      <c r="J46" s="64">
        <v>16.062110000000001</v>
      </c>
      <c r="K46" s="64">
        <v>99.383889999999994</v>
      </c>
      <c r="L46" s="65" t="s">
        <v>110</v>
      </c>
      <c r="M46" s="65" t="s">
        <v>108</v>
      </c>
      <c r="N46" s="62" t="str">
        <f t="shared" si="0"/>
        <v>Complete</v>
      </c>
      <c r="O46" s="62" t="s">
        <v>124</v>
      </c>
      <c r="P46" s="65" t="s">
        <v>380</v>
      </c>
      <c r="Q46" s="65" t="s">
        <v>380</v>
      </c>
      <c r="R46" s="65" t="str">
        <f t="shared" si="7"/>
        <v>Complete</v>
      </c>
      <c r="S46" s="51" t="s">
        <v>448</v>
      </c>
      <c r="T46" s="65" t="s">
        <v>413</v>
      </c>
      <c r="U46" s="65"/>
      <c r="V46" s="62" t="str">
        <f t="shared" si="2"/>
        <v>In progress</v>
      </c>
      <c r="W46" s="62"/>
      <c r="X46" s="62"/>
      <c r="Y46" s="65" t="s">
        <v>110</v>
      </c>
      <c r="Z46" s="73">
        <v>244145</v>
      </c>
      <c r="AA46" s="65" t="str">
        <f t="shared" si="3"/>
        <v>Complete</v>
      </c>
      <c r="AB46" s="73">
        <v>244206</v>
      </c>
      <c r="AC46" s="73" t="s">
        <v>399</v>
      </c>
      <c r="AD46" s="62" t="str">
        <f t="shared" si="4"/>
        <v>Complete</v>
      </c>
      <c r="AE46" s="62" t="s">
        <v>469</v>
      </c>
      <c r="AF46" s="62"/>
      <c r="AG46" s="62" t="str">
        <f t="shared" si="5"/>
        <v>In progress</v>
      </c>
      <c r="AH46" s="62"/>
      <c r="AI46" s="62"/>
      <c r="AJ46" s="62"/>
      <c r="AK46" s="62"/>
      <c r="AL46" s="62"/>
      <c r="AM46" s="62"/>
      <c r="AN46" s="62"/>
      <c r="AO46" s="62" t="str">
        <f t="shared" si="6"/>
        <v/>
      </c>
    </row>
    <row r="47" spans="1:41" s="18" customFormat="1" ht="32.450000000000003" customHeight="1" x14ac:dyDescent="0.4">
      <c r="A47" s="62">
        <v>40</v>
      </c>
      <c r="B47" s="108" t="s">
        <v>291</v>
      </c>
      <c r="C47" s="108" t="s">
        <v>21</v>
      </c>
      <c r="D47" s="60" t="s">
        <v>22</v>
      </c>
      <c r="E47" s="60" t="s">
        <v>18</v>
      </c>
      <c r="F47" s="68" t="s">
        <v>103</v>
      </c>
      <c r="G47" s="60" t="s">
        <v>512</v>
      </c>
      <c r="H47" s="59">
        <v>9</v>
      </c>
      <c r="I47" s="63">
        <v>150</v>
      </c>
      <c r="J47" s="64">
        <v>15.995089999999999</v>
      </c>
      <c r="K47" s="64">
        <v>99.364739999999998</v>
      </c>
      <c r="L47" s="65" t="s">
        <v>110</v>
      </c>
      <c r="M47" s="65" t="s">
        <v>108</v>
      </c>
      <c r="N47" s="62" t="str">
        <f t="shared" si="0"/>
        <v>Complete</v>
      </c>
      <c r="O47" s="62" t="s">
        <v>124</v>
      </c>
      <c r="P47" s="65" t="s">
        <v>380</v>
      </c>
      <c r="Q47" s="65" t="s">
        <v>380</v>
      </c>
      <c r="R47" s="65" t="str">
        <f t="shared" si="7"/>
        <v>Complete</v>
      </c>
      <c r="S47" s="51" t="s">
        <v>448</v>
      </c>
      <c r="T47" s="65" t="s">
        <v>413</v>
      </c>
      <c r="U47" s="65"/>
      <c r="V47" s="62" t="str">
        <f t="shared" si="2"/>
        <v>In progress</v>
      </c>
      <c r="W47" s="62"/>
      <c r="X47" s="62"/>
      <c r="Y47" s="65" t="s">
        <v>110</v>
      </c>
      <c r="Z47" s="73">
        <v>244145</v>
      </c>
      <c r="AA47" s="65" t="str">
        <f t="shared" si="3"/>
        <v>Complete</v>
      </c>
      <c r="AB47" s="73">
        <v>244206</v>
      </c>
      <c r="AC47" s="73" t="s">
        <v>399</v>
      </c>
      <c r="AD47" s="62" t="str">
        <f t="shared" si="4"/>
        <v>Complete</v>
      </c>
      <c r="AE47" s="62" t="s">
        <v>469</v>
      </c>
      <c r="AF47" s="62"/>
      <c r="AG47" s="62" t="str">
        <f t="shared" si="5"/>
        <v>In progress</v>
      </c>
      <c r="AH47" s="62"/>
      <c r="AI47" s="62"/>
      <c r="AJ47" s="62"/>
      <c r="AK47" s="62"/>
      <c r="AL47" s="62"/>
      <c r="AM47" s="62"/>
      <c r="AN47" s="62"/>
      <c r="AO47" s="62" t="str">
        <f t="shared" si="6"/>
        <v/>
      </c>
    </row>
    <row r="48" spans="1:41" s="18" customFormat="1" ht="32.450000000000003" customHeight="1" x14ac:dyDescent="0.4">
      <c r="A48" s="59">
        <v>41</v>
      </c>
      <c r="B48" s="108" t="s">
        <v>429</v>
      </c>
      <c r="C48" s="108" t="s">
        <v>21</v>
      </c>
      <c r="D48" s="60" t="s">
        <v>22</v>
      </c>
      <c r="E48" s="60" t="s">
        <v>18</v>
      </c>
      <c r="F48" s="68" t="s">
        <v>103</v>
      </c>
      <c r="G48" s="60" t="s">
        <v>512</v>
      </c>
      <c r="H48" s="59">
        <v>9</v>
      </c>
      <c r="I48" s="63">
        <v>136.6</v>
      </c>
      <c r="J48" s="64">
        <v>16.03417</v>
      </c>
      <c r="K48" s="64">
        <v>99.396630000000002</v>
      </c>
      <c r="L48" s="65" t="s">
        <v>110</v>
      </c>
      <c r="M48" s="65" t="s">
        <v>108</v>
      </c>
      <c r="N48" s="62" t="str">
        <f t="shared" si="0"/>
        <v>Complete</v>
      </c>
      <c r="O48" s="62" t="s">
        <v>124</v>
      </c>
      <c r="P48" s="65" t="s">
        <v>380</v>
      </c>
      <c r="Q48" s="65" t="s">
        <v>380</v>
      </c>
      <c r="R48" s="65" t="str">
        <f t="shared" si="7"/>
        <v>Complete</v>
      </c>
      <c r="S48" s="51" t="s">
        <v>448</v>
      </c>
      <c r="T48" s="65" t="s">
        <v>413</v>
      </c>
      <c r="U48" s="65"/>
      <c r="V48" s="62" t="str">
        <f t="shared" si="2"/>
        <v>In progress</v>
      </c>
      <c r="W48" s="62"/>
      <c r="X48" s="62"/>
      <c r="Y48" s="65" t="s">
        <v>110</v>
      </c>
      <c r="Z48" s="73">
        <v>244145</v>
      </c>
      <c r="AA48" s="65" t="str">
        <f t="shared" si="3"/>
        <v>Complete</v>
      </c>
      <c r="AB48" s="73">
        <v>244206</v>
      </c>
      <c r="AC48" s="73" t="s">
        <v>399</v>
      </c>
      <c r="AD48" s="62" t="str">
        <f t="shared" si="4"/>
        <v>Complete</v>
      </c>
      <c r="AE48" s="62" t="s">
        <v>469</v>
      </c>
      <c r="AF48" s="62"/>
      <c r="AG48" s="62" t="str">
        <f t="shared" si="5"/>
        <v>In progress</v>
      </c>
      <c r="AH48" s="62"/>
      <c r="AI48" s="62"/>
      <c r="AJ48" s="62"/>
      <c r="AK48" s="62"/>
      <c r="AL48" s="62"/>
      <c r="AM48" s="62"/>
      <c r="AN48" s="62"/>
      <c r="AO48" s="62" t="str">
        <f t="shared" si="6"/>
        <v/>
      </c>
    </row>
    <row r="49" spans="1:41" s="18" customFormat="1" ht="32.450000000000003" customHeight="1" x14ac:dyDescent="0.4">
      <c r="A49" s="59">
        <v>42</v>
      </c>
      <c r="B49" s="108" t="s">
        <v>185</v>
      </c>
      <c r="C49" s="108" t="s">
        <v>21</v>
      </c>
      <c r="D49" s="60" t="s">
        <v>22</v>
      </c>
      <c r="E49" s="60" t="s">
        <v>18</v>
      </c>
      <c r="F49" s="68" t="s">
        <v>103</v>
      </c>
      <c r="G49" s="60" t="s">
        <v>512</v>
      </c>
      <c r="H49" s="59">
        <v>9</v>
      </c>
      <c r="I49" s="63">
        <v>142</v>
      </c>
      <c r="J49" s="64">
        <v>16.02214</v>
      </c>
      <c r="K49" s="64">
        <v>99.368819999999999</v>
      </c>
      <c r="L49" s="65" t="s">
        <v>110</v>
      </c>
      <c r="M49" s="65" t="s">
        <v>108</v>
      </c>
      <c r="N49" s="62" t="str">
        <f t="shared" si="0"/>
        <v>Complete</v>
      </c>
      <c r="O49" s="62" t="s">
        <v>124</v>
      </c>
      <c r="P49" s="65" t="s">
        <v>380</v>
      </c>
      <c r="Q49" s="65" t="s">
        <v>380</v>
      </c>
      <c r="R49" s="65" t="str">
        <f t="shared" si="7"/>
        <v>Complete</v>
      </c>
      <c r="S49" s="51" t="s">
        <v>448</v>
      </c>
      <c r="T49" s="65" t="s">
        <v>413</v>
      </c>
      <c r="U49" s="65"/>
      <c r="V49" s="62" t="str">
        <f t="shared" si="2"/>
        <v>In progress</v>
      </c>
      <c r="W49" s="62"/>
      <c r="X49" s="62"/>
      <c r="Y49" s="65" t="s">
        <v>110</v>
      </c>
      <c r="Z49" s="73">
        <v>244145</v>
      </c>
      <c r="AA49" s="65" t="str">
        <f t="shared" si="3"/>
        <v>Complete</v>
      </c>
      <c r="AB49" s="73">
        <v>244206</v>
      </c>
      <c r="AC49" s="73" t="s">
        <v>399</v>
      </c>
      <c r="AD49" s="62" t="str">
        <f t="shared" si="4"/>
        <v>Complete</v>
      </c>
      <c r="AE49" s="62" t="s">
        <v>469</v>
      </c>
      <c r="AF49" s="62"/>
      <c r="AG49" s="62" t="str">
        <f t="shared" si="5"/>
        <v>In progress</v>
      </c>
      <c r="AH49" s="62"/>
      <c r="AI49" s="62"/>
      <c r="AJ49" s="62"/>
      <c r="AK49" s="62"/>
      <c r="AL49" s="62"/>
      <c r="AM49" s="62"/>
      <c r="AN49" s="62"/>
      <c r="AO49" s="62" t="str">
        <f t="shared" si="6"/>
        <v/>
      </c>
    </row>
    <row r="50" spans="1:41" s="18" customFormat="1" ht="32.450000000000003" customHeight="1" x14ac:dyDescent="0.4">
      <c r="A50" s="59">
        <v>43</v>
      </c>
      <c r="B50" s="108" t="s">
        <v>206</v>
      </c>
      <c r="C50" s="108" t="s">
        <v>21</v>
      </c>
      <c r="D50" s="60" t="s">
        <v>22</v>
      </c>
      <c r="E50" s="60" t="s">
        <v>18</v>
      </c>
      <c r="F50" s="68" t="s">
        <v>103</v>
      </c>
      <c r="G50" s="60" t="s">
        <v>512</v>
      </c>
      <c r="H50" s="59">
        <v>9</v>
      </c>
      <c r="I50" s="63">
        <v>142.30000000000001</v>
      </c>
      <c r="J50" s="64">
        <v>15.99898</v>
      </c>
      <c r="K50" s="64">
        <v>99.372839999999997</v>
      </c>
      <c r="L50" s="65" t="s">
        <v>110</v>
      </c>
      <c r="M50" s="65" t="s">
        <v>108</v>
      </c>
      <c r="N50" s="62" t="str">
        <f t="shared" si="0"/>
        <v>Complete</v>
      </c>
      <c r="O50" s="62" t="s">
        <v>124</v>
      </c>
      <c r="P50" s="65" t="s">
        <v>380</v>
      </c>
      <c r="Q50" s="65" t="s">
        <v>380</v>
      </c>
      <c r="R50" s="65" t="str">
        <f t="shared" si="7"/>
        <v>Complete</v>
      </c>
      <c r="S50" s="51" t="s">
        <v>448</v>
      </c>
      <c r="T50" s="65" t="s">
        <v>413</v>
      </c>
      <c r="U50" s="65"/>
      <c r="V50" s="62" t="str">
        <f t="shared" si="2"/>
        <v>In progress</v>
      </c>
      <c r="W50" s="62"/>
      <c r="X50" s="62"/>
      <c r="Y50" s="65" t="s">
        <v>110</v>
      </c>
      <c r="Z50" s="73">
        <v>244145</v>
      </c>
      <c r="AA50" s="65" t="str">
        <f t="shared" si="3"/>
        <v>Complete</v>
      </c>
      <c r="AB50" s="73">
        <v>244206</v>
      </c>
      <c r="AC50" s="73" t="s">
        <v>399</v>
      </c>
      <c r="AD50" s="62" t="str">
        <f t="shared" si="4"/>
        <v>Complete</v>
      </c>
      <c r="AE50" s="62" t="s">
        <v>469</v>
      </c>
      <c r="AF50" s="62"/>
      <c r="AG50" s="62" t="str">
        <f t="shared" si="5"/>
        <v>In progress</v>
      </c>
      <c r="AH50" s="62"/>
      <c r="AI50" s="62"/>
      <c r="AJ50" s="62"/>
      <c r="AK50" s="62"/>
      <c r="AL50" s="62"/>
      <c r="AM50" s="62"/>
      <c r="AN50" s="62"/>
      <c r="AO50" s="62" t="str">
        <f t="shared" si="6"/>
        <v/>
      </c>
    </row>
    <row r="51" spans="1:41" s="18" customFormat="1" ht="32.450000000000003" customHeight="1" x14ac:dyDescent="0.4">
      <c r="A51" s="62">
        <v>44</v>
      </c>
      <c r="B51" s="108" t="s">
        <v>386</v>
      </c>
      <c r="C51" s="108" t="s">
        <v>21</v>
      </c>
      <c r="D51" s="60" t="s">
        <v>22</v>
      </c>
      <c r="E51" s="60" t="s">
        <v>18</v>
      </c>
      <c r="F51" s="68" t="s">
        <v>103</v>
      </c>
      <c r="G51" s="68" t="s">
        <v>302</v>
      </c>
      <c r="H51" s="59">
        <v>9</v>
      </c>
      <c r="I51" s="63">
        <v>146.1</v>
      </c>
      <c r="J51" s="64">
        <v>15.97804</v>
      </c>
      <c r="K51" s="64">
        <v>99.381150000000005</v>
      </c>
      <c r="L51" s="65" t="s">
        <v>110</v>
      </c>
      <c r="M51" s="65" t="s">
        <v>108</v>
      </c>
      <c r="N51" s="62" t="str">
        <f t="shared" si="0"/>
        <v>Complete</v>
      </c>
      <c r="O51" s="62" t="s">
        <v>124</v>
      </c>
      <c r="P51" s="65" t="s">
        <v>380</v>
      </c>
      <c r="Q51" s="65" t="s">
        <v>380</v>
      </c>
      <c r="R51" s="65" t="str">
        <f t="shared" si="7"/>
        <v>Complete</v>
      </c>
      <c r="S51" s="51" t="s">
        <v>448</v>
      </c>
      <c r="T51" s="65" t="s">
        <v>413</v>
      </c>
      <c r="U51" s="65"/>
      <c r="V51" s="62" t="str">
        <f t="shared" si="2"/>
        <v>In progress</v>
      </c>
      <c r="W51" s="62"/>
      <c r="X51" s="62"/>
      <c r="Y51" s="65" t="s">
        <v>110</v>
      </c>
      <c r="Z51" s="73">
        <v>244145</v>
      </c>
      <c r="AA51" s="65" t="str">
        <f t="shared" si="3"/>
        <v>Complete</v>
      </c>
      <c r="AB51" s="73">
        <v>244206</v>
      </c>
      <c r="AC51" s="73" t="s">
        <v>399</v>
      </c>
      <c r="AD51" s="62" t="str">
        <f t="shared" si="4"/>
        <v>Complete</v>
      </c>
      <c r="AE51" s="62" t="s">
        <v>469</v>
      </c>
      <c r="AF51" s="62"/>
      <c r="AG51" s="62" t="str">
        <f t="shared" si="5"/>
        <v>In progress</v>
      </c>
      <c r="AH51" s="62"/>
      <c r="AI51" s="62"/>
      <c r="AJ51" s="62"/>
      <c r="AK51" s="62"/>
      <c r="AL51" s="62"/>
      <c r="AM51" s="62"/>
      <c r="AN51" s="62"/>
      <c r="AO51" s="62" t="str">
        <f t="shared" si="6"/>
        <v/>
      </c>
    </row>
    <row r="52" spans="1:41" s="18" customFormat="1" ht="32.450000000000003" customHeight="1" x14ac:dyDescent="0.4">
      <c r="A52" s="62">
        <v>45</v>
      </c>
      <c r="B52" s="108" t="s">
        <v>436</v>
      </c>
      <c r="C52" s="108" t="s">
        <v>21</v>
      </c>
      <c r="D52" s="60" t="s">
        <v>22</v>
      </c>
      <c r="E52" s="60" t="s">
        <v>18</v>
      </c>
      <c r="F52" s="68" t="s">
        <v>103</v>
      </c>
      <c r="G52" s="60" t="s">
        <v>512</v>
      </c>
      <c r="H52" s="59">
        <v>9</v>
      </c>
      <c r="I52" s="63">
        <v>123.5</v>
      </c>
      <c r="J52" s="64">
        <v>16.054590000000001</v>
      </c>
      <c r="K52" s="64">
        <v>99.356039999999993</v>
      </c>
      <c r="L52" s="65" t="s">
        <v>110</v>
      </c>
      <c r="M52" s="65" t="s">
        <v>109</v>
      </c>
      <c r="N52" s="62" t="str">
        <f t="shared" si="0"/>
        <v>Complete</v>
      </c>
      <c r="O52" s="62" t="s">
        <v>124</v>
      </c>
      <c r="P52" s="65" t="s">
        <v>380</v>
      </c>
      <c r="Q52" s="65" t="s">
        <v>380</v>
      </c>
      <c r="R52" s="65" t="str">
        <f t="shared" si="7"/>
        <v>Complete</v>
      </c>
      <c r="S52" s="51" t="s">
        <v>448</v>
      </c>
      <c r="T52" s="65" t="s">
        <v>414</v>
      </c>
      <c r="U52" s="65"/>
      <c r="V52" s="62" t="str">
        <f t="shared" si="2"/>
        <v>In progress</v>
      </c>
      <c r="W52" s="62"/>
      <c r="X52" s="62"/>
      <c r="Y52" s="65" t="s">
        <v>110</v>
      </c>
      <c r="Z52" s="73">
        <v>244145</v>
      </c>
      <c r="AA52" s="65" t="str">
        <f t="shared" si="3"/>
        <v>Complete</v>
      </c>
      <c r="AB52" s="73">
        <v>244206</v>
      </c>
      <c r="AC52" s="73" t="s">
        <v>399</v>
      </c>
      <c r="AD52" s="62" t="str">
        <f t="shared" si="4"/>
        <v>Complete</v>
      </c>
      <c r="AE52" s="62" t="s">
        <v>469</v>
      </c>
      <c r="AF52" s="62"/>
      <c r="AG52" s="62" t="str">
        <f t="shared" si="5"/>
        <v>In progress</v>
      </c>
      <c r="AH52" s="62"/>
      <c r="AI52" s="62"/>
      <c r="AJ52" s="62"/>
      <c r="AK52" s="62"/>
      <c r="AL52" s="62"/>
      <c r="AM52" s="62"/>
      <c r="AN52" s="62"/>
      <c r="AO52" s="62" t="str">
        <f t="shared" si="6"/>
        <v/>
      </c>
    </row>
    <row r="53" spans="1:41" s="18" customFormat="1" ht="32.450000000000003" customHeight="1" x14ac:dyDescent="0.4">
      <c r="A53" s="59">
        <v>46</v>
      </c>
      <c r="B53" s="108" t="s">
        <v>282</v>
      </c>
      <c r="C53" s="108" t="s">
        <v>21</v>
      </c>
      <c r="D53" s="60" t="s">
        <v>22</v>
      </c>
      <c r="E53" s="60" t="s">
        <v>18</v>
      </c>
      <c r="F53" s="68" t="s">
        <v>103</v>
      </c>
      <c r="G53" s="60" t="s">
        <v>512</v>
      </c>
      <c r="H53" s="59">
        <v>9</v>
      </c>
      <c r="I53" s="63">
        <v>139.4</v>
      </c>
      <c r="J53" s="64">
        <v>16.03021</v>
      </c>
      <c r="K53" s="64">
        <v>99.375370000000004</v>
      </c>
      <c r="L53" s="65" t="s">
        <v>110</v>
      </c>
      <c r="M53" s="65" t="s">
        <v>108</v>
      </c>
      <c r="N53" s="62" t="str">
        <f t="shared" si="0"/>
        <v>Complete</v>
      </c>
      <c r="O53" s="62" t="s">
        <v>124</v>
      </c>
      <c r="P53" s="65" t="s">
        <v>380</v>
      </c>
      <c r="Q53" s="65" t="s">
        <v>380</v>
      </c>
      <c r="R53" s="65" t="str">
        <f t="shared" si="7"/>
        <v>Complete</v>
      </c>
      <c r="S53" s="51" t="s">
        <v>448</v>
      </c>
      <c r="T53" s="65" t="s">
        <v>413</v>
      </c>
      <c r="U53" s="65"/>
      <c r="V53" s="62" t="str">
        <f t="shared" si="2"/>
        <v>In progress</v>
      </c>
      <c r="W53" s="62"/>
      <c r="X53" s="62"/>
      <c r="Y53" s="65" t="s">
        <v>110</v>
      </c>
      <c r="Z53" s="73">
        <v>244145</v>
      </c>
      <c r="AA53" s="65" t="str">
        <f t="shared" si="3"/>
        <v>Complete</v>
      </c>
      <c r="AB53" s="73">
        <v>244206</v>
      </c>
      <c r="AC53" s="73" t="s">
        <v>399</v>
      </c>
      <c r="AD53" s="62" t="str">
        <f t="shared" si="4"/>
        <v>Complete</v>
      </c>
      <c r="AE53" s="62" t="s">
        <v>469</v>
      </c>
      <c r="AF53" s="62"/>
      <c r="AG53" s="62" t="str">
        <f t="shared" si="5"/>
        <v>In progress</v>
      </c>
      <c r="AH53" s="62"/>
      <c r="AI53" s="62"/>
      <c r="AJ53" s="62"/>
      <c r="AK53" s="62"/>
      <c r="AL53" s="62"/>
      <c r="AM53" s="62"/>
      <c r="AN53" s="62"/>
      <c r="AO53" s="62" t="str">
        <f t="shared" si="6"/>
        <v/>
      </c>
    </row>
    <row r="54" spans="1:41" s="18" customFormat="1" ht="32.450000000000003" customHeight="1" x14ac:dyDescent="0.4">
      <c r="A54" s="59">
        <v>47</v>
      </c>
      <c r="B54" s="108" t="s">
        <v>149</v>
      </c>
      <c r="C54" s="108" t="s">
        <v>23</v>
      </c>
      <c r="D54" s="60" t="s">
        <v>24</v>
      </c>
      <c r="E54" s="60" t="s">
        <v>25</v>
      </c>
      <c r="F54" s="60" t="s">
        <v>104</v>
      </c>
      <c r="G54" s="60" t="s">
        <v>512</v>
      </c>
      <c r="H54" s="62">
        <v>9</v>
      </c>
      <c r="I54" s="63">
        <v>198</v>
      </c>
      <c r="J54" s="64">
        <v>16.904046999999998</v>
      </c>
      <c r="K54" s="64">
        <v>102.74367599999999</v>
      </c>
      <c r="L54" s="65" t="s">
        <v>110</v>
      </c>
      <c r="M54" s="65" t="s">
        <v>108</v>
      </c>
      <c r="N54" s="62" t="str">
        <f t="shared" si="0"/>
        <v>Complete</v>
      </c>
      <c r="O54" s="62" t="s">
        <v>124</v>
      </c>
      <c r="P54" s="65" t="s">
        <v>380</v>
      </c>
      <c r="Q54" s="65" t="s">
        <v>380</v>
      </c>
      <c r="R54" s="65" t="str">
        <f t="shared" si="7"/>
        <v>Complete</v>
      </c>
      <c r="S54" s="51" t="s">
        <v>448</v>
      </c>
      <c r="T54" s="65" t="s">
        <v>413</v>
      </c>
      <c r="U54" s="65"/>
      <c r="V54" s="62" t="str">
        <f t="shared" si="2"/>
        <v>In progress</v>
      </c>
      <c r="W54" s="62"/>
      <c r="X54" s="62"/>
      <c r="Y54" s="65" t="s">
        <v>110</v>
      </c>
      <c r="Z54" s="73">
        <v>244145</v>
      </c>
      <c r="AA54" s="65" t="str">
        <f t="shared" si="3"/>
        <v>Complete</v>
      </c>
      <c r="AB54" s="73">
        <v>244206</v>
      </c>
      <c r="AC54" s="73" t="s">
        <v>399</v>
      </c>
      <c r="AD54" s="62" t="str">
        <f t="shared" si="4"/>
        <v>Complete</v>
      </c>
      <c r="AE54" s="62" t="s">
        <v>469</v>
      </c>
      <c r="AF54" s="62"/>
      <c r="AG54" s="62" t="str">
        <f t="shared" si="5"/>
        <v>In progress</v>
      </c>
      <c r="AH54" s="62"/>
      <c r="AI54" s="62"/>
      <c r="AJ54" s="62"/>
      <c r="AK54" s="62"/>
      <c r="AL54" s="62"/>
      <c r="AM54" s="62"/>
      <c r="AN54" s="62"/>
      <c r="AO54" s="62" t="str">
        <f t="shared" si="6"/>
        <v/>
      </c>
    </row>
    <row r="55" spans="1:41" s="18" customFormat="1" ht="32.450000000000003" customHeight="1" x14ac:dyDescent="0.4">
      <c r="A55" s="59">
        <v>48</v>
      </c>
      <c r="B55" s="108" t="s">
        <v>166</v>
      </c>
      <c r="C55" s="108" t="s">
        <v>23</v>
      </c>
      <c r="D55" s="60" t="s">
        <v>24</v>
      </c>
      <c r="E55" s="60" t="s">
        <v>25</v>
      </c>
      <c r="F55" s="60" t="s">
        <v>104</v>
      </c>
      <c r="G55" s="60" t="s">
        <v>513</v>
      </c>
      <c r="H55" s="62">
        <v>9</v>
      </c>
      <c r="I55" s="63">
        <v>176</v>
      </c>
      <c r="J55" s="64">
        <v>16.904761000000001</v>
      </c>
      <c r="K55" s="64">
        <v>102.75367300000001</v>
      </c>
      <c r="L55" s="65" t="s">
        <v>110</v>
      </c>
      <c r="M55" s="65" t="s">
        <v>108</v>
      </c>
      <c r="N55" s="62" t="str">
        <f t="shared" si="0"/>
        <v>Complete</v>
      </c>
      <c r="O55" s="62" t="s">
        <v>124</v>
      </c>
      <c r="P55" s="65" t="s">
        <v>380</v>
      </c>
      <c r="Q55" s="65" t="s">
        <v>380</v>
      </c>
      <c r="R55" s="65" t="str">
        <f t="shared" si="7"/>
        <v>Complete</v>
      </c>
      <c r="S55" s="51" t="s">
        <v>448</v>
      </c>
      <c r="T55" s="65" t="s">
        <v>413</v>
      </c>
      <c r="U55" s="65"/>
      <c r="V55" s="62" t="str">
        <f t="shared" si="2"/>
        <v>In progress</v>
      </c>
      <c r="W55" s="62"/>
      <c r="X55" s="62"/>
      <c r="Y55" s="65" t="s">
        <v>110</v>
      </c>
      <c r="Z55" s="73">
        <v>244145</v>
      </c>
      <c r="AA55" s="65" t="str">
        <f t="shared" si="3"/>
        <v>Complete</v>
      </c>
      <c r="AB55" s="73">
        <v>244206</v>
      </c>
      <c r="AC55" s="73" t="s">
        <v>399</v>
      </c>
      <c r="AD55" s="62" t="str">
        <f t="shared" si="4"/>
        <v>Complete</v>
      </c>
      <c r="AE55" s="62" t="s">
        <v>469</v>
      </c>
      <c r="AF55" s="62"/>
      <c r="AG55" s="62" t="str">
        <f t="shared" si="5"/>
        <v>In progress</v>
      </c>
      <c r="AH55" s="62"/>
      <c r="AI55" s="62"/>
      <c r="AJ55" s="62"/>
      <c r="AK55" s="62"/>
      <c r="AL55" s="62"/>
      <c r="AM55" s="62"/>
      <c r="AN55" s="62"/>
      <c r="AO55" s="62" t="str">
        <f t="shared" si="6"/>
        <v/>
      </c>
    </row>
    <row r="56" spans="1:41" s="18" customFormat="1" ht="32.450000000000003" customHeight="1" x14ac:dyDescent="0.4">
      <c r="A56" s="62">
        <v>49</v>
      </c>
      <c r="B56" s="108" t="s">
        <v>241</v>
      </c>
      <c r="C56" s="108" t="s">
        <v>23</v>
      </c>
      <c r="D56" s="60" t="s">
        <v>24</v>
      </c>
      <c r="E56" s="60" t="s">
        <v>25</v>
      </c>
      <c r="F56" s="60" t="s">
        <v>104</v>
      </c>
      <c r="G56" s="60" t="s">
        <v>512</v>
      </c>
      <c r="H56" s="62">
        <v>9</v>
      </c>
      <c r="I56" s="63">
        <v>205</v>
      </c>
      <c r="J56" s="64">
        <v>16.867854000000001</v>
      </c>
      <c r="K56" s="64">
        <v>102.735958</v>
      </c>
      <c r="L56" s="65" t="s">
        <v>110</v>
      </c>
      <c r="M56" s="65" t="s">
        <v>108</v>
      </c>
      <c r="N56" s="62" t="str">
        <f t="shared" si="0"/>
        <v>Complete</v>
      </c>
      <c r="O56" s="62" t="s">
        <v>124</v>
      </c>
      <c r="P56" s="65" t="s">
        <v>380</v>
      </c>
      <c r="Q56" s="65" t="s">
        <v>380</v>
      </c>
      <c r="R56" s="65" t="str">
        <f t="shared" si="7"/>
        <v>Complete</v>
      </c>
      <c r="S56" s="51" t="s">
        <v>448</v>
      </c>
      <c r="T56" s="65" t="s">
        <v>413</v>
      </c>
      <c r="U56" s="65"/>
      <c r="V56" s="62" t="str">
        <f t="shared" si="2"/>
        <v>In progress</v>
      </c>
      <c r="W56" s="62"/>
      <c r="X56" s="62"/>
      <c r="Y56" s="65" t="s">
        <v>110</v>
      </c>
      <c r="Z56" s="73">
        <v>244145</v>
      </c>
      <c r="AA56" s="65" t="str">
        <f t="shared" si="3"/>
        <v>Complete</v>
      </c>
      <c r="AB56" s="73">
        <v>244206</v>
      </c>
      <c r="AC56" s="73" t="s">
        <v>399</v>
      </c>
      <c r="AD56" s="62" t="str">
        <f t="shared" si="4"/>
        <v>Complete</v>
      </c>
      <c r="AE56" s="62" t="s">
        <v>469</v>
      </c>
      <c r="AF56" s="62"/>
      <c r="AG56" s="62" t="str">
        <f t="shared" si="5"/>
        <v>In progress</v>
      </c>
      <c r="AH56" s="62"/>
      <c r="AI56" s="62"/>
      <c r="AJ56" s="62"/>
      <c r="AK56" s="62"/>
      <c r="AL56" s="62"/>
      <c r="AM56" s="62"/>
      <c r="AN56" s="62"/>
      <c r="AO56" s="62" t="str">
        <f t="shared" si="6"/>
        <v/>
      </c>
    </row>
    <row r="57" spans="1:41" s="18" customFormat="1" ht="32.450000000000003" customHeight="1" x14ac:dyDescent="0.4">
      <c r="A57" s="62">
        <v>50</v>
      </c>
      <c r="B57" s="108" t="s">
        <v>255</v>
      </c>
      <c r="C57" s="108" t="s">
        <v>23</v>
      </c>
      <c r="D57" s="60" t="s">
        <v>24</v>
      </c>
      <c r="E57" s="60" t="s">
        <v>25</v>
      </c>
      <c r="F57" s="60" t="s">
        <v>104</v>
      </c>
      <c r="G57" s="60" t="s">
        <v>512</v>
      </c>
      <c r="H57" s="62">
        <v>9</v>
      </c>
      <c r="I57" s="63">
        <v>181</v>
      </c>
      <c r="J57" s="64">
        <v>16.843475000000002</v>
      </c>
      <c r="K57" s="64">
        <v>102.743334</v>
      </c>
      <c r="L57" s="65" t="s">
        <v>110</v>
      </c>
      <c r="M57" s="65" t="s">
        <v>108</v>
      </c>
      <c r="N57" s="62" t="str">
        <f t="shared" si="0"/>
        <v>Complete</v>
      </c>
      <c r="O57" s="62" t="s">
        <v>124</v>
      </c>
      <c r="P57" s="65" t="s">
        <v>380</v>
      </c>
      <c r="Q57" s="65" t="s">
        <v>380</v>
      </c>
      <c r="R57" s="65" t="str">
        <f t="shared" si="7"/>
        <v>Complete</v>
      </c>
      <c r="S57" s="51" t="s">
        <v>448</v>
      </c>
      <c r="T57" s="65" t="s">
        <v>413</v>
      </c>
      <c r="U57" s="65"/>
      <c r="V57" s="62" t="str">
        <f t="shared" si="2"/>
        <v>In progress</v>
      </c>
      <c r="W57" s="62"/>
      <c r="X57" s="62"/>
      <c r="Y57" s="65" t="s">
        <v>110</v>
      </c>
      <c r="Z57" s="73">
        <v>244145</v>
      </c>
      <c r="AA57" s="65" t="str">
        <f t="shared" si="3"/>
        <v>Complete</v>
      </c>
      <c r="AB57" s="73">
        <v>244206</v>
      </c>
      <c r="AC57" s="73" t="s">
        <v>399</v>
      </c>
      <c r="AD57" s="62" t="str">
        <f t="shared" si="4"/>
        <v>Complete</v>
      </c>
      <c r="AE57" s="62" t="s">
        <v>469</v>
      </c>
      <c r="AF57" s="62"/>
      <c r="AG57" s="62" t="str">
        <f t="shared" si="5"/>
        <v>In progress</v>
      </c>
      <c r="AH57" s="62"/>
      <c r="AI57" s="62"/>
      <c r="AJ57" s="62"/>
      <c r="AK57" s="62"/>
      <c r="AL57" s="62"/>
      <c r="AM57" s="62"/>
      <c r="AN57" s="62"/>
      <c r="AO57" s="62" t="str">
        <f t="shared" si="6"/>
        <v/>
      </c>
    </row>
    <row r="58" spans="1:41" s="18" customFormat="1" ht="32.450000000000003" customHeight="1" x14ac:dyDescent="0.4">
      <c r="A58" s="59">
        <v>51</v>
      </c>
      <c r="B58" s="108" t="s">
        <v>186</v>
      </c>
      <c r="C58" s="108" t="s">
        <v>26</v>
      </c>
      <c r="D58" s="60" t="s">
        <v>24</v>
      </c>
      <c r="E58" s="60" t="s">
        <v>25</v>
      </c>
      <c r="F58" s="60" t="s">
        <v>104</v>
      </c>
      <c r="G58" s="60" t="s">
        <v>512</v>
      </c>
      <c r="H58" s="62">
        <v>9</v>
      </c>
      <c r="I58" s="63">
        <v>218</v>
      </c>
      <c r="J58" s="64">
        <v>16.955269999999999</v>
      </c>
      <c r="K58" s="64">
        <v>102.77285500000001</v>
      </c>
      <c r="L58" s="65" t="s">
        <v>110</v>
      </c>
      <c r="M58" s="65" t="s">
        <v>108</v>
      </c>
      <c r="N58" s="62" t="str">
        <f t="shared" si="0"/>
        <v>Complete</v>
      </c>
      <c r="O58" s="62" t="s">
        <v>124</v>
      </c>
      <c r="P58" s="65" t="s">
        <v>380</v>
      </c>
      <c r="Q58" s="65" t="s">
        <v>380</v>
      </c>
      <c r="R58" s="65" t="str">
        <f t="shared" si="7"/>
        <v>Complete</v>
      </c>
      <c r="S58" s="51" t="s">
        <v>448</v>
      </c>
      <c r="T58" s="65" t="s">
        <v>413</v>
      </c>
      <c r="U58" s="65"/>
      <c r="V58" s="62" t="str">
        <f t="shared" si="2"/>
        <v>In progress</v>
      </c>
      <c r="W58" s="62"/>
      <c r="X58" s="62"/>
      <c r="Y58" s="65" t="s">
        <v>110</v>
      </c>
      <c r="Z58" s="73">
        <v>244145</v>
      </c>
      <c r="AA58" s="65" t="str">
        <f t="shared" si="3"/>
        <v>Complete</v>
      </c>
      <c r="AB58" s="73">
        <v>244206</v>
      </c>
      <c r="AC58" s="73" t="s">
        <v>399</v>
      </c>
      <c r="AD58" s="62" t="str">
        <f t="shared" si="4"/>
        <v>Complete</v>
      </c>
      <c r="AE58" s="62" t="s">
        <v>469</v>
      </c>
      <c r="AF58" s="62"/>
      <c r="AG58" s="62" t="str">
        <f t="shared" si="5"/>
        <v>In progress</v>
      </c>
      <c r="AH58" s="62"/>
      <c r="AI58" s="62"/>
      <c r="AJ58" s="62"/>
      <c r="AK58" s="62"/>
      <c r="AL58" s="62"/>
      <c r="AM58" s="62"/>
      <c r="AN58" s="62"/>
      <c r="AO58" s="62" t="str">
        <f t="shared" si="6"/>
        <v/>
      </c>
    </row>
    <row r="59" spans="1:41" s="18" customFormat="1" ht="32.450000000000003" customHeight="1" x14ac:dyDescent="0.4">
      <c r="A59" s="59">
        <v>52</v>
      </c>
      <c r="B59" s="108" t="s">
        <v>207</v>
      </c>
      <c r="C59" s="108" t="s">
        <v>26</v>
      </c>
      <c r="D59" s="60" t="s">
        <v>24</v>
      </c>
      <c r="E59" s="60" t="s">
        <v>25</v>
      </c>
      <c r="F59" s="60" t="s">
        <v>104</v>
      </c>
      <c r="G59" s="60" t="s">
        <v>512</v>
      </c>
      <c r="H59" s="62">
        <v>9</v>
      </c>
      <c r="I59" s="63">
        <v>214</v>
      </c>
      <c r="J59" s="64">
        <v>16.961724</v>
      </c>
      <c r="K59" s="64">
        <v>102.75342999999999</v>
      </c>
      <c r="L59" s="65" t="s">
        <v>110</v>
      </c>
      <c r="M59" s="65" t="s">
        <v>109</v>
      </c>
      <c r="N59" s="62" t="str">
        <f t="shared" si="0"/>
        <v>Complete</v>
      </c>
      <c r="O59" s="62" t="s">
        <v>124</v>
      </c>
      <c r="P59" s="65" t="s">
        <v>380</v>
      </c>
      <c r="Q59" s="65" t="s">
        <v>380</v>
      </c>
      <c r="R59" s="65" t="str">
        <f t="shared" si="7"/>
        <v>Complete</v>
      </c>
      <c r="S59" s="51" t="s">
        <v>448</v>
      </c>
      <c r="T59" s="65" t="s">
        <v>414</v>
      </c>
      <c r="U59" s="65"/>
      <c r="V59" s="62" t="str">
        <f t="shared" si="2"/>
        <v>In progress</v>
      </c>
      <c r="W59" s="62"/>
      <c r="X59" s="62"/>
      <c r="Y59" s="65" t="s">
        <v>110</v>
      </c>
      <c r="Z59" s="73">
        <v>244145</v>
      </c>
      <c r="AA59" s="65" t="str">
        <f t="shared" si="3"/>
        <v>Complete</v>
      </c>
      <c r="AB59" s="73">
        <v>244206</v>
      </c>
      <c r="AC59" s="73" t="s">
        <v>399</v>
      </c>
      <c r="AD59" s="62" t="str">
        <f t="shared" si="4"/>
        <v>Complete</v>
      </c>
      <c r="AE59" s="62" t="s">
        <v>469</v>
      </c>
      <c r="AF59" s="62"/>
      <c r="AG59" s="62" t="str">
        <f t="shared" si="5"/>
        <v>In progress</v>
      </c>
      <c r="AH59" s="62"/>
      <c r="AI59" s="62"/>
      <c r="AJ59" s="62"/>
      <c r="AK59" s="62"/>
      <c r="AL59" s="62"/>
      <c r="AM59" s="62"/>
      <c r="AN59" s="62"/>
      <c r="AO59" s="62" t="str">
        <f t="shared" si="6"/>
        <v/>
      </c>
    </row>
    <row r="60" spans="1:41" s="18" customFormat="1" ht="32.450000000000003" customHeight="1" x14ac:dyDescent="0.4">
      <c r="A60" s="59">
        <v>53</v>
      </c>
      <c r="B60" s="108" t="s">
        <v>242</v>
      </c>
      <c r="C60" s="108" t="s">
        <v>26</v>
      </c>
      <c r="D60" s="60" t="s">
        <v>24</v>
      </c>
      <c r="E60" s="60" t="s">
        <v>25</v>
      </c>
      <c r="F60" s="60" t="s">
        <v>104</v>
      </c>
      <c r="G60" s="60" t="s">
        <v>512</v>
      </c>
      <c r="H60" s="62">
        <v>9</v>
      </c>
      <c r="I60" s="63">
        <v>216</v>
      </c>
      <c r="J60" s="64">
        <v>16.966857999999998</v>
      </c>
      <c r="K60" s="64">
        <v>102.74177299999999</v>
      </c>
      <c r="L60" s="65" t="s">
        <v>110</v>
      </c>
      <c r="M60" s="65" t="s">
        <v>109</v>
      </c>
      <c r="N60" s="62" t="str">
        <f t="shared" si="0"/>
        <v>Complete</v>
      </c>
      <c r="O60" s="62" t="s">
        <v>124</v>
      </c>
      <c r="P60" s="65" t="s">
        <v>380</v>
      </c>
      <c r="Q60" s="65" t="s">
        <v>380</v>
      </c>
      <c r="R60" s="65" t="str">
        <f t="shared" si="7"/>
        <v>Complete</v>
      </c>
      <c r="S60" s="51" t="s">
        <v>448</v>
      </c>
      <c r="T60" s="65" t="s">
        <v>414</v>
      </c>
      <c r="U60" s="65"/>
      <c r="V60" s="62" t="str">
        <f t="shared" si="2"/>
        <v>In progress</v>
      </c>
      <c r="W60" s="62"/>
      <c r="X60" s="62"/>
      <c r="Y60" s="65" t="s">
        <v>110</v>
      </c>
      <c r="Z60" s="73">
        <v>244145</v>
      </c>
      <c r="AA60" s="65" t="str">
        <f t="shared" si="3"/>
        <v>Complete</v>
      </c>
      <c r="AB60" s="73">
        <v>244206</v>
      </c>
      <c r="AC60" s="73" t="s">
        <v>399</v>
      </c>
      <c r="AD60" s="62" t="str">
        <f t="shared" si="4"/>
        <v>Complete</v>
      </c>
      <c r="AE60" s="62" t="s">
        <v>469</v>
      </c>
      <c r="AF60" s="62"/>
      <c r="AG60" s="62" t="str">
        <f t="shared" si="5"/>
        <v>In progress</v>
      </c>
      <c r="AH60" s="62"/>
      <c r="AI60" s="62"/>
      <c r="AJ60" s="62"/>
      <c r="AK60" s="62"/>
      <c r="AL60" s="62"/>
      <c r="AM60" s="62"/>
      <c r="AN60" s="62"/>
      <c r="AO60" s="62" t="str">
        <f t="shared" si="6"/>
        <v/>
      </c>
    </row>
    <row r="61" spans="1:41" s="18" customFormat="1" ht="32.450000000000003" customHeight="1" x14ac:dyDescent="0.4">
      <c r="A61" s="62">
        <v>54</v>
      </c>
      <c r="B61" s="108" t="s">
        <v>292</v>
      </c>
      <c r="C61" s="108" t="s">
        <v>27</v>
      </c>
      <c r="D61" s="60" t="s">
        <v>24</v>
      </c>
      <c r="E61" s="60" t="s">
        <v>25</v>
      </c>
      <c r="F61" s="60" t="s">
        <v>104</v>
      </c>
      <c r="G61" s="60" t="s">
        <v>512</v>
      </c>
      <c r="H61" s="62">
        <v>9</v>
      </c>
      <c r="I61" s="63">
        <v>225</v>
      </c>
      <c r="J61" s="64">
        <v>17.011050000000001</v>
      </c>
      <c r="K61" s="64">
        <v>102.748608</v>
      </c>
      <c r="L61" s="65" t="s">
        <v>110</v>
      </c>
      <c r="M61" s="65" t="s">
        <v>109</v>
      </c>
      <c r="N61" s="62" t="str">
        <f t="shared" si="0"/>
        <v>Complete</v>
      </c>
      <c r="O61" s="62" t="s">
        <v>124</v>
      </c>
      <c r="P61" s="65" t="s">
        <v>380</v>
      </c>
      <c r="Q61" s="65" t="s">
        <v>380</v>
      </c>
      <c r="R61" s="65" t="str">
        <f t="shared" si="7"/>
        <v>Complete</v>
      </c>
      <c r="S61" s="51" t="s">
        <v>448</v>
      </c>
      <c r="T61" s="65" t="s">
        <v>414</v>
      </c>
      <c r="U61" s="65"/>
      <c r="V61" s="62" t="str">
        <f t="shared" si="2"/>
        <v>In progress</v>
      </c>
      <c r="W61" s="62"/>
      <c r="X61" s="62"/>
      <c r="Y61" s="65" t="s">
        <v>110</v>
      </c>
      <c r="Z61" s="73">
        <v>244145</v>
      </c>
      <c r="AA61" s="65" t="str">
        <f t="shared" si="3"/>
        <v>Complete</v>
      </c>
      <c r="AB61" s="73">
        <v>244206</v>
      </c>
      <c r="AC61" s="73" t="s">
        <v>399</v>
      </c>
      <c r="AD61" s="62" t="str">
        <f t="shared" si="4"/>
        <v>Complete</v>
      </c>
      <c r="AE61" s="62" t="s">
        <v>469</v>
      </c>
      <c r="AF61" s="62"/>
      <c r="AG61" s="62" t="str">
        <f t="shared" si="5"/>
        <v>In progress</v>
      </c>
      <c r="AH61" s="62"/>
      <c r="AI61" s="62"/>
      <c r="AJ61" s="62"/>
      <c r="AK61" s="62"/>
      <c r="AL61" s="62"/>
      <c r="AM61" s="62"/>
      <c r="AN61" s="62"/>
      <c r="AO61" s="62" t="str">
        <f t="shared" si="6"/>
        <v/>
      </c>
    </row>
    <row r="62" spans="1:41" s="18" customFormat="1" ht="32.450000000000003" customHeight="1" x14ac:dyDescent="0.4">
      <c r="A62" s="62">
        <v>55</v>
      </c>
      <c r="B62" s="108" t="s">
        <v>167</v>
      </c>
      <c r="C62" s="108" t="s">
        <v>27</v>
      </c>
      <c r="D62" s="60" t="s">
        <v>24</v>
      </c>
      <c r="E62" s="60" t="s">
        <v>25</v>
      </c>
      <c r="F62" s="60" t="s">
        <v>104</v>
      </c>
      <c r="G62" s="60" t="s">
        <v>512</v>
      </c>
      <c r="H62" s="62">
        <v>9</v>
      </c>
      <c r="I62" s="63">
        <v>253</v>
      </c>
      <c r="J62" s="64">
        <v>17.000993000000001</v>
      </c>
      <c r="K62" s="64">
        <v>102.758323</v>
      </c>
      <c r="L62" s="65" t="s">
        <v>110</v>
      </c>
      <c r="M62" s="65" t="s">
        <v>109</v>
      </c>
      <c r="N62" s="62" t="str">
        <f t="shared" si="0"/>
        <v>Complete</v>
      </c>
      <c r="O62" s="62" t="s">
        <v>124</v>
      </c>
      <c r="P62" s="65" t="s">
        <v>380</v>
      </c>
      <c r="Q62" s="65" t="s">
        <v>380</v>
      </c>
      <c r="R62" s="65" t="str">
        <f t="shared" si="7"/>
        <v>Complete</v>
      </c>
      <c r="S62" s="51" t="s">
        <v>448</v>
      </c>
      <c r="T62" s="65" t="s">
        <v>414</v>
      </c>
      <c r="U62" s="65"/>
      <c r="V62" s="62" t="str">
        <f t="shared" si="2"/>
        <v>In progress</v>
      </c>
      <c r="W62" s="62"/>
      <c r="X62" s="62"/>
      <c r="Y62" s="65" t="s">
        <v>110</v>
      </c>
      <c r="Z62" s="73">
        <v>244145</v>
      </c>
      <c r="AA62" s="65" t="str">
        <f t="shared" si="3"/>
        <v>Complete</v>
      </c>
      <c r="AB62" s="73">
        <v>244206</v>
      </c>
      <c r="AC62" s="73" t="s">
        <v>399</v>
      </c>
      <c r="AD62" s="62" t="str">
        <f t="shared" si="4"/>
        <v>Complete</v>
      </c>
      <c r="AE62" s="62" t="s">
        <v>469</v>
      </c>
      <c r="AF62" s="62"/>
      <c r="AG62" s="62" t="str">
        <f t="shared" si="5"/>
        <v>In progress</v>
      </c>
      <c r="AH62" s="62"/>
      <c r="AI62" s="62"/>
      <c r="AJ62" s="62"/>
      <c r="AK62" s="62"/>
      <c r="AL62" s="62"/>
      <c r="AM62" s="62"/>
      <c r="AN62" s="62"/>
      <c r="AO62" s="62" t="str">
        <f t="shared" si="6"/>
        <v/>
      </c>
    </row>
    <row r="63" spans="1:41" s="18" customFormat="1" ht="32.450000000000003" customHeight="1" x14ac:dyDescent="0.4">
      <c r="A63" s="59">
        <v>56</v>
      </c>
      <c r="B63" s="108" t="s">
        <v>187</v>
      </c>
      <c r="C63" s="108" t="s">
        <v>27</v>
      </c>
      <c r="D63" s="60" t="s">
        <v>24</v>
      </c>
      <c r="E63" s="60" t="s">
        <v>25</v>
      </c>
      <c r="F63" s="60" t="s">
        <v>104</v>
      </c>
      <c r="G63" s="60" t="s">
        <v>512</v>
      </c>
      <c r="H63" s="62">
        <v>9</v>
      </c>
      <c r="I63" s="63">
        <v>228</v>
      </c>
      <c r="J63" s="64">
        <v>17.017863999999999</v>
      </c>
      <c r="K63" s="64">
        <v>102.774529</v>
      </c>
      <c r="L63" s="65" t="s">
        <v>110</v>
      </c>
      <c r="M63" s="65" t="s">
        <v>109</v>
      </c>
      <c r="N63" s="62" t="str">
        <f t="shared" si="0"/>
        <v>Complete</v>
      </c>
      <c r="O63" s="62" t="s">
        <v>124</v>
      </c>
      <c r="P63" s="65" t="s">
        <v>380</v>
      </c>
      <c r="Q63" s="65" t="s">
        <v>380</v>
      </c>
      <c r="R63" s="65" t="str">
        <f t="shared" si="7"/>
        <v>Complete</v>
      </c>
      <c r="S63" s="51" t="s">
        <v>448</v>
      </c>
      <c r="T63" s="65" t="s">
        <v>414</v>
      </c>
      <c r="U63" s="65"/>
      <c r="V63" s="62" t="str">
        <f t="shared" si="2"/>
        <v>In progress</v>
      </c>
      <c r="W63" s="62"/>
      <c r="X63" s="62"/>
      <c r="Y63" s="65" t="s">
        <v>110</v>
      </c>
      <c r="Z63" s="73">
        <v>244145</v>
      </c>
      <c r="AA63" s="65" t="str">
        <f t="shared" si="3"/>
        <v>Complete</v>
      </c>
      <c r="AB63" s="73">
        <v>244206</v>
      </c>
      <c r="AC63" s="73" t="s">
        <v>399</v>
      </c>
      <c r="AD63" s="62" t="str">
        <f t="shared" si="4"/>
        <v>Complete</v>
      </c>
      <c r="AE63" s="62" t="s">
        <v>469</v>
      </c>
      <c r="AF63" s="62"/>
      <c r="AG63" s="62" t="str">
        <f t="shared" si="5"/>
        <v>In progress</v>
      </c>
      <c r="AH63" s="62"/>
      <c r="AI63" s="62"/>
      <c r="AJ63" s="62"/>
      <c r="AK63" s="62"/>
      <c r="AL63" s="62"/>
      <c r="AM63" s="62"/>
      <c r="AN63" s="62"/>
      <c r="AO63" s="62" t="str">
        <f t="shared" si="6"/>
        <v/>
      </c>
    </row>
    <row r="64" spans="1:41" s="18" customFormat="1" ht="32.450000000000003" customHeight="1" x14ac:dyDescent="0.4">
      <c r="A64" s="59">
        <v>57</v>
      </c>
      <c r="B64" s="108" t="s">
        <v>208</v>
      </c>
      <c r="C64" s="108" t="s">
        <v>27</v>
      </c>
      <c r="D64" s="60" t="s">
        <v>24</v>
      </c>
      <c r="E64" s="60" t="s">
        <v>25</v>
      </c>
      <c r="F64" s="60" t="s">
        <v>104</v>
      </c>
      <c r="G64" s="60" t="s">
        <v>512</v>
      </c>
      <c r="H64" s="62">
        <v>18</v>
      </c>
      <c r="I64" s="63">
        <v>228</v>
      </c>
      <c r="J64" s="64">
        <v>17.010202</v>
      </c>
      <c r="K64" s="64">
        <v>102.761785</v>
      </c>
      <c r="L64" s="65" t="s">
        <v>110</v>
      </c>
      <c r="M64" s="65" t="s">
        <v>109</v>
      </c>
      <c r="N64" s="62" t="str">
        <f t="shared" si="0"/>
        <v>Complete</v>
      </c>
      <c r="O64" s="62" t="s">
        <v>124</v>
      </c>
      <c r="P64" s="65" t="s">
        <v>385</v>
      </c>
      <c r="Q64" s="65" t="s">
        <v>385</v>
      </c>
      <c r="R64" s="65" t="str">
        <f t="shared" si="7"/>
        <v>Complete</v>
      </c>
      <c r="S64" s="51" t="s">
        <v>448</v>
      </c>
      <c r="T64" s="65" t="s">
        <v>414</v>
      </c>
      <c r="U64" s="65"/>
      <c r="V64" s="62" t="str">
        <f t="shared" si="2"/>
        <v>In progress</v>
      </c>
      <c r="W64" s="62"/>
      <c r="X64" s="62"/>
      <c r="Y64" s="65" t="s">
        <v>399</v>
      </c>
      <c r="Z64" s="75" t="s">
        <v>420</v>
      </c>
      <c r="AA64" s="65" t="str">
        <f t="shared" si="3"/>
        <v>Complete</v>
      </c>
      <c r="AB64" s="62" t="s">
        <v>418</v>
      </c>
      <c r="AC64" s="62" t="s">
        <v>447</v>
      </c>
      <c r="AD64" s="62" t="str">
        <f t="shared" si="4"/>
        <v>Complete</v>
      </c>
      <c r="AE64" s="73">
        <v>244470</v>
      </c>
      <c r="AF64" s="73">
        <v>244470</v>
      </c>
      <c r="AG64" s="62" t="str">
        <f t="shared" si="5"/>
        <v>Complete</v>
      </c>
      <c r="AH64" s="62"/>
      <c r="AI64" s="62" t="s">
        <v>451</v>
      </c>
      <c r="AJ64" s="73" t="s">
        <v>461</v>
      </c>
      <c r="AK64" s="62"/>
      <c r="AL64" s="62"/>
      <c r="AM64" s="62"/>
      <c r="AN64" s="62"/>
      <c r="AO64" s="62" t="str">
        <f t="shared" si="6"/>
        <v/>
      </c>
    </row>
    <row r="65" spans="1:41" s="18" customFormat="1" ht="32.450000000000003" customHeight="1" x14ac:dyDescent="0.4">
      <c r="A65" s="59">
        <v>58</v>
      </c>
      <c r="B65" s="108" t="s">
        <v>226</v>
      </c>
      <c r="C65" s="108" t="s">
        <v>27</v>
      </c>
      <c r="D65" s="60" t="s">
        <v>24</v>
      </c>
      <c r="E65" s="60" t="s">
        <v>25</v>
      </c>
      <c r="F65" s="60" t="s">
        <v>104</v>
      </c>
      <c r="G65" s="60" t="s">
        <v>512</v>
      </c>
      <c r="H65" s="62">
        <v>9</v>
      </c>
      <c r="I65" s="63">
        <v>199</v>
      </c>
      <c r="J65" s="64">
        <v>16.990219</v>
      </c>
      <c r="K65" s="64">
        <v>102.738676</v>
      </c>
      <c r="L65" s="65" t="s">
        <v>110</v>
      </c>
      <c r="M65" s="65" t="s">
        <v>109</v>
      </c>
      <c r="N65" s="62" t="str">
        <f t="shared" si="0"/>
        <v>Complete</v>
      </c>
      <c r="O65" s="62" t="s">
        <v>124</v>
      </c>
      <c r="P65" s="65" t="s">
        <v>380</v>
      </c>
      <c r="Q65" s="65" t="s">
        <v>380</v>
      </c>
      <c r="R65" s="65" t="str">
        <f t="shared" si="7"/>
        <v>Complete</v>
      </c>
      <c r="S65" s="51" t="s">
        <v>448</v>
      </c>
      <c r="T65" s="65" t="s">
        <v>414</v>
      </c>
      <c r="U65" s="65"/>
      <c r="V65" s="62" t="str">
        <f t="shared" si="2"/>
        <v>In progress</v>
      </c>
      <c r="W65" s="62"/>
      <c r="X65" s="62"/>
      <c r="Y65" s="65" t="s">
        <v>110</v>
      </c>
      <c r="Z65" s="73">
        <v>244145</v>
      </c>
      <c r="AA65" s="65" t="str">
        <f t="shared" si="3"/>
        <v>Complete</v>
      </c>
      <c r="AB65" s="73">
        <v>244206</v>
      </c>
      <c r="AC65" s="73" t="s">
        <v>399</v>
      </c>
      <c r="AD65" s="62" t="str">
        <f t="shared" si="4"/>
        <v>Complete</v>
      </c>
      <c r="AE65" s="62" t="s">
        <v>469</v>
      </c>
      <c r="AF65" s="62"/>
      <c r="AG65" s="62" t="str">
        <f t="shared" si="5"/>
        <v>In progress</v>
      </c>
      <c r="AH65" s="62"/>
      <c r="AI65" s="62"/>
      <c r="AJ65" s="62"/>
      <c r="AK65" s="62"/>
      <c r="AL65" s="62"/>
      <c r="AM65" s="62"/>
      <c r="AN65" s="62"/>
      <c r="AO65" s="62" t="str">
        <f t="shared" si="6"/>
        <v/>
      </c>
    </row>
    <row r="66" spans="1:41" s="18" customFormat="1" ht="32.450000000000003" customHeight="1" x14ac:dyDescent="0.4">
      <c r="A66" s="62">
        <v>59</v>
      </c>
      <c r="B66" s="108" t="s">
        <v>293</v>
      </c>
      <c r="C66" s="108" t="s">
        <v>28</v>
      </c>
      <c r="D66" s="60" t="s">
        <v>29</v>
      </c>
      <c r="E66" s="60" t="s">
        <v>25</v>
      </c>
      <c r="F66" s="60" t="s">
        <v>104</v>
      </c>
      <c r="G66" s="60" t="s">
        <v>302</v>
      </c>
      <c r="H66" s="62">
        <v>9</v>
      </c>
      <c r="I66" s="63">
        <v>187</v>
      </c>
      <c r="J66" s="64">
        <v>16.832519999999999</v>
      </c>
      <c r="K66" s="64">
        <v>102.713399</v>
      </c>
      <c r="L66" s="65" t="s">
        <v>110</v>
      </c>
      <c r="M66" s="65" t="s">
        <v>377</v>
      </c>
      <c r="N66" s="62" t="str">
        <f t="shared" si="0"/>
        <v>Complete</v>
      </c>
      <c r="O66" s="62" t="s">
        <v>124</v>
      </c>
      <c r="P66" s="65" t="s">
        <v>380</v>
      </c>
      <c r="Q66" s="65" t="s">
        <v>380</v>
      </c>
      <c r="R66" s="65" t="str">
        <f t="shared" si="7"/>
        <v>Complete</v>
      </c>
      <c r="S66" s="51" t="s">
        <v>448</v>
      </c>
      <c r="T66" s="65" t="s">
        <v>415</v>
      </c>
      <c r="U66" s="65"/>
      <c r="V66" s="62" t="str">
        <f t="shared" si="2"/>
        <v>In progress</v>
      </c>
      <c r="W66" s="62"/>
      <c r="X66" s="62"/>
      <c r="Y66" s="65" t="s">
        <v>110</v>
      </c>
      <c r="Z66" s="73">
        <v>244145</v>
      </c>
      <c r="AA66" s="65" t="str">
        <f t="shared" si="3"/>
        <v>Complete</v>
      </c>
      <c r="AB66" s="73">
        <v>244206</v>
      </c>
      <c r="AC66" s="73" t="s">
        <v>399</v>
      </c>
      <c r="AD66" s="62" t="str">
        <f t="shared" si="4"/>
        <v>Complete</v>
      </c>
      <c r="AE66" s="62" t="s">
        <v>469</v>
      </c>
      <c r="AF66" s="62"/>
      <c r="AG66" s="62" t="str">
        <f t="shared" si="5"/>
        <v>In progress</v>
      </c>
      <c r="AH66" s="62"/>
      <c r="AI66" s="62"/>
      <c r="AJ66" s="62"/>
      <c r="AK66" s="62"/>
      <c r="AL66" s="62"/>
      <c r="AM66" s="62"/>
      <c r="AN66" s="62"/>
      <c r="AO66" s="62" t="str">
        <f t="shared" si="6"/>
        <v/>
      </c>
    </row>
    <row r="67" spans="1:41" s="18" customFormat="1" ht="32.450000000000003" customHeight="1" x14ac:dyDescent="0.4">
      <c r="A67" s="62">
        <v>60</v>
      </c>
      <c r="B67" s="108" t="s">
        <v>168</v>
      </c>
      <c r="C67" s="108" t="s">
        <v>28</v>
      </c>
      <c r="D67" s="60" t="s">
        <v>29</v>
      </c>
      <c r="E67" s="60" t="s">
        <v>25</v>
      </c>
      <c r="F67" s="60" t="s">
        <v>104</v>
      </c>
      <c r="G67" s="60" t="s">
        <v>512</v>
      </c>
      <c r="H67" s="62">
        <v>9</v>
      </c>
      <c r="I67" s="63">
        <v>161</v>
      </c>
      <c r="J67" s="64">
        <v>16.860218</v>
      </c>
      <c r="K67" s="64">
        <v>102.684577</v>
      </c>
      <c r="L67" s="65" t="s">
        <v>110</v>
      </c>
      <c r="M67" s="65" t="s">
        <v>377</v>
      </c>
      <c r="N67" s="62" t="str">
        <f t="shared" si="0"/>
        <v>Complete</v>
      </c>
      <c r="O67" s="62" t="s">
        <v>124</v>
      </c>
      <c r="P67" s="65" t="s">
        <v>380</v>
      </c>
      <c r="Q67" s="65" t="s">
        <v>380</v>
      </c>
      <c r="R67" s="65" t="str">
        <f t="shared" si="7"/>
        <v>Complete</v>
      </c>
      <c r="S67" s="51" t="s">
        <v>448</v>
      </c>
      <c r="T67" s="65" t="s">
        <v>415</v>
      </c>
      <c r="U67" s="65"/>
      <c r="V67" s="62" t="str">
        <f t="shared" si="2"/>
        <v>In progress</v>
      </c>
      <c r="W67" s="62"/>
      <c r="X67" s="62"/>
      <c r="Y67" s="65" t="s">
        <v>110</v>
      </c>
      <c r="Z67" s="73">
        <v>244145</v>
      </c>
      <c r="AA67" s="65" t="str">
        <f t="shared" si="3"/>
        <v>Complete</v>
      </c>
      <c r="AB67" s="73">
        <v>244206</v>
      </c>
      <c r="AC67" s="73" t="s">
        <v>399</v>
      </c>
      <c r="AD67" s="62" t="str">
        <f t="shared" si="4"/>
        <v>Complete</v>
      </c>
      <c r="AE67" s="62" t="s">
        <v>469</v>
      </c>
      <c r="AF67" s="62"/>
      <c r="AG67" s="62" t="str">
        <f t="shared" si="5"/>
        <v>In progress</v>
      </c>
      <c r="AH67" s="62"/>
      <c r="AI67" s="62"/>
      <c r="AJ67" s="62"/>
      <c r="AK67" s="62"/>
      <c r="AL67" s="62"/>
      <c r="AM67" s="62"/>
      <c r="AN67" s="62"/>
      <c r="AO67" s="62" t="str">
        <f t="shared" si="6"/>
        <v/>
      </c>
    </row>
    <row r="68" spans="1:41" s="18" customFormat="1" ht="32.450000000000003" customHeight="1" x14ac:dyDescent="0.4">
      <c r="A68" s="59">
        <v>61</v>
      </c>
      <c r="B68" s="108" t="s">
        <v>188</v>
      </c>
      <c r="C68" s="108" t="s">
        <v>28</v>
      </c>
      <c r="D68" s="60" t="s">
        <v>29</v>
      </c>
      <c r="E68" s="60" t="s">
        <v>25</v>
      </c>
      <c r="F68" s="60" t="s">
        <v>104</v>
      </c>
      <c r="G68" s="60" t="s">
        <v>512</v>
      </c>
      <c r="H68" s="62">
        <v>9</v>
      </c>
      <c r="I68" s="63">
        <v>196</v>
      </c>
      <c r="J68" s="64">
        <v>16.829919</v>
      </c>
      <c r="K68" s="64">
        <v>102.715727</v>
      </c>
      <c r="L68" s="65" t="s">
        <v>110</v>
      </c>
      <c r="M68" s="65" t="s">
        <v>377</v>
      </c>
      <c r="N68" s="62" t="str">
        <f t="shared" si="0"/>
        <v>Complete</v>
      </c>
      <c r="O68" s="62" t="s">
        <v>124</v>
      </c>
      <c r="P68" s="65" t="s">
        <v>380</v>
      </c>
      <c r="Q68" s="65" t="s">
        <v>380</v>
      </c>
      <c r="R68" s="65" t="str">
        <f t="shared" si="7"/>
        <v>Complete</v>
      </c>
      <c r="S68" s="51" t="s">
        <v>448</v>
      </c>
      <c r="T68" s="65" t="s">
        <v>415</v>
      </c>
      <c r="U68" s="65"/>
      <c r="V68" s="62" t="str">
        <f t="shared" si="2"/>
        <v>In progress</v>
      </c>
      <c r="W68" s="62"/>
      <c r="X68" s="62"/>
      <c r="Y68" s="65" t="s">
        <v>110</v>
      </c>
      <c r="Z68" s="73">
        <v>244145</v>
      </c>
      <c r="AA68" s="65" t="str">
        <f t="shared" si="3"/>
        <v>Complete</v>
      </c>
      <c r="AB68" s="73">
        <v>244206</v>
      </c>
      <c r="AC68" s="73" t="s">
        <v>399</v>
      </c>
      <c r="AD68" s="62" t="str">
        <f t="shared" si="4"/>
        <v>Complete</v>
      </c>
      <c r="AE68" s="62" t="s">
        <v>469</v>
      </c>
      <c r="AF68" s="62"/>
      <c r="AG68" s="62" t="str">
        <f t="shared" si="5"/>
        <v>In progress</v>
      </c>
      <c r="AH68" s="62"/>
      <c r="AI68" s="62"/>
      <c r="AJ68" s="62"/>
      <c r="AK68" s="62"/>
      <c r="AL68" s="62"/>
      <c r="AM68" s="62"/>
      <c r="AN68" s="62"/>
      <c r="AO68" s="62" t="str">
        <f t="shared" si="6"/>
        <v/>
      </c>
    </row>
    <row r="69" spans="1:41" s="18" customFormat="1" ht="32.450000000000003" customHeight="1" x14ac:dyDescent="0.4">
      <c r="A69" s="59">
        <v>62</v>
      </c>
      <c r="B69" s="108" t="s">
        <v>169</v>
      </c>
      <c r="C69" s="108" t="s">
        <v>28</v>
      </c>
      <c r="D69" s="60" t="s">
        <v>29</v>
      </c>
      <c r="E69" s="60" t="s">
        <v>25</v>
      </c>
      <c r="F69" s="60" t="s">
        <v>104</v>
      </c>
      <c r="G69" s="60" t="s">
        <v>512</v>
      </c>
      <c r="H69" s="62">
        <v>9</v>
      </c>
      <c r="I69" s="63">
        <v>188</v>
      </c>
      <c r="J69" s="64">
        <v>16.865314000000001</v>
      </c>
      <c r="K69" s="64">
        <v>102.69628</v>
      </c>
      <c r="L69" s="65" t="s">
        <v>110</v>
      </c>
      <c r="M69" s="65" t="s">
        <v>377</v>
      </c>
      <c r="N69" s="62" t="str">
        <f t="shared" si="0"/>
        <v>Complete</v>
      </c>
      <c r="O69" s="62" t="s">
        <v>124</v>
      </c>
      <c r="P69" s="65" t="s">
        <v>380</v>
      </c>
      <c r="Q69" s="65" t="s">
        <v>380</v>
      </c>
      <c r="R69" s="65" t="str">
        <f t="shared" si="7"/>
        <v>Complete</v>
      </c>
      <c r="S69" s="51" t="s">
        <v>448</v>
      </c>
      <c r="T69" s="65" t="s">
        <v>415</v>
      </c>
      <c r="U69" s="65"/>
      <c r="V69" s="62" t="str">
        <f t="shared" si="2"/>
        <v>In progress</v>
      </c>
      <c r="W69" s="62"/>
      <c r="X69" s="62"/>
      <c r="Y69" s="65" t="s">
        <v>110</v>
      </c>
      <c r="Z69" s="73">
        <v>244145</v>
      </c>
      <c r="AA69" s="65" t="str">
        <f t="shared" si="3"/>
        <v>Complete</v>
      </c>
      <c r="AB69" s="73">
        <v>244206</v>
      </c>
      <c r="AC69" s="73" t="s">
        <v>399</v>
      </c>
      <c r="AD69" s="62" t="str">
        <f t="shared" si="4"/>
        <v>Complete</v>
      </c>
      <c r="AE69" s="62" t="s">
        <v>469</v>
      </c>
      <c r="AF69" s="62"/>
      <c r="AG69" s="62" t="str">
        <f t="shared" si="5"/>
        <v>In progress</v>
      </c>
      <c r="AH69" s="62"/>
      <c r="AI69" s="62"/>
      <c r="AJ69" s="62"/>
      <c r="AK69" s="62"/>
      <c r="AL69" s="62"/>
      <c r="AM69" s="62"/>
      <c r="AN69" s="62"/>
      <c r="AO69" s="62" t="str">
        <f t="shared" si="6"/>
        <v/>
      </c>
    </row>
    <row r="70" spans="1:41" s="18" customFormat="1" ht="32.450000000000003" customHeight="1" x14ac:dyDescent="0.4">
      <c r="A70" s="59">
        <v>63</v>
      </c>
      <c r="B70" s="108" t="s">
        <v>209</v>
      </c>
      <c r="C70" s="108" t="s">
        <v>28</v>
      </c>
      <c r="D70" s="60" t="s">
        <v>29</v>
      </c>
      <c r="E70" s="60" t="s">
        <v>25</v>
      </c>
      <c r="F70" s="60" t="s">
        <v>104</v>
      </c>
      <c r="G70" s="60" t="s">
        <v>512</v>
      </c>
      <c r="H70" s="62">
        <v>9</v>
      </c>
      <c r="I70" s="63">
        <v>200</v>
      </c>
      <c r="J70" s="64">
        <v>16.882373999999999</v>
      </c>
      <c r="K70" s="64">
        <v>102.678346</v>
      </c>
      <c r="L70" s="65" t="s">
        <v>110</v>
      </c>
      <c r="M70" s="65" t="s">
        <v>377</v>
      </c>
      <c r="N70" s="62" t="str">
        <f t="shared" si="0"/>
        <v>Complete</v>
      </c>
      <c r="O70" s="62" t="s">
        <v>124</v>
      </c>
      <c r="P70" s="65" t="s">
        <v>380</v>
      </c>
      <c r="Q70" s="65" t="s">
        <v>380</v>
      </c>
      <c r="R70" s="65" t="str">
        <f t="shared" si="7"/>
        <v>Complete</v>
      </c>
      <c r="S70" s="51" t="s">
        <v>448</v>
      </c>
      <c r="T70" s="65" t="s">
        <v>415</v>
      </c>
      <c r="U70" s="65"/>
      <c r="V70" s="62" t="str">
        <f t="shared" si="2"/>
        <v>In progress</v>
      </c>
      <c r="W70" s="62"/>
      <c r="X70" s="62"/>
      <c r="Y70" s="65" t="s">
        <v>110</v>
      </c>
      <c r="Z70" s="73">
        <v>244145</v>
      </c>
      <c r="AA70" s="65" t="str">
        <f t="shared" si="3"/>
        <v>Complete</v>
      </c>
      <c r="AB70" s="73">
        <v>244206</v>
      </c>
      <c r="AC70" s="73" t="s">
        <v>399</v>
      </c>
      <c r="AD70" s="62" t="str">
        <f t="shared" si="4"/>
        <v>Complete</v>
      </c>
      <c r="AE70" s="62" t="s">
        <v>469</v>
      </c>
      <c r="AF70" s="62"/>
      <c r="AG70" s="62" t="str">
        <f t="shared" si="5"/>
        <v>In progress</v>
      </c>
      <c r="AH70" s="62"/>
      <c r="AI70" s="62"/>
      <c r="AJ70" s="62"/>
      <c r="AK70" s="62"/>
      <c r="AL70" s="62"/>
      <c r="AM70" s="62"/>
      <c r="AN70" s="62"/>
      <c r="AO70" s="62" t="str">
        <f t="shared" si="6"/>
        <v/>
      </c>
    </row>
    <row r="71" spans="1:41" s="18" customFormat="1" ht="32.450000000000003" customHeight="1" x14ac:dyDescent="0.4">
      <c r="A71" s="62">
        <v>64</v>
      </c>
      <c r="B71" s="108" t="s">
        <v>283</v>
      </c>
      <c r="C71" s="108" t="s">
        <v>28</v>
      </c>
      <c r="D71" s="60" t="s">
        <v>29</v>
      </c>
      <c r="E71" s="60" t="s">
        <v>25</v>
      </c>
      <c r="F71" s="60" t="s">
        <v>104</v>
      </c>
      <c r="G71" s="60" t="s">
        <v>305</v>
      </c>
      <c r="H71" s="62">
        <v>9</v>
      </c>
      <c r="I71" s="63">
        <v>192</v>
      </c>
      <c r="J71" s="64">
        <v>16.833563999999999</v>
      </c>
      <c r="K71" s="64">
        <v>102.710701</v>
      </c>
      <c r="L71" s="65" t="s">
        <v>110</v>
      </c>
      <c r="M71" s="65" t="s">
        <v>377</v>
      </c>
      <c r="N71" s="62" t="str">
        <f t="shared" si="0"/>
        <v>Complete</v>
      </c>
      <c r="O71" s="62" t="s">
        <v>124</v>
      </c>
      <c r="P71" s="65" t="s">
        <v>380</v>
      </c>
      <c r="Q71" s="65" t="s">
        <v>380</v>
      </c>
      <c r="R71" s="65" t="str">
        <f t="shared" si="7"/>
        <v>Complete</v>
      </c>
      <c r="S71" s="51" t="s">
        <v>448</v>
      </c>
      <c r="T71" s="65" t="s">
        <v>415</v>
      </c>
      <c r="U71" s="65"/>
      <c r="V71" s="62" t="str">
        <f t="shared" si="2"/>
        <v>In progress</v>
      </c>
      <c r="W71" s="62"/>
      <c r="X71" s="62"/>
      <c r="Y71" s="65" t="s">
        <v>110</v>
      </c>
      <c r="Z71" s="73">
        <v>244145</v>
      </c>
      <c r="AA71" s="65" t="str">
        <f t="shared" si="3"/>
        <v>Complete</v>
      </c>
      <c r="AB71" s="73">
        <v>244206</v>
      </c>
      <c r="AC71" s="73" t="s">
        <v>399</v>
      </c>
      <c r="AD71" s="62" t="str">
        <f t="shared" si="4"/>
        <v>Complete</v>
      </c>
      <c r="AE71" s="62" t="s">
        <v>469</v>
      </c>
      <c r="AF71" s="62"/>
      <c r="AG71" s="62" t="str">
        <f t="shared" si="5"/>
        <v>In progress</v>
      </c>
      <c r="AH71" s="62"/>
      <c r="AI71" s="62"/>
      <c r="AJ71" s="62"/>
      <c r="AK71" s="62"/>
      <c r="AL71" s="62"/>
      <c r="AM71" s="62"/>
      <c r="AN71" s="62"/>
      <c r="AO71" s="62" t="str">
        <f t="shared" si="6"/>
        <v/>
      </c>
    </row>
    <row r="72" spans="1:41" s="18" customFormat="1" ht="32.450000000000003" customHeight="1" x14ac:dyDescent="0.4">
      <c r="A72" s="62">
        <v>65</v>
      </c>
      <c r="B72" s="108" t="s">
        <v>150</v>
      </c>
      <c r="C72" s="108" t="s">
        <v>30</v>
      </c>
      <c r="D72" s="60" t="s">
        <v>29</v>
      </c>
      <c r="E72" s="60" t="s">
        <v>25</v>
      </c>
      <c r="F72" s="60" t="s">
        <v>104</v>
      </c>
      <c r="G72" s="60" t="s">
        <v>512</v>
      </c>
      <c r="H72" s="62">
        <v>9</v>
      </c>
      <c r="I72" s="63">
        <v>174</v>
      </c>
      <c r="J72" s="64">
        <v>16.916338</v>
      </c>
      <c r="K72" s="64">
        <v>102.72644</v>
      </c>
      <c r="L72" s="65" t="s">
        <v>110</v>
      </c>
      <c r="M72" s="65" t="s">
        <v>135</v>
      </c>
      <c r="N72" s="62" t="str">
        <f t="shared" ref="N72:N136" si="8">IF(M72&lt;&gt;"", "Complete", IF(L72&lt;&gt;"", "In progress", ""))</f>
        <v>Complete</v>
      </c>
      <c r="O72" s="62" t="s">
        <v>124</v>
      </c>
      <c r="P72" s="65" t="s">
        <v>380</v>
      </c>
      <c r="Q72" s="65" t="s">
        <v>380</v>
      </c>
      <c r="R72" s="65" t="str">
        <f t="shared" ref="R72:R103" si="9">IF(
  AND(
     OR(H72=9,H72=18,H72=30),
     OR(F72="ภาคเหนือ",F72="ภาคใต้",F72="ภาคตะวันออก",F72="ภาคตะวันตก",F72="ภาคตะวันออกเฉียงเหนือ")
  ),
  IF(Q72&lt;&gt;"","Complete",IF(P72&lt;&gt;"","In progress","")),
  "-"
)</f>
        <v>Complete</v>
      </c>
      <c r="S72" s="51" t="s">
        <v>448</v>
      </c>
      <c r="T72" s="65" t="s">
        <v>416</v>
      </c>
      <c r="U72" s="65"/>
      <c r="V72" s="62" t="str">
        <f t="shared" ref="V72:V136" si="10">IF(U72&lt;&gt;"", "Complete", IF(T72&lt;&gt;"", "In progress", ""))</f>
        <v>In progress</v>
      </c>
      <c r="W72" s="62"/>
      <c r="X72" s="62"/>
      <c r="Y72" s="65" t="s">
        <v>110</v>
      </c>
      <c r="Z72" s="73">
        <v>244145</v>
      </c>
      <c r="AA72" s="65" t="str">
        <f t="shared" ref="AA72:AA136" si="11">IF(Z72&lt;&gt;"", "Complete", IF(Y72&lt;&gt;"", "In progress", ""))</f>
        <v>Complete</v>
      </c>
      <c r="AB72" s="73">
        <v>244206</v>
      </c>
      <c r="AC72" s="73" t="s">
        <v>399</v>
      </c>
      <c r="AD72" s="62" t="str">
        <f t="shared" ref="AD72:AD136" si="12">IF(AC72&lt;&gt;"", "Complete", IF(AB72&lt;&gt;"", "In progress", ""))</f>
        <v>Complete</v>
      </c>
      <c r="AE72" s="62" t="s">
        <v>469</v>
      </c>
      <c r="AF72" s="62"/>
      <c r="AG72" s="62" t="str">
        <f t="shared" ref="AG72:AG136" si="13">IF(AF72&lt;&gt;"", "Complete", IF(AE72&lt;&gt;"", "In progress", ""))</f>
        <v>In progress</v>
      </c>
      <c r="AH72" s="62"/>
      <c r="AI72" s="62"/>
      <c r="AJ72" s="62"/>
      <c r="AK72" s="62"/>
      <c r="AL72" s="62"/>
      <c r="AM72" s="62"/>
      <c r="AN72" s="62"/>
      <c r="AO72" s="62" t="str">
        <f t="shared" ref="AO72:AO136" si="14">IF(AL72&lt;&gt;"", "Complete", IF(AK72&lt;&gt;"", "In progress", ""))</f>
        <v/>
      </c>
    </row>
    <row r="73" spans="1:41" s="18" customFormat="1" ht="32.450000000000003" customHeight="1" x14ac:dyDescent="0.4">
      <c r="A73" s="59">
        <v>66</v>
      </c>
      <c r="B73" s="108" t="s">
        <v>445</v>
      </c>
      <c r="C73" s="108" t="s">
        <v>30</v>
      </c>
      <c r="D73" s="60" t="s">
        <v>29</v>
      </c>
      <c r="E73" s="60" t="s">
        <v>25</v>
      </c>
      <c r="F73" s="60" t="s">
        <v>104</v>
      </c>
      <c r="G73" s="60" t="s">
        <v>512</v>
      </c>
      <c r="H73" s="62">
        <v>9</v>
      </c>
      <c r="I73" s="63">
        <v>205</v>
      </c>
      <c r="J73" s="64">
        <v>16.922744999999999</v>
      </c>
      <c r="K73" s="64">
        <v>102.731572</v>
      </c>
      <c r="L73" s="65" t="s">
        <v>110</v>
      </c>
      <c r="M73" s="65" t="s">
        <v>111</v>
      </c>
      <c r="N73" s="62" t="str">
        <f t="shared" si="8"/>
        <v>Complete</v>
      </c>
      <c r="O73" s="62" t="s">
        <v>124</v>
      </c>
      <c r="P73" s="65" t="s">
        <v>380</v>
      </c>
      <c r="Q73" s="65" t="s">
        <v>380</v>
      </c>
      <c r="R73" s="65" t="str">
        <f t="shared" si="9"/>
        <v>Complete</v>
      </c>
      <c r="S73" s="51" t="s">
        <v>448</v>
      </c>
      <c r="T73" s="65" t="s">
        <v>417</v>
      </c>
      <c r="U73" s="65"/>
      <c r="V73" s="62" t="str">
        <f t="shared" si="10"/>
        <v>In progress</v>
      </c>
      <c r="W73" s="62"/>
      <c r="X73" s="62"/>
      <c r="Y73" s="65" t="s">
        <v>110</v>
      </c>
      <c r="Z73" s="73">
        <v>244145</v>
      </c>
      <c r="AA73" s="65" t="str">
        <f t="shared" si="11"/>
        <v>Complete</v>
      </c>
      <c r="AB73" s="73">
        <v>244206</v>
      </c>
      <c r="AC73" s="73" t="s">
        <v>399</v>
      </c>
      <c r="AD73" s="62" t="str">
        <f t="shared" si="12"/>
        <v>Complete</v>
      </c>
      <c r="AE73" s="62" t="s">
        <v>469</v>
      </c>
      <c r="AF73" s="62"/>
      <c r="AG73" s="62" t="str">
        <f t="shared" si="13"/>
        <v>In progress</v>
      </c>
      <c r="AH73" s="62"/>
      <c r="AI73" s="62"/>
      <c r="AJ73" s="62"/>
      <c r="AK73" s="62"/>
      <c r="AL73" s="62"/>
      <c r="AM73" s="62"/>
      <c r="AN73" s="62"/>
      <c r="AO73" s="62" t="str">
        <f t="shared" si="14"/>
        <v/>
      </c>
    </row>
    <row r="74" spans="1:41" s="18" customFormat="1" ht="32.450000000000003" customHeight="1" x14ac:dyDescent="0.4">
      <c r="A74" s="59">
        <v>67</v>
      </c>
      <c r="B74" s="108" t="s">
        <v>170</v>
      </c>
      <c r="C74" s="108" t="s">
        <v>30</v>
      </c>
      <c r="D74" s="60" t="s">
        <v>29</v>
      </c>
      <c r="E74" s="60" t="s">
        <v>25</v>
      </c>
      <c r="F74" s="60" t="s">
        <v>104</v>
      </c>
      <c r="G74" s="60" t="s">
        <v>512</v>
      </c>
      <c r="H74" s="62">
        <v>9</v>
      </c>
      <c r="I74" s="63">
        <v>198</v>
      </c>
      <c r="J74" s="64">
        <v>16.918013999999999</v>
      </c>
      <c r="K74" s="64">
        <v>102.73258800000001</v>
      </c>
      <c r="L74" s="65" t="s">
        <v>110</v>
      </c>
      <c r="M74" s="65" t="s">
        <v>135</v>
      </c>
      <c r="N74" s="62" t="str">
        <f t="shared" si="8"/>
        <v>Complete</v>
      </c>
      <c r="O74" s="62" t="s">
        <v>124</v>
      </c>
      <c r="P74" s="65" t="s">
        <v>380</v>
      </c>
      <c r="Q74" s="65" t="s">
        <v>380</v>
      </c>
      <c r="R74" s="65" t="str">
        <f t="shared" si="9"/>
        <v>Complete</v>
      </c>
      <c r="S74" s="51" t="s">
        <v>448</v>
      </c>
      <c r="T74" s="65" t="s">
        <v>416</v>
      </c>
      <c r="U74" s="65"/>
      <c r="V74" s="62" t="str">
        <f t="shared" si="10"/>
        <v>In progress</v>
      </c>
      <c r="W74" s="62"/>
      <c r="X74" s="62"/>
      <c r="Y74" s="65" t="s">
        <v>110</v>
      </c>
      <c r="Z74" s="73">
        <v>244145</v>
      </c>
      <c r="AA74" s="65" t="str">
        <f t="shared" si="11"/>
        <v>Complete</v>
      </c>
      <c r="AB74" s="73">
        <v>244206</v>
      </c>
      <c r="AC74" s="73" t="s">
        <v>399</v>
      </c>
      <c r="AD74" s="62" t="str">
        <f t="shared" si="12"/>
        <v>Complete</v>
      </c>
      <c r="AE74" s="62" t="s">
        <v>469</v>
      </c>
      <c r="AF74" s="62"/>
      <c r="AG74" s="62" t="str">
        <f t="shared" si="13"/>
        <v>In progress</v>
      </c>
      <c r="AH74" s="62"/>
      <c r="AI74" s="62"/>
      <c r="AJ74" s="62"/>
      <c r="AK74" s="62"/>
      <c r="AL74" s="62"/>
      <c r="AM74" s="62"/>
      <c r="AN74" s="62"/>
      <c r="AO74" s="62" t="str">
        <f t="shared" si="14"/>
        <v/>
      </c>
    </row>
    <row r="75" spans="1:41" s="18" customFormat="1" ht="32.450000000000003" customHeight="1" x14ac:dyDescent="0.4">
      <c r="A75" s="59">
        <v>68</v>
      </c>
      <c r="B75" s="108" t="s">
        <v>189</v>
      </c>
      <c r="C75" s="108" t="s">
        <v>30</v>
      </c>
      <c r="D75" s="60" t="s">
        <v>29</v>
      </c>
      <c r="E75" s="60" t="s">
        <v>25</v>
      </c>
      <c r="F75" s="60" t="s">
        <v>104</v>
      </c>
      <c r="G75" s="60" t="s">
        <v>512</v>
      </c>
      <c r="H75" s="62">
        <v>9</v>
      </c>
      <c r="I75" s="63">
        <v>204</v>
      </c>
      <c r="J75" s="64">
        <v>16.88129</v>
      </c>
      <c r="K75" s="64">
        <v>102.692133</v>
      </c>
      <c r="L75" s="65" t="s">
        <v>110</v>
      </c>
      <c r="M75" s="65" t="s">
        <v>111</v>
      </c>
      <c r="N75" s="62" t="str">
        <f t="shared" si="8"/>
        <v>Complete</v>
      </c>
      <c r="O75" s="62" t="s">
        <v>124</v>
      </c>
      <c r="P75" s="65" t="s">
        <v>380</v>
      </c>
      <c r="Q75" s="65" t="s">
        <v>380</v>
      </c>
      <c r="R75" s="65" t="str">
        <f t="shared" si="9"/>
        <v>Complete</v>
      </c>
      <c r="S75" s="51" t="s">
        <v>448</v>
      </c>
      <c r="T75" s="65" t="s">
        <v>417</v>
      </c>
      <c r="U75" s="65"/>
      <c r="V75" s="62" t="str">
        <f t="shared" si="10"/>
        <v>In progress</v>
      </c>
      <c r="W75" s="62"/>
      <c r="X75" s="62"/>
      <c r="Y75" s="65" t="s">
        <v>110</v>
      </c>
      <c r="Z75" s="73">
        <v>244145</v>
      </c>
      <c r="AA75" s="65" t="str">
        <f t="shared" si="11"/>
        <v>Complete</v>
      </c>
      <c r="AB75" s="73">
        <v>244206</v>
      </c>
      <c r="AC75" s="73" t="s">
        <v>399</v>
      </c>
      <c r="AD75" s="62" t="str">
        <f t="shared" si="12"/>
        <v>Complete</v>
      </c>
      <c r="AE75" s="62" t="s">
        <v>469</v>
      </c>
      <c r="AF75" s="62"/>
      <c r="AG75" s="62" t="str">
        <f t="shared" si="13"/>
        <v>In progress</v>
      </c>
      <c r="AH75" s="62"/>
      <c r="AI75" s="62"/>
      <c r="AJ75" s="62"/>
      <c r="AK75" s="62"/>
      <c r="AL75" s="62"/>
      <c r="AM75" s="62"/>
      <c r="AN75" s="62"/>
      <c r="AO75" s="62" t="str">
        <f t="shared" si="14"/>
        <v/>
      </c>
    </row>
    <row r="76" spans="1:41" s="18" customFormat="1" ht="32.450000000000003" customHeight="1" x14ac:dyDescent="0.4">
      <c r="A76" s="62">
        <v>69</v>
      </c>
      <c r="B76" s="108" t="s">
        <v>227</v>
      </c>
      <c r="C76" s="108" t="s">
        <v>30</v>
      </c>
      <c r="D76" s="60" t="s">
        <v>29</v>
      </c>
      <c r="E76" s="60" t="s">
        <v>25</v>
      </c>
      <c r="F76" s="60" t="s">
        <v>104</v>
      </c>
      <c r="G76" s="60" t="s">
        <v>512</v>
      </c>
      <c r="H76" s="62">
        <v>9</v>
      </c>
      <c r="I76" s="63">
        <v>206</v>
      </c>
      <c r="J76" s="64">
        <v>16.888770000000001</v>
      </c>
      <c r="K76" s="64">
        <v>102.68749</v>
      </c>
      <c r="L76" s="65" t="s">
        <v>110</v>
      </c>
      <c r="M76" s="65" t="s">
        <v>111</v>
      </c>
      <c r="N76" s="62" t="str">
        <f t="shared" si="8"/>
        <v>Complete</v>
      </c>
      <c r="O76" s="62" t="s">
        <v>124</v>
      </c>
      <c r="P76" s="65" t="s">
        <v>380</v>
      </c>
      <c r="Q76" s="65" t="s">
        <v>380</v>
      </c>
      <c r="R76" s="65" t="str">
        <f t="shared" si="9"/>
        <v>Complete</v>
      </c>
      <c r="S76" s="51" t="s">
        <v>448</v>
      </c>
      <c r="T76" s="65" t="s">
        <v>417</v>
      </c>
      <c r="U76" s="65"/>
      <c r="V76" s="62" t="str">
        <f t="shared" si="10"/>
        <v>In progress</v>
      </c>
      <c r="W76" s="62"/>
      <c r="X76" s="62"/>
      <c r="Y76" s="65" t="s">
        <v>110</v>
      </c>
      <c r="Z76" s="73">
        <v>244145</v>
      </c>
      <c r="AA76" s="65" t="str">
        <f t="shared" si="11"/>
        <v>Complete</v>
      </c>
      <c r="AB76" s="73">
        <v>244206</v>
      </c>
      <c r="AC76" s="73" t="s">
        <v>399</v>
      </c>
      <c r="AD76" s="62" t="str">
        <f t="shared" si="12"/>
        <v>Complete</v>
      </c>
      <c r="AE76" s="62" t="s">
        <v>469</v>
      </c>
      <c r="AF76" s="62"/>
      <c r="AG76" s="62" t="str">
        <f t="shared" si="13"/>
        <v>In progress</v>
      </c>
      <c r="AH76" s="62"/>
      <c r="AI76" s="62"/>
      <c r="AJ76" s="62"/>
      <c r="AK76" s="62"/>
      <c r="AL76" s="62"/>
      <c r="AM76" s="62"/>
      <c r="AN76" s="62"/>
      <c r="AO76" s="62" t="str">
        <f t="shared" si="14"/>
        <v/>
      </c>
    </row>
    <row r="77" spans="1:41" s="18" customFormat="1" ht="32.6" x14ac:dyDescent="0.4">
      <c r="A77" s="107">
        <v>70</v>
      </c>
      <c r="B77" s="108" t="s">
        <v>243</v>
      </c>
      <c r="C77" s="108" t="s">
        <v>30</v>
      </c>
      <c r="D77" s="60" t="s">
        <v>29</v>
      </c>
      <c r="E77" s="60" t="s">
        <v>25</v>
      </c>
      <c r="F77" s="60" t="s">
        <v>104</v>
      </c>
      <c r="G77" s="108" t="s">
        <v>304</v>
      </c>
      <c r="H77" s="62">
        <v>9</v>
      </c>
      <c r="I77" s="63">
        <v>195</v>
      </c>
      <c r="J77" s="64">
        <v>16.934463000000001</v>
      </c>
      <c r="K77" s="64">
        <v>102.73270599999999</v>
      </c>
      <c r="L77" s="65" t="s">
        <v>110</v>
      </c>
      <c r="M77" s="65" t="s">
        <v>135</v>
      </c>
      <c r="N77" s="62" t="str">
        <f t="shared" si="8"/>
        <v>Complete</v>
      </c>
      <c r="O77" s="62" t="s">
        <v>124</v>
      </c>
      <c r="P77" s="65" t="s">
        <v>380</v>
      </c>
      <c r="Q77" s="65" t="s">
        <v>380</v>
      </c>
      <c r="R77" s="65" t="str">
        <f t="shared" si="9"/>
        <v>Complete</v>
      </c>
      <c r="S77" s="51" t="s">
        <v>448</v>
      </c>
      <c r="T77" s="65" t="s">
        <v>416</v>
      </c>
      <c r="U77" s="65"/>
      <c r="V77" s="62" t="str">
        <f t="shared" si="10"/>
        <v>In progress</v>
      </c>
      <c r="W77" s="62"/>
      <c r="X77" s="62"/>
      <c r="Y77" s="65" t="s">
        <v>110</v>
      </c>
      <c r="Z77" s="73">
        <v>244145</v>
      </c>
      <c r="AA77" s="65" t="str">
        <f t="shared" si="11"/>
        <v>Complete</v>
      </c>
      <c r="AB77" s="73">
        <v>244206</v>
      </c>
      <c r="AC77" s="73" t="s">
        <v>399</v>
      </c>
      <c r="AD77" s="62" t="str">
        <f t="shared" si="12"/>
        <v>Complete</v>
      </c>
      <c r="AE77" s="62" t="s">
        <v>469</v>
      </c>
      <c r="AF77" s="62"/>
      <c r="AG77" s="62" t="str">
        <f t="shared" si="13"/>
        <v>In progress</v>
      </c>
      <c r="AH77" s="62"/>
      <c r="AI77" s="62"/>
      <c r="AJ77" s="62"/>
      <c r="AK77" s="62"/>
      <c r="AL77" s="62"/>
      <c r="AM77" s="62"/>
      <c r="AN77" s="62"/>
      <c r="AO77" s="62" t="str">
        <f t="shared" si="14"/>
        <v/>
      </c>
    </row>
    <row r="78" spans="1:41" s="18" customFormat="1" ht="32.450000000000003" customHeight="1" x14ac:dyDescent="0.4">
      <c r="A78" s="59">
        <v>71</v>
      </c>
      <c r="B78" s="108" t="s">
        <v>256</v>
      </c>
      <c r="C78" s="108" t="s">
        <v>30</v>
      </c>
      <c r="D78" s="60" t="s">
        <v>29</v>
      </c>
      <c r="E78" s="60" t="s">
        <v>25</v>
      </c>
      <c r="F78" s="60" t="s">
        <v>104</v>
      </c>
      <c r="G78" s="60" t="s">
        <v>512</v>
      </c>
      <c r="H78" s="62">
        <v>9</v>
      </c>
      <c r="I78" s="63">
        <v>222</v>
      </c>
      <c r="J78" s="64">
        <v>16.895181999999998</v>
      </c>
      <c r="K78" s="64">
        <v>102.723007</v>
      </c>
      <c r="L78" s="65" t="s">
        <v>110</v>
      </c>
      <c r="M78" s="65" t="s">
        <v>111</v>
      </c>
      <c r="N78" s="62" t="str">
        <f t="shared" si="8"/>
        <v>Complete</v>
      </c>
      <c r="O78" s="62" t="s">
        <v>124</v>
      </c>
      <c r="P78" s="65" t="s">
        <v>380</v>
      </c>
      <c r="Q78" s="65" t="s">
        <v>380</v>
      </c>
      <c r="R78" s="65" t="str">
        <f t="shared" si="9"/>
        <v>Complete</v>
      </c>
      <c r="S78" s="51" t="s">
        <v>448</v>
      </c>
      <c r="T78" s="65" t="s">
        <v>417</v>
      </c>
      <c r="U78" s="65"/>
      <c r="V78" s="62" t="str">
        <f t="shared" si="10"/>
        <v>In progress</v>
      </c>
      <c r="W78" s="62"/>
      <c r="X78" s="62"/>
      <c r="Y78" s="65" t="s">
        <v>110</v>
      </c>
      <c r="Z78" s="73">
        <v>244145</v>
      </c>
      <c r="AA78" s="65" t="str">
        <f t="shared" si="11"/>
        <v>Complete</v>
      </c>
      <c r="AB78" s="73">
        <v>244206</v>
      </c>
      <c r="AC78" s="73" t="s">
        <v>399</v>
      </c>
      <c r="AD78" s="62" t="str">
        <f t="shared" si="12"/>
        <v>Complete</v>
      </c>
      <c r="AE78" s="62" t="s">
        <v>469</v>
      </c>
      <c r="AF78" s="62"/>
      <c r="AG78" s="62" t="str">
        <f t="shared" si="13"/>
        <v>In progress</v>
      </c>
      <c r="AH78" s="62"/>
      <c r="AI78" s="62"/>
      <c r="AJ78" s="62"/>
      <c r="AK78" s="62"/>
      <c r="AL78" s="62"/>
      <c r="AM78" s="62"/>
      <c r="AN78" s="62"/>
      <c r="AO78" s="62" t="str">
        <f t="shared" si="14"/>
        <v/>
      </c>
    </row>
    <row r="79" spans="1:41" s="18" customFormat="1" ht="32.450000000000003" customHeight="1" x14ac:dyDescent="0.4">
      <c r="A79" s="59">
        <v>72</v>
      </c>
      <c r="B79" s="108" t="s">
        <v>268</v>
      </c>
      <c r="C79" s="108" t="s">
        <v>30</v>
      </c>
      <c r="D79" s="60" t="s">
        <v>29</v>
      </c>
      <c r="E79" s="60" t="s">
        <v>25</v>
      </c>
      <c r="F79" s="60" t="s">
        <v>104</v>
      </c>
      <c r="G79" s="60" t="s">
        <v>512</v>
      </c>
      <c r="H79" s="62">
        <v>9</v>
      </c>
      <c r="I79" s="63">
        <v>219</v>
      </c>
      <c r="J79" s="64">
        <v>16.904881</v>
      </c>
      <c r="K79" s="64">
        <v>102.73746800000001</v>
      </c>
      <c r="L79" s="65" t="s">
        <v>110</v>
      </c>
      <c r="M79" s="65" t="s">
        <v>135</v>
      </c>
      <c r="N79" s="62" t="str">
        <f t="shared" si="8"/>
        <v>Complete</v>
      </c>
      <c r="O79" s="62" t="s">
        <v>124</v>
      </c>
      <c r="P79" s="65" t="s">
        <v>380</v>
      </c>
      <c r="Q79" s="65" t="s">
        <v>380</v>
      </c>
      <c r="R79" s="65" t="str">
        <f t="shared" si="9"/>
        <v>Complete</v>
      </c>
      <c r="S79" s="51" t="s">
        <v>448</v>
      </c>
      <c r="T79" s="65" t="s">
        <v>416</v>
      </c>
      <c r="U79" s="65"/>
      <c r="V79" s="62" t="str">
        <f t="shared" si="10"/>
        <v>In progress</v>
      </c>
      <c r="W79" s="62"/>
      <c r="X79" s="62"/>
      <c r="Y79" s="65" t="s">
        <v>110</v>
      </c>
      <c r="Z79" s="73">
        <v>244145</v>
      </c>
      <c r="AA79" s="65" t="str">
        <f t="shared" si="11"/>
        <v>Complete</v>
      </c>
      <c r="AB79" s="73">
        <v>244206</v>
      </c>
      <c r="AC79" s="73" t="s">
        <v>399</v>
      </c>
      <c r="AD79" s="62" t="str">
        <f t="shared" si="12"/>
        <v>Complete</v>
      </c>
      <c r="AE79" s="62" t="s">
        <v>469</v>
      </c>
      <c r="AF79" s="62"/>
      <c r="AG79" s="62" t="str">
        <f t="shared" si="13"/>
        <v>In progress</v>
      </c>
      <c r="AH79" s="62"/>
      <c r="AI79" s="62"/>
      <c r="AJ79" s="62"/>
      <c r="AK79" s="62"/>
      <c r="AL79" s="62"/>
      <c r="AM79" s="62"/>
      <c r="AN79" s="62"/>
      <c r="AO79" s="62" t="str">
        <f t="shared" si="14"/>
        <v/>
      </c>
    </row>
    <row r="80" spans="1:41" s="18" customFormat="1" ht="32.450000000000003" customHeight="1" x14ac:dyDescent="0.4">
      <c r="A80" s="59">
        <v>73</v>
      </c>
      <c r="B80" s="108" t="s">
        <v>443</v>
      </c>
      <c r="C80" s="108" t="s">
        <v>30</v>
      </c>
      <c r="D80" s="60" t="s">
        <v>29</v>
      </c>
      <c r="E80" s="60" t="s">
        <v>25</v>
      </c>
      <c r="F80" s="60" t="s">
        <v>104</v>
      </c>
      <c r="G80" s="60" t="s">
        <v>512</v>
      </c>
      <c r="H80" s="62">
        <v>9</v>
      </c>
      <c r="I80" s="63">
        <v>208</v>
      </c>
      <c r="J80" s="64">
        <v>16.886175999999999</v>
      </c>
      <c r="K80" s="64">
        <v>102.726844</v>
      </c>
      <c r="L80" s="65" t="s">
        <v>110</v>
      </c>
      <c r="M80" s="65" t="s">
        <v>111</v>
      </c>
      <c r="N80" s="62" t="str">
        <f t="shared" si="8"/>
        <v>Complete</v>
      </c>
      <c r="O80" s="62" t="s">
        <v>124</v>
      </c>
      <c r="P80" s="65" t="s">
        <v>380</v>
      </c>
      <c r="Q80" s="65" t="s">
        <v>380</v>
      </c>
      <c r="R80" s="65" t="str">
        <f t="shared" si="9"/>
        <v>Complete</v>
      </c>
      <c r="S80" s="51" t="s">
        <v>448</v>
      </c>
      <c r="T80" s="65" t="s">
        <v>417</v>
      </c>
      <c r="U80" s="65"/>
      <c r="V80" s="62" t="str">
        <f t="shared" si="10"/>
        <v>In progress</v>
      </c>
      <c r="W80" s="62"/>
      <c r="X80" s="62"/>
      <c r="Y80" s="65" t="s">
        <v>110</v>
      </c>
      <c r="Z80" s="73">
        <v>244145</v>
      </c>
      <c r="AA80" s="65" t="str">
        <f t="shared" si="11"/>
        <v>Complete</v>
      </c>
      <c r="AB80" s="73">
        <v>244206</v>
      </c>
      <c r="AC80" s="73" t="s">
        <v>399</v>
      </c>
      <c r="AD80" s="62" t="str">
        <f t="shared" si="12"/>
        <v>Complete</v>
      </c>
      <c r="AE80" s="62" t="s">
        <v>469</v>
      </c>
      <c r="AF80" s="62"/>
      <c r="AG80" s="62" t="str">
        <f t="shared" si="13"/>
        <v>In progress</v>
      </c>
      <c r="AH80" s="62"/>
      <c r="AI80" s="62"/>
      <c r="AJ80" s="62"/>
      <c r="AK80" s="62"/>
      <c r="AL80" s="62"/>
      <c r="AM80" s="62"/>
      <c r="AN80" s="62"/>
      <c r="AO80" s="62" t="str">
        <f t="shared" si="14"/>
        <v/>
      </c>
    </row>
    <row r="81" spans="1:41" s="18" customFormat="1" ht="32.450000000000003" customHeight="1" x14ac:dyDescent="0.8">
      <c r="A81" s="62">
        <v>74</v>
      </c>
      <c r="B81" s="108" t="s">
        <v>294</v>
      </c>
      <c r="C81" s="108" t="s">
        <v>31</v>
      </c>
      <c r="D81" s="60" t="s">
        <v>32</v>
      </c>
      <c r="E81" s="60" t="s">
        <v>33</v>
      </c>
      <c r="F81" s="60" t="s">
        <v>105</v>
      </c>
      <c r="G81" s="60" t="s">
        <v>512</v>
      </c>
      <c r="H81" s="62">
        <v>18</v>
      </c>
      <c r="I81" s="70">
        <v>70</v>
      </c>
      <c r="J81" s="64">
        <v>13.097761</v>
      </c>
      <c r="K81" s="64">
        <v>102.02467900000001</v>
      </c>
      <c r="L81" s="65" t="s">
        <v>110</v>
      </c>
      <c r="M81" s="65" t="s">
        <v>377</v>
      </c>
      <c r="N81" s="62" t="str">
        <f t="shared" si="8"/>
        <v>Complete</v>
      </c>
      <c r="O81" s="62" t="s">
        <v>124</v>
      </c>
      <c r="P81" s="65" t="s">
        <v>382</v>
      </c>
      <c r="Q81" s="65" t="s">
        <v>382</v>
      </c>
      <c r="R81" s="65" t="str">
        <f t="shared" si="9"/>
        <v>Complete</v>
      </c>
      <c r="S81" s="51" t="s">
        <v>448</v>
      </c>
      <c r="T81" s="65" t="s">
        <v>415</v>
      </c>
      <c r="U81" s="65"/>
      <c r="V81" s="62" t="str">
        <f t="shared" si="10"/>
        <v>In progress</v>
      </c>
      <c r="W81" s="62"/>
      <c r="X81" s="62"/>
      <c r="Y81" s="65" t="s">
        <v>399</v>
      </c>
      <c r="Z81" s="75" t="s">
        <v>420</v>
      </c>
      <c r="AA81" s="65" t="str">
        <f t="shared" si="11"/>
        <v>Complete</v>
      </c>
      <c r="AB81" s="62" t="s">
        <v>418</v>
      </c>
      <c r="AC81" s="62" t="s">
        <v>447</v>
      </c>
      <c r="AD81" s="62" t="str">
        <f t="shared" si="12"/>
        <v>Complete</v>
      </c>
      <c r="AE81" s="73">
        <v>244470</v>
      </c>
      <c r="AF81" s="73">
        <v>244470</v>
      </c>
      <c r="AG81" s="62" t="str">
        <f t="shared" si="13"/>
        <v>Complete</v>
      </c>
      <c r="AH81" s="62"/>
      <c r="AI81" s="62" t="s">
        <v>459</v>
      </c>
      <c r="AJ81" s="73" t="s">
        <v>464</v>
      </c>
      <c r="AK81" s="62"/>
      <c r="AL81" s="62"/>
      <c r="AM81" s="62"/>
      <c r="AN81" s="62"/>
      <c r="AO81" s="62" t="str">
        <f t="shared" si="14"/>
        <v/>
      </c>
    </row>
    <row r="82" spans="1:41" s="18" customFormat="1" ht="32.450000000000003" customHeight="1" x14ac:dyDescent="0.8">
      <c r="A82" s="62">
        <v>75</v>
      </c>
      <c r="B82" s="108" t="s">
        <v>295</v>
      </c>
      <c r="C82" s="108" t="s">
        <v>34</v>
      </c>
      <c r="D82" s="60" t="s">
        <v>35</v>
      </c>
      <c r="E82" s="60" t="s">
        <v>33</v>
      </c>
      <c r="F82" s="60" t="s">
        <v>105</v>
      </c>
      <c r="G82" s="60" t="s">
        <v>512</v>
      </c>
      <c r="H82" s="62">
        <v>9</v>
      </c>
      <c r="I82" s="70">
        <v>59</v>
      </c>
      <c r="J82" s="64">
        <v>12.946885999999999</v>
      </c>
      <c r="K82" s="64">
        <v>102.03206</v>
      </c>
      <c r="L82" s="65" t="s">
        <v>110</v>
      </c>
      <c r="M82" s="65" t="s">
        <v>108</v>
      </c>
      <c r="N82" s="62" t="str">
        <f t="shared" si="8"/>
        <v>Complete</v>
      </c>
      <c r="O82" s="62" t="s">
        <v>124</v>
      </c>
      <c r="P82" s="65" t="s">
        <v>380</v>
      </c>
      <c r="Q82" s="65" t="s">
        <v>380</v>
      </c>
      <c r="R82" s="65" t="str">
        <f t="shared" si="9"/>
        <v>Complete</v>
      </c>
      <c r="S82" s="51" t="s">
        <v>448</v>
      </c>
      <c r="T82" s="65" t="s">
        <v>413</v>
      </c>
      <c r="U82" s="65"/>
      <c r="V82" s="62" t="str">
        <f t="shared" si="10"/>
        <v>In progress</v>
      </c>
      <c r="W82" s="62"/>
      <c r="X82" s="62"/>
      <c r="Y82" s="65" t="s">
        <v>110</v>
      </c>
      <c r="Z82" s="73">
        <v>244145</v>
      </c>
      <c r="AA82" s="65" t="str">
        <f t="shared" si="11"/>
        <v>Complete</v>
      </c>
      <c r="AB82" s="73">
        <v>244206</v>
      </c>
      <c r="AC82" s="73" t="s">
        <v>399</v>
      </c>
      <c r="AD82" s="62" t="str">
        <f t="shared" si="12"/>
        <v>Complete</v>
      </c>
      <c r="AE82" s="62" t="s">
        <v>469</v>
      </c>
      <c r="AF82" s="62"/>
      <c r="AG82" s="62" t="str">
        <f t="shared" si="13"/>
        <v>In progress</v>
      </c>
      <c r="AH82" s="62"/>
      <c r="AI82" s="62"/>
      <c r="AJ82" s="62"/>
      <c r="AK82" s="62"/>
      <c r="AL82" s="62"/>
      <c r="AM82" s="62"/>
      <c r="AN82" s="62"/>
      <c r="AO82" s="62" t="str">
        <f t="shared" si="14"/>
        <v/>
      </c>
    </row>
    <row r="83" spans="1:41" s="18" customFormat="1" ht="32.450000000000003" customHeight="1" x14ac:dyDescent="0.8">
      <c r="A83" s="59">
        <v>76</v>
      </c>
      <c r="B83" s="108" t="s">
        <v>190</v>
      </c>
      <c r="C83" s="108" t="s">
        <v>34</v>
      </c>
      <c r="D83" s="60" t="s">
        <v>35</v>
      </c>
      <c r="E83" s="60" t="s">
        <v>33</v>
      </c>
      <c r="F83" s="60" t="s">
        <v>105</v>
      </c>
      <c r="G83" s="60" t="s">
        <v>512</v>
      </c>
      <c r="H83" s="62">
        <v>9</v>
      </c>
      <c r="I83" s="70">
        <v>38</v>
      </c>
      <c r="J83" s="64">
        <v>12.924694000000001</v>
      </c>
      <c r="K83" s="64">
        <v>102.036646</v>
      </c>
      <c r="L83" s="65" t="s">
        <v>110</v>
      </c>
      <c r="M83" s="65" t="s">
        <v>109</v>
      </c>
      <c r="N83" s="62" t="str">
        <f t="shared" si="8"/>
        <v>Complete</v>
      </c>
      <c r="O83" s="62" t="s">
        <v>124</v>
      </c>
      <c r="P83" s="65" t="s">
        <v>380</v>
      </c>
      <c r="Q83" s="65" t="s">
        <v>380</v>
      </c>
      <c r="R83" s="65" t="str">
        <f t="shared" si="9"/>
        <v>Complete</v>
      </c>
      <c r="S83" s="51" t="s">
        <v>448</v>
      </c>
      <c r="T83" s="65" t="s">
        <v>414</v>
      </c>
      <c r="U83" s="65"/>
      <c r="V83" s="62" t="str">
        <f t="shared" si="10"/>
        <v>In progress</v>
      </c>
      <c r="W83" s="62"/>
      <c r="X83" s="62"/>
      <c r="Y83" s="65" t="s">
        <v>110</v>
      </c>
      <c r="Z83" s="73">
        <v>244145</v>
      </c>
      <c r="AA83" s="65" t="str">
        <f t="shared" si="11"/>
        <v>Complete</v>
      </c>
      <c r="AB83" s="73">
        <v>244206</v>
      </c>
      <c r="AC83" s="73" t="s">
        <v>399</v>
      </c>
      <c r="AD83" s="62" t="str">
        <f t="shared" si="12"/>
        <v>Complete</v>
      </c>
      <c r="AE83" s="62" t="s">
        <v>469</v>
      </c>
      <c r="AF83" s="62"/>
      <c r="AG83" s="62" t="str">
        <f t="shared" si="13"/>
        <v>In progress</v>
      </c>
      <c r="AH83" s="62"/>
      <c r="AI83" s="62"/>
      <c r="AJ83" s="62"/>
      <c r="AK83" s="62"/>
      <c r="AL83" s="62"/>
      <c r="AM83" s="62"/>
      <c r="AN83" s="62"/>
      <c r="AO83" s="62" t="str">
        <f t="shared" si="14"/>
        <v/>
      </c>
    </row>
    <row r="84" spans="1:41" s="18" customFormat="1" ht="32.450000000000003" customHeight="1" x14ac:dyDescent="0.8">
      <c r="A84" s="59">
        <v>77</v>
      </c>
      <c r="B84" s="108" t="s">
        <v>210</v>
      </c>
      <c r="C84" s="108" t="s">
        <v>34</v>
      </c>
      <c r="D84" s="60" t="s">
        <v>35</v>
      </c>
      <c r="E84" s="60" t="s">
        <v>33</v>
      </c>
      <c r="F84" s="60" t="s">
        <v>105</v>
      </c>
      <c r="G84" s="60" t="s">
        <v>512</v>
      </c>
      <c r="H84" s="62">
        <v>9</v>
      </c>
      <c r="I84" s="70">
        <v>33</v>
      </c>
      <c r="J84" s="64">
        <v>12.913201000000001</v>
      </c>
      <c r="K84" s="64">
        <v>102.050163</v>
      </c>
      <c r="L84" s="65" t="s">
        <v>110</v>
      </c>
      <c r="M84" s="65" t="s">
        <v>108</v>
      </c>
      <c r="N84" s="62" t="str">
        <f t="shared" si="8"/>
        <v>Complete</v>
      </c>
      <c r="O84" s="62" t="s">
        <v>124</v>
      </c>
      <c r="P84" s="65" t="s">
        <v>380</v>
      </c>
      <c r="Q84" s="65" t="s">
        <v>380</v>
      </c>
      <c r="R84" s="65" t="str">
        <f t="shared" si="9"/>
        <v>Complete</v>
      </c>
      <c r="S84" s="51" t="s">
        <v>448</v>
      </c>
      <c r="T84" s="65" t="s">
        <v>413</v>
      </c>
      <c r="U84" s="65"/>
      <c r="V84" s="62" t="str">
        <f t="shared" si="10"/>
        <v>In progress</v>
      </c>
      <c r="W84" s="62"/>
      <c r="X84" s="62"/>
      <c r="Y84" s="65" t="s">
        <v>110</v>
      </c>
      <c r="Z84" s="73">
        <v>244145</v>
      </c>
      <c r="AA84" s="65" t="str">
        <f t="shared" si="11"/>
        <v>Complete</v>
      </c>
      <c r="AB84" s="73">
        <v>244206</v>
      </c>
      <c r="AC84" s="73" t="s">
        <v>399</v>
      </c>
      <c r="AD84" s="62" t="str">
        <f t="shared" si="12"/>
        <v>Complete</v>
      </c>
      <c r="AE84" s="62" t="s">
        <v>469</v>
      </c>
      <c r="AF84" s="62"/>
      <c r="AG84" s="62" t="str">
        <f t="shared" si="13"/>
        <v>In progress</v>
      </c>
      <c r="AH84" s="62"/>
      <c r="AI84" s="62"/>
      <c r="AJ84" s="62"/>
      <c r="AK84" s="62"/>
      <c r="AL84" s="62"/>
      <c r="AM84" s="62"/>
      <c r="AN84" s="62"/>
      <c r="AO84" s="62" t="str">
        <f t="shared" si="14"/>
        <v/>
      </c>
    </row>
    <row r="85" spans="1:41" s="18" customFormat="1" ht="32.450000000000003" customHeight="1" x14ac:dyDescent="0.8">
      <c r="A85" s="59">
        <v>78</v>
      </c>
      <c r="B85" s="108" t="s">
        <v>228</v>
      </c>
      <c r="C85" s="108" t="s">
        <v>34</v>
      </c>
      <c r="D85" s="60" t="s">
        <v>35</v>
      </c>
      <c r="E85" s="60" t="s">
        <v>33</v>
      </c>
      <c r="F85" s="60" t="s">
        <v>105</v>
      </c>
      <c r="G85" s="60" t="s">
        <v>512</v>
      </c>
      <c r="H85" s="62">
        <v>9</v>
      </c>
      <c r="I85" s="70">
        <v>70</v>
      </c>
      <c r="J85" s="64">
        <v>12.965629</v>
      </c>
      <c r="K85" s="64">
        <v>102.081891</v>
      </c>
      <c r="L85" s="65" t="s">
        <v>110</v>
      </c>
      <c r="M85" s="65" t="s">
        <v>109</v>
      </c>
      <c r="N85" s="62" t="str">
        <f t="shared" si="8"/>
        <v>Complete</v>
      </c>
      <c r="O85" s="62" t="s">
        <v>124</v>
      </c>
      <c r="P85" s="65" t="s">
        <v>380</v>
      </c>
      <c r="Q85" s="65" t="s">
        <v>380</v>
      </c>
      <c r="R85" s="65" t="str">
        <f t="shared" si="9"/>
        <v>Complete</v>
      </c>
      <c r="S85" s="51" t="s">
        <v>448</v>
      </c>
      <c r="T85" s="65" t="s">
        <v>414</v>
      </c>
      <c r="U85" s="65"/>
      <c r="V85" s="62" t="str">
        <f t="shared" si="10"/>
        <v>In progress</v>
      </c>
      <c r="W85" s="62"/>
      <c r="X85" s="62"/>
      <c r="Y85" s="65" t="s">
        <v>110</v>
      </c>
      <c r="Z85" s="73">
        <v>244145</v>
      </c>
      <c r="AA85" s="65" t="str">
        <f t="shared" si="11"/>
        <v>Complete</v>
      </c>
      <c r="AB85" s="73">
        <v>244206</v>
      </c>
      <c r="AC85" s="73" t="s">
        <v>399</v>
      </c>
      <c r="AD85" s="62" t="str">
        <f t="shared" si="12"/>
        <v>Complete</v>
      </c>
      <c r="AE85" s="62" t="s">
        <v>469</v>
      </c>
      <c r="AF85" s="62"/>
      <c r="AG85" s="62" t="str">
        <f t="shared" si="13"/>
        <v>In progress</v>
      </c>
      <c r="AH85" s="62"/>
      <c r="AI85" s="62"/>
      <c r="AJ85" s="62"/>
      <c r="AK85" s="62"/>
      <c r="AL85" s="62"/>
      <c r="AM85" s="62"/>
      <c r="AN85" s="62"/>
      <c r="AO85" s="62" t="str">
        <f t="shared" si="14"/>
        <v/>
      </c>
    </row>
    <row r="86" spans="1:41" s="18" customFormat="1" ht="32.450000000000003" customHeight="1" x14ac:dyDescent="0.8">
      <c r="A86" s="62">
        <v>79</v>
      </c>
      <c r="B86" s="108" t="s">
        <v>244</v>
      </c>
      <c r="C86" s="108" t="s">
        <v>34</v>
      </c>
      <c r="D86" s="60" t="s">
        <v>35</v>
      </c>
      <c r="E86" s="60" t="s">
        <v>33</v>
      </c>
      <c r="F86" s="60" t="s">
        <v>105</v>
      </c>
      <c r="G86" s="60" t="s">
        <v>512</v>
      </c>
      <c r="H86" s="62">
        <v>9</v>
      </c>
      <c r="I86" s="70">
        <v>74</v>
      </c>
      <c r="J86" s="64">
        <v>12.975223</v>
      </c>
      <c r="K86" s="64">
        <v>102.08197199999999</v>
      </c>
      <c r="L86" s="65" t="s">
        <v>110</v>
      </c>
      <c r="M86" s="65" t="s">
        <v>109</v>
      </c>
      <c r="N86" s="62" t="str">
        <f t="shared" si="8"/>
        <v>Complete</v>
      </c>
      <c r="O86" s="62" t="s">
        <v>124</v>
      </c>
      <c r="P86" s="65" t="s">
        <v>380</v>
      </c>
      <c r="Q86" s="65" t="s">
        <v>380</v>
      </c>
      <c r="R86" s="65" t="str">
        <f t="shared" si="9"/>
        <v>Complete</v>
      </c>
      <c r="S86" s="51" t="s">
        <v>448</v>
      </c>
      <c r="T86" s="65" t="s">
        <v>414</v>
      </c>
      <c r="U86" s="65"/>
      <c r="V86" s="62" t="str">
        <f t="shared" si="10"/>
        <v>In progress</v>
      </c>
      <c r="W86" s="62"/>
      <c r="X86" s="62"/>
      <c r="Y86" s="65" t="s">
        <v>110</v>
      </c>
      <c r="Z86" s="73">
        <v>244145</v>
      </c>
      <c r="AA86" s="65" t="str">
        <f t="shared" si="11"/>
        <v>Complete</v>
      </c>
      <c r="AB86" s="73">
        <v>244206</v>
      </c>
      <c r="AC86" s="73" t="s">
        <v>399</v>
      </c>
      <c r="AD86" s="62" t="str">
        <f t="shared" si="12"/>
        <v>Complete</v>
      </c>
      <c r="AE86" s="62" t="s">
        <v>469</v>
      </c>
      <c r="AF86" s="62"/>
      <c r="AG86" s="62" t="str">
        <f t="shared" si="13"/>
        <v>In progress</v>
      </c>
      <c r="AH86" s="62"/>
      <c r="AI86" s="62"/>
      <c r="AJ86" s="62"/>
      <c r="AK86" s="62"/>
      <c r="AL86" s="62"/>
      <c r="AM86" s="62"/>
      <c r="AN86" s="62"/>
      <c r="AO86" s="62" t="str">
        <f t="shared" si="14"/>
        <v/>
      </c>
    </row>
    <row r="87" spans="1:41" s="18" customFormat="1" ht="32.450000000000003" customHeight="1" x14ac:dyDescent="0.8">
      <c r="A87" s="62">
        <v>80</v>
      </c>
      <c r="B87" s="108" t="s">
        <v>269</v>
      </c>
      <c r="C87" s="108" t="s">
        <v>34</v>
      </c>
      <c r="D87" s="60" t="s">
        <v>35</v>
      </c>
      <c r="E87" s="60" t="s">
        <v>33</v>
      </c>
      <c r="F87" s="60" t="s">
        <v>105</v>
      </c>
      <c r="G87" s="60" t="s">
        <v>512</v>
      </c>
      <c r="H87" s="62">
        <v>9</v>
      </c>
      <c r="I87" s="70">
        <v>45</v>
      </c>
      <c r="J87" s="64">
        <v>12.951472000000001</v>
      </c>
      <c r="K87" s="64">
        <v>102.0543</v>
      </c>
      <c r="L87" s="65" t="s">
        <v>110</v>
      </c>
      <c r="M87" s="65" t="s">
        <v>108</v>
      </c>
      <c r="N87" s="62" t="str">
        <f t="shared" si="8"/>
        <v>Complete</v>
      </c>
      <c r="O87" s="62" t="s">
        <v>124</v>
      </c>
      <c r="P87" s="65" t="s">
        <v>380</v>
      </c>
      <c r="Q87" s="65" t="s">
        <v>380</v>
      </c>
      <c r="R87" s="65" t="str">
        <f t="shared" si="9"/>
        <v>Complete</v>
      </c>
      <c r="S87" s="51" t="s">
        <v>448</v>
      </c>
      <c r="T87" s="65" t="s">
        <v>413</v>
      </c>
      <c r="U87" s="65"/>
      <c r="V87" s="62" t="str">
        <f t="shared" si="10"/>
        <v>In progress</v>
      </c>
      <c r="W87" s="62"/>
      <c r="X87" s="62"/>
      <c r="Y87" s="65" t="s">
        <v>110</v>
      </c>
      <c r="Z87" s="73">
        <v>244145</v>
      </c>
      <c r="AA87" s="65" t="str">
        <f t="shared" si="11"/>
        <v>Complete</v>
      </c>
      <c r="AB87" s="73">
        <v>244206</v>
      </c>
      <c r="AC87" s="73" t="s">
        <v>399</v>
      </c>
      <c r="AD87" s="62" t="str">
        <f t="shared" si="12"/>
        <v>Complete</v>
      </c>
      <c r="AE87" s="62" t="s">
        <v>469</v>
      </c>
      <c r="AF87" s="62"/>
      <c r="AG87" s="62" t="str">
        <f t="shared" si="13"/>
        <v>In progress</v>
      </c>
      <c r="AH87" s="62"/>
      <c r="AI87" s="62"/>
      <c r="AJ87" s="62"/>
      <c r="AK87" s="62"/>
      <c r="AL87" s="62"/>
      <c r="AM87" s="62"/>
      <c r="AN87" s="62"/>
      <c r="AO87" s="62" t="str">
        <f t="shared" si="14"/>
        <v/>
      </c>
    </row>
    <row r="88" spans="1:41" s="18" customFormat="1" ht="32.450000000000003" customHeight="1" x14ac:dyDescent="0.8">
      <c r="A88" s="59">
        <v>81</v>
      </c>
      <c r="B88" s="108" t="s">
        <v>151</v>
      </c>
      <c r="C88" s="108" t="s">
        <v>36</v>
      </c>
      <c r="D88" s="60" t="s">
        <v>35</v>
      </c>
      <c r="E88" s="60" t="s">
        <v>33</v>
      </c>
      <c r="F88" s="60" t="s">
        <v>105</v>
      </c>
      <c r="G88" s="60" t="s">
        <v>512</v>
      </c>
      <c r="H88" s="62">
        <v>9</v>
      </c>
      <c r="I88" s="70">
        <v>56</v>
      </c>
      <c r="J88" s="64">
        <v>12.984774</v>
      </c>
      <c r="K88" s="64">
        <v>102.055637</v>
      </c>
      <c r="L88" s="65" t="s">
        <v>110</v>
      </c>
      <c r="M88" s="65" t="s">
        <v>108</v>
      </c>
      <c r="N88" s="62" t="str">
        <f t="shared" si="8"/>
        <v>Complete</v>
      </c>
      <c r="O88" s="62" t="s">
        <v>124</v>
      </c>
      <c r="P88" s="65" t="s">
        <v>380</v>
      </c>
      <c r="Q88" s="65" t="s">
        <v>380</v>
      </c>
      <c r="R88" s="65" t="str">
        <f t="shared" si="9"/>
        <v>Complete</v>
      </c>
      <c r="S88" s="51" t="s">
        <v>448</v>
      </c>
      <c r="T88" s="65" t="s">
        <v>413</v>
      </c>
      <c r="U88" s="65"/>
      <c r="V88" s="62" t="str">
        <f t="shared" si="10"/>
        <v>In progress</v>
      </c>
      <c r="W88" s="62"/>
      <c r="X88" s="62"/>
      <c r="Y88" s="65" t="s">
        <v>110</v>
      </c>
      <c r="Z88" s="73">
        <v>244145</v>
      </c>
      <c r="AA88" s="65" t="str">
        <f t="shared" si="11"/>
        <v>Complete</v>
      </c>
      <c r="AB88" s="73">
        <v>244206</v>
      </c>
      <c r="AC88" s="73" t="s">
        <v>399</v>
      </c>
      <c r="AD88" s="62" t="str">
        <f t="shared" si="12"/>
        <v>Complete</v>
      </c>
      <c r="AE88" s="62" t="s">
        <v>469</v>
      </c>
      <c r="AF88" s="62"/>
      <c r="AG88" s="62" t="str">
        <f t="shared" si="13"/>
        <v>In progress</v>
      </c>
      <c r="AH88" s="62"/>
      <c r="AI88" s="62"/>
      <c r="AJ88" s="62"/>
      <c r="AK88" s="62"/>
      <c r="AL88" s="62"/>
      <c r="AM88" s="62"/>
      <c r="AN88" s="62"/>
      <c r="AO88" s="62" t="str">
        <f t="shared" si="14"/>
        <v/>
      </c>
    </row>
    <row r="89" spans="1:41" s="18" customFormat="1" ht="32.450000000000003" customHeight="1" x14ac:dyDescent="0.8">
      <c r="A89" s="59">
        <v>82</v>
      </c>
      <c r="B89" s="108" t="s">
        <v>171</v>
      </c>
      <c r="C89" s="108" t="s">
        <v>36</v>
      </c>
      <c r="D89" s="60" t="s">
        <v>35</v>
      </c>
      <c r="E89" s="60" t="s">
        <v>33</v>
      </c>
      <c r="F89" s="60" t="s">
        <v>105</v>
      </c>
      <c r="G89" s="60" t="s">
        <v>512</v>
      </c>
      <c r="H89" s="62">
        <v>18</v>
      </c>
      <c r="I89" s="70">
        <v>75</v>
      </c>
      <c r="J89" s="64">
        <v>13.004386999999999</v>
      </c>
      <c r="K89" s="64">
        <v>102.073627</v>
      </c>
      <c r="L89" s="65" t="s">
        <v>110</v>
      </c>
      <c r="M89" s="65" t="s">
        <v>108</v>
      </c>
      <c r="N89" s="62" t="str">
        <f t="shared" si="8"/>
        <v>Complete</v>
      </c>
      <c r="O89" s="62" t="s">
        <v>124</v>
      </c>
      <c r="P89" s="65" t="s">
        <v>380</v>
      </c>
      <c r="Q89" s="65" t="s">
        <v>382</v>
      </c>
      <c r="R89" s="65" t="str">
        <f t="shared" si="9"/>
        <v>Complete</v>
      </c>
      <c r="S89" s="51" t="s">
        <v>448</v>
      </c>
      <c r="T89" s="65" t="s">
        <v>413</v>
      </c>
      <c r="U89" s="65"/>
      <c r="V89" s="62" t="str">
        <f t="shared" si="10"/>
        <v>In progress</v>
      </c>
      <c r="W89" s="62"/>
      <c r="X89" s="62"/>
      <c r="Y89" s="65" t="s">
        <v>399</v>
      </c>
      <c r="Z89" s="75" t="s">
        <v>420</v>
      </c>
      <c r="AA89" s="65" t="str">
        <f t="shared" si="11"/>
        <v>Complete</v>
      </c>
      <c r="AB89" s="62" t="s">
        <v>418</v>
      </c>
      <c r="AC89" s="62" t="s">
        <v>447</v>
      </c>
      <c r="AD89" s="62" t="str">
        <f t="shared" si="12"/>
        <v>Complete</v>
      </c>
      <c r="AE89" s="73">
        <v>244470</v>
      </c>
      <c r="AF89" s="73">
        <v>244470</v>
      </c>
      <c r="AG89" s="62" t="str">
        <f t="shared" si="13"/>
        <v>Complete</v>
      </c>
      <c r="AH89" s="62"/>
      <c r="AI89" s="62" t="s">
        <v>451</v>
      </c>
      <c r="AJ89" s="73" t="s">
        <v>461</v>
      </c>
      <c r="AK89" s="62"/>
      <c r="AL89" s="62"/>
      <c r="AM89" s="62"/>
      <c r="AN89" s="62"/>
      <c r="AO89" s="62" t="str">
        <f t="shared" si="14"/>
        <v/>
      </c>
    </row>
    <row r="90" spans="1:41" s="18" customFormat="1" ht="32.450000000000003" customHeight="1" x14ac:dyDescent="0.8">
      <c r="A90" s="59">
        <v>83</v>
      </c>
      <c r="B90" s="108" t="s">
        <v>191</v>
      </c>
      <c r="C90" s="108" t="s">
        <v>36</v>
      </c>
      <c r="D90" s="60" t="s">
        <v>35</v>
      </c>
      <c r="E90" s="60" t="s">
        <v>33</v>
      </c>
      <c r="F90" s="60" t="s">
        <v>105</v>
      </c>
      <c r="G90" s="108" t="s">
        <v>304</v>
      </c>
      <c r="H90" s="62">
        <v>9</v>
      </c>
      <c r="I90" s="70">
        <v>92</v>
      </c>
      <c r="J90" s="64">
        <v>13.036557999999999</v>
      </c>
      <c r="K90" s="64">
        <v>102.02415499999999</v>
      </c>
      <c r="L90" s="65" t="s">
        <v>110</v>
      </c>
      <c r="M90" s="65" t="s">
        <v>109</v>
      </c>
      <c r="N90" s="62" t="str">
        <f t="shared" si="8"/>
        <v>Complete</v>
      </c>
      <c r="O90" s="62" t="s">
        <v>124</v>
      </c>
      <c r="P90" s="65" t="s">
        <v>380</v>
      </c>
      <c r="Q90" s="65" t="s">
        <v>380</v>
      </c>
      <c r="R90" s="65" t="str">
        <f t="shared" si="9"/>
        <v>Complete</v>
      </c>
      <c r="S90" s="51" t="s">
        <v>448</v>
      </c>
      <c r="T90" s="65" t="s">
        <v>414</v>
      </c>
      <c r="U90" s="65"/>
      <c r="V90" s="62" t="str">
        <f t="shared" si="10"/>
        <v>In progress</v>
      </c>
      <c r="W90" s="62"/>
      <c r="X90" s="62"/>
      <c r="Y90" s="65" t="s">
        <v>110</v>
      </c>
      <c r="Z90" s="73">
        <v>244145</v>
      </c>
      <c r="AA90" s="65" t="str">
        <f t="shared" si="11"/>
        <v>Complete</v>
      </c>
      <c r="AB90" s="73">
        <v>244206</v>
      </c>
      <c r="AC90" s="73" t="s">
        <v>399</v>
      </c>
      <c r="AD90" s="62" t="str">
        <f t="shared" si="12"/>
        <v>Complete</v>
      </c>
      <c r="AE90" s="62" t="s">
        <v>469</v>
      </c>
      <c r="AF90" s="62"/>
      <c r="AG90" s="62" t="str">
        <f t="shared" si="13"/>
        <v>In progress</v>
      </c>
      <c r="AH90" s="62"/>
      <c r="AI90" s="62"/>
      <c r="AJ90" s="62"/>
      <c r="AK90" s="62"/>
      <c r="AL90" s="62"/>
      <c r="AM90" s="62"/>
      <c r="AN90" s="62"/>
      <c r="AO90" s="62" t="str">
        <f t="shared" si="14"/>
        <v/>
      </c>
    </row>
    <row r="91" spans="1:41" s="18" customFormat="1" ht="32.450000000000003" customHeight="1" x14ac:dyDescent="0.8">
      <c r="A91" s="62">
        <v>84</v>
      </c>
      <c r="B91" s="108" t="s">
        <v>211</v>
      </c>
      <c r="C91" s="108" t="s">
        <v>36</v>
      </c>
      <c r="D91" s="60" t="s">
        <v>35</v>
      </c>
      <c r="E91" s="60" t="s">
        <v>33</v>
      </c>
      <c r="F91" s="60" t="s">
        <v>105</v>
      </c>
      <c r="G91" s="60" t="s">
        <v>512</v>
      </c>
      <c r="H91" s="62">
        <v>9</v>
      </c>
      <c r="I91" s="70">
        <v>58</v>
      </c>
      <c r="J91" s="64">
        <v>12.988822000000001</v>
      </c>
      <c r="K91" s="64">
        <v>102.03791099999999</v>
      </c>
      <c r="L91" s="65" t="s">
        <v>110</v>
      </c>
      <c r="M91" s="65" t="s">
        <v>109</v>
      </c>
      <c r="N91" s="62" t="str">
        <f t="shared" si="8"/>
        <v>Complete</v>
      </c>
      <c r="O91" s="62" t="s">
        <v>124</v>
      </c>
      <c r="P91" s="65" t="s">
        <v>380</v>
      </c>
      <c r="Q91" s="65" t="s">
        <v>380</v>
      </c>
      <c r="R91" s="65" t="str">
        <f t="shared" si="9"/>
        <v>Complete</v>
      </c>
      <c r="S91" s="51" t="s">
        <v>448</v>
      </c>
      <c r="T91" s="65" t="s">
        <v>414</v>
      </c>
      <c r="U91" s="65"/>
      <c r="V91" s="62" t="str">
        <f t="shared" si="10"/>
        <v>In progress</v>
      </c>
      <c r="W91" s="62"/>
      <c r="X91" s="62"/>
      <c r="Y91" s="65" t="s">
        <v>110</v>
      </c>
      <c r="Z91" s="73">
        <v>244145</v>
      </c>
      <c r="AA91" s="65" t="str">
        <f t="shared" si="11"/>
        <v>Complete</v>
      </c>
      <c r="AB91" s="73">
        <v>244206</v>
      </c>
      <c r="AC91" s="73" t="s">
        <v>399</v>
      </c>
      <c r="AD91" s="62" t="str">
        <f t="shared" si="12"/>
        <v>Complete</v>
      </c>
      <c r="AE91" s="62" t="s">
        <v>469</v>
      </c>
      <c r="AF91" s="62"/>
      <c r="AG91" s="62" t="str">
        <f t="shared" si="13"/>
        <v>In progress</v>
      </c>
      <c r="AH91" s="62"/>
      <c r="AI91" s="62"/>
      <c r="AJ91" s="62"/>
      <c r="AK91" s="62"/>
      <c r="AL91" s="62"/>
      <c r="AM91" s="62"/>
      <c r="AN91" s="62"/>
      <c r="AO91" s="62" t="str">
        <f t="shared" si="14"/>
        <v/>
      </c>
    </row>
    <row r="92" spans="1:41" s="18" customFormat="1" ht="32.450000000000003" customHeight="1" x14ac:dyDescent="0.8">
      <c r="A92" s="62">
        <v>85</v>
      </c>
      <c r="B92" s="108" t="s">
        <v>229</v>
      </c>
      <c r="C92" s="108" t="s">
        <v>36</v>
      </c>
      <c r="D92" s="60" t="s">
        <v>35</v>
      </c>
      <c r="E92" s="60" t="s">
        <v>33</v>
      </c>
      <c r="F92" s="60" t="s">
        <v>105</v>
      </c>
      <c r="G92" s="60" t="s">
        <v>512</v>
      </c>
      <c r="H92" s="62">
        <v>9</v>
      </c>
      <c r="I92" s="70">
        <v>90</v>
      </c>
      <c r="J92" s="64">
        <v>13.033385000000001</v>
      </c>
      <c r="K92" s="64">
        <v>102.075078</v>
      </c>
      <c r="L92" s="65" t="s">
        <v>110</v>
      </c>
      <c r="M92" s="65" t="s">
        <v>109</v>
      </c>
      <c r="N92" s="62" t="str">
        <f t="shared" si="8"/>
        <v>Complete</v>
      </c>
      <c r="O92" s="62" t="s">
        <v>124</v>
      </c>
      <c r="P92" s="65" t="s">
        <v>380</v>
      </c>
      <c r="Q92" s="65" t="s">
        <v>380</v>
      </c>
      <c r="R92" s="65" t="str">
        <f t="shared" si="9"/>
        <v>Complete</v>
      </c>
      <c r="S92" s="51" t="s">
        <v>448</v>
      </c>
      <c r="T92" s="65" t="s">
        <v>414</v>
      </c>
      <c r="U92" s="65"/>
      <c r="V92" s="62" t="str">
        <f t="shared" si="10"/>
        <v>In progress</v>
      </c>
      <c r="W92" s="62"/>
      <c r="X92" s="62"/>
      <c r="Y92" s="65" t="s">
        <v>110</v>
      </c>
      <c r="Z92" s="73">
        <v>244145</v>
      </c>
      <c r="AA92" s="65" t="str">
        <f t="shared" si="11"/>
        <v>Complete</v>
      </c>
      <c r="AB92" s="73">
        <v>244206</v>
      </c>
      <c r="AC92" s="73" t="s">
        <v>399</v>
      </c>
      <c r="AD92" s="62" t="str">
        <f t="shared" si="12"/>
        <v>Complete</v>
      </c>
      <c r="AE92" s="62" t="s">
        <v>469</v>
      </c>
      <c r="AF92" s="62"/>
      <c r="AG92" s="62" t="str">
        <f t="shared" si="13"/>
        <v>In progress</v>
      </c>
      <c r="AH92" s="62"/>
      <c r="AI92" s="62"/>
      <c r="AJ92" s="62"/>
      <c r="AK92" s="62"/>
      <c r="AL92" s="62"/>
      <c r="AM92" s="62"/>
      <c r="AN92" s="62"/>
      <c r="AO92" s="62" t="str">
        <f t="shared" si="14"/>
        <v/>
      </c>
    </row>
    <row r="93" spans="1:41" s="18" customFormat="1" ht="32.450000000000003" customHeight="1" x14ac:dyDescent="0.8">
      <c r="A93" s="59">
        <v>86</v>
      </c>
      <c r="B93" s="108" t="s">
        <v>245</v>
      </c>
      <c r="C93" s="108" t="s">
        <v>36</v>
      </c>
      <c r="D93" s="60" t="s">
        <v>35</v>
      </c>
      <c r="E93" s="60" t="s">
        <v>33</v>
      </c>
      <c r="F93" s="60" t="s">
        <v>105</v>
      </c>
      <c r="G93" s="60" t="s">
        <v>512</v>
      </c>
      <c r="H93" s="62">
        <v>9</v>
      </c>
      <c r="I93" s="70">
        <v>85</v>
      </c>
      <c r="J93" s="64">
        <v>13.049575000000001</v>
      </c>
      <c r="K93" s="64">
        <v>102.03997099999999</v>
      </c>
      <c r="L93" s="65" t="s">
        <v>110</v>
      </c>
      <c r="M93" s="65" t="s">
        <v>109</v>
      </c>
      <c r="N93" s="62" t="str">
        <f t="shared" si="8"/>
        <v>Complete</v>
      </c>
      <c r="O93" s="62" t="s">
        <v>124</v>
      </c>
      <c r="P93" s="65" t="s">
        <v>380</v>
      </c>
      <c r="Q93" s="65" t="s">
        <v>380</v>
      </c>
      <c r="R93" s="65" t="str">
        <f t="shared" si="9"/>
        <v>Complete</v>
      </c>
      <c r="S93" s="51" t="s">
        <v>448</v>
      </c>
      <c r="T93" s="65" t="s">
        <v>414</v>
      </c>
      <c r="U93" s="65"/>
      <c r="V93" s="62" t="str">
        <f t="shared" si="10"/>
        <v>In progress</v>
      </c>
      <c r="W93" s="62"/>
      <c r="X93" s="62"/>
      <c r="Y93" s="65" t="s">
        <v>110</v>
      </c>
      <c r="Z93" s="73">
        <v>244145</v>
      </c>
      <c r="AA93" s="65" t="str">
        <f t="shared" si="11"/>
        <v>Complete</v>
      </c>
      <c r="AB93" s="73">
        <v>244206</v>
      </c>
      <c r="AC93" s="73" t="s">
        <v>399</v>
      </c>
      <c r="AD93" s="62" t="str">
        <f t="shared" si="12"/>
        <v>Complete</v>
      </c>
      <c r="AE93" s="62" t="s">
        <v>469</v>
      </c>
      <c r="AF93" s="62"/>
      <c r="AG93" s="62" t="str">
        <f t="shared" si="13"/>
        <v>In progress</v>
      </c>
      <c r="AH93" s="62"/>
      <c r="AI93" s="62"/>
      <c r="AJ93" s="62"/>
      <c r="AK93" s="62"/>
      <c r="AL93" s="62"/>
      <c r="AM93" s="62"/>
      <c r="AN93" s="62"/>
      <c r="AO93" s="62" t="str">
        <f t="shared" si="14"/>
        <v/>
      </c>
    </row>
    <row r="94" spans="1:41" s="18" customFormat="1" ht="32.450000000000003" customHeight="1" x14ac:dyDescent="0.8">
      <c r="A94" s="59">
        <v>87</v>
      </c>
      <c r="B94" s="108" t="s">
        <v>257</v>
      </c>
      <c r="C94" s="108" t="s">
        <v>36</v>
      </c>
      <c r="D94" s="60" t="s">
        <v>35</v>
      </c>
      <c r="E94" s="60" t="s">
        <v>33</v>
      </c>
      <c r="F94" s="60" t="s">
        <v>105</v>
      </c>
      <c r="G94" s="60" t="s">
        <v>512</v>
      </c>
      <c r="H94" s="62">
        <v>9</v>
      </c>
      <c r="I94" s="70">
        <v>103</v>
      </c>
      <c r="J94" s="64">
        <v>13.040521999999999</v>
      </c>
      <c r="K94" s="64">
        <v>102.051637</v>
      </c>
      <c r="L94" s="65" t="s">
        <v>110</v>
      </c>
      <c r="M94" s="65" t="s">
        <v>109</v>
      </c>
      <c r="N94" s="62" t="str">
        <f t="shared" si="8"/>
        <v>Complete</v>
      </c>
      <c r="O94" s="62" t="s">
        <v>124</v>
      </c>
      <c r="P94" s="65" t="s">
        <v>380</v>
      </c>
      <c r="Q94" s="65" t="s">
        <v>380</v>
      </c>
      <c r="R94" s="65" t="str">
        <f t="shared" si="9"/>
        <v>Complete</v>
      </c>
      <c r="S94" s="51" t="s">
        <v>448</v>
      </c>
      <c r="T94" s="65" t="s">
        <v>414</v>
      </c>
      <c r="U94" s="65"/>
      <c r="V94" s="62" t="str">
        <f t="shared" si="10"/>
        <v>In progress</v>
      </c>
      <c r="W94" s="62"/>
      <c r="X94" s="62"/>
      <c r="Y94" s="65" t="s">
        <v>110</v>
      </c>
      <c r="Z94" s="73">
        <v>244145</v>
      </c>
      <c r="AA94" s="65" t="str">
        <f t="shared" si="11"/>
        <v>Complete</v>
      </c>
      <c r="AB94" s="73">
        <v>244206</v>
      </c>
      <c r="AC94" s="73" t="s">
        <v>399</v>
      </c>
      <c r="AD94" s="62" t="str">
        <f t="shared" si="12"/>
        <v>Complete</v>
      </c>
      <c r="AE94" s="62" t="s">
        <v>469</v>
      </c>
      <c r="AF94" s="62"/>
      <c r="AG94" s="62" t="str">
        <f t="shared" si="13"/>
        <v>In progress</v>
      </c>
      <c r="AH94" s="62"/>
      <c r="AI94" s="62"/>
      <c r="AJ94" s="62"/>
      <c r="AK94" s="62"/>
      <c r="AL94" s="62"/>
      <c r="AM94" s="62"/>
      <c r="AN94" s="62"/>
      <c r="AO94" s="62" t="str">
        <f t="shared" si="14"/>
        <v/>
      </c>
    </row>
    <row r="95" spans="1:41" s="18" customFormat="1" ht="32.450000000000003" customHeight="1" x14ac:dyDescent="0.8">
      <c r="A95" s="59">
        <v>88</v>
      </c>
      <c r="B95" s="108" t="s">
        <v>270</v>
      </c>
      <c r="C95" s="108" t="s">
        <v>36</v>
      </c>
      <c r="D95" s="60" t="s">
        <v>35</v>
      </c>
      <c r="E95" s="60" t="s">
        <v>33</v>
      </c>
      <c r="F95" s="60" t="s">
        <v>105</v>
      </c>
      <c r="G95" s="60" t="s">
        <v>512</v>
      </c>
      <c r="H95" s="62">
        <v>9</v>
      </c>
      <c r="I95" s="70">
        <v>90</v>
      </c>
      <c r="J95" s="64">
        <v>13.019843</v>
      </c>
      <c r="K95" s="64">
        <v>102.078428</v>
      </c>
      <c r="L95" s="65" t="s">
        <v>110</v>
      </c>
      <c r="M95" s="65" t="s">
        <v>108</v>
      </c>
      <c r="N95" s="62" t="str">
        <f t="shared" si="8"/>
        <v>Complete</v>
      </c>
      <c r="O95" s="62" t="s">
        <v>124</v>
      </c>
      <c r="P95" s="65" t="s">
        <v>380</v>
      </c>
      <c r="Q95" s="65" t="s">
        <v>380</v>
      </c>
      <c r="R95" s="65" t="str">
        <f t="shared" si="9"/>
        <v>Complete</v>
      </c>
      <c r="S95" s="51" t="s">
        <v>448</v>
      </c>
      <c r="T95" s="65" t="s">
        <v>413</v>
      </c>
      <c r="U95" s="65"/>
      <c r="V95" s="62" t="str">
        <f t="shared" si="10"/>
        <v>In progress</v>
      </c>
      <c r="W95" s="62"/>
      <c r="X95" s="62"/>
      <c r="Y95" s="65" t="s">
        <v>110</v>
      </c>
      <c r="Z95" s="73">
        <v>244145</v>
      </c>
      <c r="AA95" s="65" t="str">
        <f t="shared" si="11"/>
        <v>Complete</v>
      </c>
      <c r="AB95" s="73">
        <v>244206</v>
      </c>
      <c r="AC95" s="73" t="s">
        <v>399</v>
      </c>
      <c r="AD95" s="62" t="str">
        <f t="shared" si="12"/>
        <v>Complete</v>
      </c>
      <c r="AE95" s="62" t="s">
        <v>469</v>
      </c>
      <c r="AF95" s="62"/>
      <c r="AG95" s="62" t="str">
        <f t="shared" si="13"/>
        <v>In progress</v>
      </c>
      <c r="AH95" s="62"/>
      <c r="AI95" s="62"/>
      <c r="AJ95" s="62"/>
      <c r="AK95" s="62"/>
      <c r="AL95" s="62"/>
      <c r="AM95" s="62"/>
      <c r="AN95" s="62"/>
      <c r="AO95" s="62" t="str">
        <f t="shared" si="14"/>
        <v/>
      </c>
    </row>
    <row r="96" spans="1:41" s="18" customFormat="1" ht="32.450000000000003" customHeight="1" x14ac:dyDescent="0.8">
      <c r="A96" s="62">
        <v>89</v>
      </c>
      <c r="B96" s="108" t="s">
        <v>246</v>
      </c>
      <c r="C96" s="108" t="s">
        <v>37</v>
      </c>
      <c r="D96" s="60" t="s">
        <v>35</v>
      </c>
      <c r="E96" s="60" t="s">
        <v>33</v>
      </c>
      <c r="F96" s="60" t="s">
        <v>105</v>
      </c>
      <c r="G96" s="60" t="s">
        <v>512</v>
      </c>
      <c r="H96" s="62">
        <v>9</v>
      </c>
      <c r="I96" s="70">
        <v>44</v>
      </c>
      <c r="J96" s="64">
        <v>12.936203000000001</v>
      </c>
      <c r="K96" s="64">
        <v>102.072575</v>
      </c>
      <c r="L96" s="65" t="s">
        <v>110</v>
      </c>
      <c r="M96" s="65" t="s">
        <v>109</v>
      </c>
      <c r="N96" s="62" t="str">
        <f t="shared" si="8"/>
        <v>Complete</v>
      </c>
      <c r="O96" s="62" t="s">
        <v>124</v>
      </c>
      <c r="P96" s="65" t="s">
        <v>380</v>
      </c>
      <c r="Q96" s="65" t="s">
        <v>380</v>
      </c>
      <c r="R96" s="65" t="str">
        <f t="shared" si="9"/>
        <v>Complete</v>
      </c>
      <c r="S96" s="51" t="s">
        <v>448</v>
      </c>
      <c r="T96" s="65" t="s">
        <v>414</v>
      </c>
      <c r="U96" s="65"/>
      <c r="V96" s="62" t="str">
        <f t="shared" si="10"/>
        <v>In progress</v>
      </c>
      <c r="W96" s="62"/>
      <c r="X96" s="62"/>
      <c r="Y96" s="65" t="s">
        <v>110</v>
      </c>
      <c r="Z96" s="73">
        <v>244145</v>
      </c>
      <c r="AA96" s="65" t="str">
        <f t="shared" si="11"/>
        <v>Complete</v>
      </c>
      <c r="AB96" s="73">
        <v>244206</v>
      </c>
      <c r="AC96" s="73" t="s">
        <v>399</v>
      </c>
      <c r="AD96" s="62" t="str">
        <f t="shared" si="12"/>
        <v>Complete</v>
      </c>
      <c r="AE96" s="62" t="s">
        <v>469</v>
      </c>
      <c r="AF96" s="62"/>
      <c r="AG96" s="62" t="str">
        <f t="shared" si="13"/>
        <v>In progress</v>
      </c>
      <c r="AH96" s="62"/>
      <c r="AI96" s="62"/>
      <c r="AJ96" s="62"/>
      <c r="AK96" s="62"/>
      <c r="AL96" s="62"/>
      <c r="AM96" s="62"/>
      <c r="AN96" s="62"/>
      <c r="AO96" s="62" t="str">
        <f t="shared" si="14"/>
        <v/>
      </c>
    </row>
    <row r="97" spans="1:41" s="18" customFormat="1" ht="32.450000000000003" customHeight="1" x14ac:dyDescent="0.4">
      <c r="A97" s="62">
        <v>90</v>
      </c>
      <c r="B97" s="108" t="s">
        <v>192</v>
      </c>
      <c r="C97" s="108" t="s">
        <v>38</v>
      </c>
      <c r="D97" s="60" t="s">
        <v>39</v>
      </c>
      <c r="E97" s="60" t="s">
        <v>40</v>
      </c>
      <c r="F97" s="60" t="s">
        <v>107</v>
      </c>
      <c r="G97" s="60" t="s">
        <v>512</v>
      </c>
      <c r="H97" s="59">
        <v>9</v>
      </c>
      <c r="I97" s="63">
        <v>40</v>
      </c>
      <c r="J97" s="64">
        <v>7.4990199999999998</v>
      </c>
      <c r="K97" s="64">
        <v>99.739440000000002</v>
      </c>
      <c r="L97" s="65" t="s">
        <v>109</v>
      </c>
      <c r="M97" s="65" t="s">
        <v>109</v>
      </c>
      <c r="N97" s="62" t="str">
        <f t="shared" si="8"/>
        <v>Complete</v>
      </c>
      <c r="O97" s="62" t="s">
        <v>124</v>
      </c>
      <c r="P97" s="65" t="s">
        <v>380</v>
      </c>
      <c r="Q97" s="65" t="s">
        <v>380</v>
      </c>
      <c r="R97" s="65" t="str">
        <f t="shared" si="9"/>
        <v>Complete</v>
      </c>
      <c r="S97" s="51" t="s">
        <v>448</v>
      </c>
      <c r="T97" s="65" t="s">
        <v>414</v>
      </c>
      <c r="U97" s="65"/>
      <c r="V97" s="62" t="str">
        <f t="shared" si="10"/>
        <v>In progress</v>
      </c>
      <c r="W97" s="62"/>
      <c r="X97" s="62"/>
      <c r="Y97" s="65" t="s">
        <v>110</v>
      </c>
      <c r="Z97" s="73">
        <v>244145</v>
      </c>
      <c r="AA97" s="65" t="str">
        <f t="shared" si="11"/>
        <v>Complete</v>
      </c>
      <c r="AB97" s="73">
        <v>244206</v>
      </c>
      <c r="AC97" s="73" t="s">
        <v>399</v>
      </c>
      <c r="AD97" s="62" t="str">
        <f t="shared" si="12"/>
        <v>Complete</v>
      </c>
      <c r="AE97" s="62" t="s">
        <v>469</v>
      </c>
      <c r="AF97" s="62"/>
      <c r="AG97" s="62" t="str">
        <f t="shared" si="13"/>
        <v>In progress</v>
      </c>
      <c r="AH97" s="62"/>
      <c r="AI97" s="62"/>
      <c r="AJ97" s="62"/>
      <c r="AK97" s="62"/>
      <c r="AL97" s="62"/>
      <c r="AM97" s="62"/>
      <c r="AN97" s="62"/>
      <c r="AO97" s="62" t="str">
        <f t="shared" si="14"/>
        <v/>
      </c>
    </row>
    <row r="98" spans="1:41" s="18" customFormat="1" ht="32.450000000000003" customHeight="1" x14ac:dyDescent="0.4">
      <c r="A98" s="59">
        <v>91</v>
      </c>
      <c r="B98" s="108" t="s">
        <v>152</v>
      </c>
      <c r="C98" s="108" t="s">
        <v>41</v>
      </c>
      <c r="D98" s="60" t="s">
        <v>39</v>
      </c>
      <c r="E98" s="60" t="s">
        <v>40</v>
      </c>
      <c r="F98" s="60" t="s">
        <v>107</v>
      </c>
      <c r="G98" s="60" t="s">
        <v>512</v>
      </c>
      <c r="H98" s="59">
        <v>9</v>
      </c>
      <c r="I98" s="63">
        <v>83</v>
      </c>
      <c r="J98" s="64">
        <v>7.56447</v>
      </c>
      <c r="K98" s="64">
        <v>99.772120000000001</v>
      </c>
      <c r="L98" s="65" t="s">
        <v>109</v>
      </c>
      <c r="M98" s="65" t="s">
        <v>109</v>
      </c>
      <c r="N98" s="62" t="str">
        <f t="shared" si="8"/>
        <v>Complete</v>
      </c>
      <c r="O98" s="62" t="s">
        <v>124</v>
      </c>
      <c r="P98" s="65" t="s">
        <v>380</v>
      </c>
      <c r="Q98" s="65" t="s">
        <v>380</v>
      </c>
      <c r="R98" s="65" t="str">
        <f t="shared" si="9"/>
        <v>Complete</v>
      </c>
      <c r="S98" s="51" t="s">
        <v>448</v>
      </c>
      <c r="T98" s="65" t="s">
        <v>414</v>
      </c>
      <c r="U98" s="65"/>
      <c r="V98" s="62" t="str">
        <f t="shared" si="10"/>
        <v>In progress</v>
      </c>
      <c r="W98" s="62"/>
      <c r="X98" s="62"/>
      <c r="Y98" s="65" t="s">
        <v>110</v>
      </c>
      <c r="Z98" s="73">
        <v>244145</v>
      </c>
      <c r="AA98" s="65" t="str">
        <f t="shared" si="11"/>
        <v>Complete</v>
      </c>
      <c r="AB98" s="73">
        <v>244206</v>
      </c>
      <c r="AC98" s="73" t="s">
        <v>399</v>
      </c>
      <c r="AD98" s="62" t="str">
        <f t="shared" si="12"/>
        <v>Complete</v>
      </c>
      <c r="AE98" s="62" t="s">
        <v>469</v>
      </c>
      <c r="AF98" s="62"/>
      <c r="AG98" s="62" t="str">
        <f t="shared" si="13"/>
        <v>In progress</v>
      </c>
      <c r="AH98" s="62"/>
      <c r="AI98" s="62"/>
      <c r="AJ98" s="62"/>
      <c r="AK98" s="62"/>
      <c r="AL98" s="62"/>
      <c r="AM98" s="62"/>
      <c r="AN98" s="62"/>
      <c r="AO98" s="62" t="str">
        <f t="shared" si="14"/>
        <v/>
      </c>
    </row>
    <row r="99" spans="1:41" s="18" customFormat="1" ht="32.450000000000003" customHeight="1" x14ac:dyDescent="0.4">
      <c r="A99" s="59">
        <v>92</v>
      </c>
      <c r="B99" s="108" t="s">
        <v>172</v>
      </c>
      <c r="C99" s="108" t="s">
        <v>41</v>
      </c>
      <c r="D99" s="60" t="s">
        <v>39</v>
      </c>
      <c r="E99" s="60" t="s">
        <v>40</v>
      </c>
      <c r="F99" s="60" t="s">
        <v>107</v>
      </c>
      <c r="G99" s="60" t="s">
        <v>513</v>
      </c>
      <c r="H99" s="59">
        <v>9</v>
      </c>
      <c r="I99" s="63">
        <v>55</v>
      </c>
      <c r="J99" s="64">
        <v>7.5020499999999997</v>
      </c>
      <c r="K99" s="64">
        <v>99.751189999999994</v>
      </c>
      <c r="L99" s="65" t="s">
        <v>109</v>
      </c>
      <c r="M99" s="65" t="s">
        <v>109</v>
      </c>
      <c r="N99" s="62" t="str">
        <f t="shared" si="8"/>
        <v>Complete</v>
      </c>
      <c r="O99" s="62" t="s">
        <v>124</v>
      </c>
      <c r="P99" s="65" t="s">
        <v>380</v>
      </c>
      <c r="Q99" s="65" t="s">
        <v>380</v>
      </c>
      <c r="R99" s="65" t="str">
        <f t="shared" si="9"/>
        <v>Complete</v>
      </c>
      <c r="S99" s="51" t="s">
        <v>448</v>
      </c>
      <c r="T99" s="65" t="s">
        <v>414</v>
      </c>
      <c r="U99" s="65"/>
      <c r="V99" s="62" t="str">
        <f t="shared" si="10"/>
        <v>In progress</v>
      </c>
      <c r="W99" s="62"/>
      <c r="X99" s="62"/>
      <c r="Y99" s="65" t="s">
        <v>110</v>
      </c>
      <c r="Z99" s="73">
        <v>244145</v>
      </c>
      <c r="AA99" s="65" t="str">
        <f t="shared" si="11"/>
        <v>Complete</v>
      </c>
      <c r="AB99" s="73">
        <v>244206</v>
      </c>
      <c r="AC99" s="73" t="s">
        <v>399</v>
      </c>
      <c r="AD99" s="62" t="str">
        <f t="shared" si="12"/>
        <v>Complete</v>
      </c>
      <c r="AE99" s="62" t="s">
        <v>469</v>
      </c>
      <c r="AF99" s="62"/>
      <c r="AG99" s="62" t="str">
        <f t="shared" si="13"/>
        <v>In progress</v>
      </c>
      <c r="AH99" s="62"/>
      <c r="AI99" s="62"/>
      <c r="AJ99" s="62"/>
      <c r="AK99" s="62"/>
      <c r="AL99" s="62"/>
      <c r="AM99" s="62"/>
      <c r="AN99" s="62"/>
      <c r="AO99" s="62" t="str">
        <f t="shared" si="14"/>
        <v/>
      </c>
    </row>
    <row r="100" spans="1:41" s="18" customFormat="1" ht="32.450000000000003" customHeight="1" x14ac:dyDescent="0.4">
      <c r="A100" s="132">
        <v>93</v>
      </c>
      <c r="B100" s="108" t="s">
        <v>193</v>
      </c>
      <c r="C100" s="108" t="s">
        <v>41</v>
      </c>
      <c r="D100" s="60" t="s">
        <v>39</v>
      </c>
      <c r="E100" s="60" t="s">
        <v>40</v>
      </c>
      <c r="F100" s="60" t="s">
        <v>107</v>
      </c>
      <c r="G100" s="60" t="s">
        <v>512</v>
      </c>
      <c r="H100" s="59">
        <v>9</v>
      </c>
      <c r="I100" s="63">
        <v>54</v>
      </c>
      <c r="J100" s="64">
        <v>7.5360959999999997</v>
      </c>
      <c r="K100" s="64">
        <v>99.757560999999995</v>
      </c>
      <c r="L100" s="65" t="s">
        <v>109</v>
      </c>
      <c r="M100" s="65" t="s">
        <v>109</v>
      </c>
      <c r="N100" s="62" t="str">
        <f>IF(M100&lt;&gt;"", "Complete", IF(L100&lt;&gt;"", "In progress", ""))</f>
        <v>Complete</v>
      </c>
      <c r="O100" s="62" t="s">
        <v>124</v>
      </c>
      <c r="P100" s="65" t="s">
        <v>380</v>
      </c>
      <c r="Q100" s="65" t="s">
        <v>380</v>
      </c>
      <c r="R100" s="65" t="str">
        <f t="shared" si="9"/>
        <v>Complete</v>
      </c>
      <c r="S100" s="51" t="s">
        <v>448</v>
      </c>
      <c r="T100" s="65" t="s">
        <v>414</v>
      </c>
      <c r="U100" s="65"/>
      <c r="V100" s="62" t="str">
        <f>IF(U100&lt;&gt;"", "Complete", IF(T100&lt;&gt;"", "In progress", ""))</f>
        <v>In progress</v>
      </c>
      <c r="W100" s="62"/>
      <c r="X100" s="62"/>
      <c r="Y100" s="65" t="s">
        <v>110</v>
      </c>
      <c r="Z100" s="73">
        <v>244145</v>
      </c>
      <c r="AA100" s="65" t="str">
        <f>IF(Z100&lt;&gt;"", "Complete", IF(Y100&lt;&gt;"", "In progress", ""))</f>
        <v>Complete</v>
      </c>
      <c r="AB100" s="73">
        <v>244206</v>
      </c>
      <c r="AC100" s="73" t="s">
        <v>399</v>
      </c>
      <c r="AD100" s="62" t="str">
        <f>IF(AC100&lt;&gt;"", "Complete", IF(AB100&lt;&gt;"", "In progress", ""))</f>
        <v>Complete</v>
      </c>
      <c r="AE100" s="62" t="s">
        <v>469</v>
      </c>
      <c r="AF100" s="62"/>
      <c r="AG100" s="62" t="str">
        <f>IF(AF100&lt;&gt;"", "Complete", IF(AE100&lt;&gt;"", "In progress", ""))</f>
        <v>In progress</v>
      </c>
      <c r="AH100" s="62"/>
      <c r="AI100" s="62"/>
      <c r="AJ100" s="62"/>
      <c r="AK100" s="62"/>
      <c r="AL100" s="62"/>
      <c r="AM100" s="62"/>
      <c r="AN100" s="62"/>
      <c r="AO100" s="62" t="str">
        <f>IF(AL100&lt;&gt;"", "Complete", IF(AK100&lt;&gt;"", "In progress", ""))</f>
        <v/>
      </c>
    </row>
    <row r="101" spans="1:41" s="18" customFormat="1" ht="32.450000000000003" customHeight="1" x14ac:dyDescent="0.4">
      <c r="A101" s="62">
        <v>94</v>
      </c>
      <c r="B101" s="108" t="s">
        <v>212</v>
      </c>
      <c r="C101" s="108" t="s">
        <v>41</v>
      </c>
      <c r="D101" s="60" t="s">
        <v>39</v>
      </c>
      <c r="E101" s="60" t="s">
        <v>40</v>
      </c>
      <c r="F101" s="60" t="s">
        <v>107</v>
      </c>
      <c r="G101" s="60" t="s">
        <v>512</v>
      </c>
      <c r="H101" s="59">
        <v>9</v>
      </c>
      <c r="I101" s="63">
        <v>60</v>
      </c>
      <c r="J101" s="64">
        <v>7.53742</v>
      </c>
      <c r="K101" s="64">
        <v>99.763360000000006</v>
      </c>
      <c r="L101" s="65" t="s">
        <v>109</v>
      </c>
      <c r="M101" s="65" t="s">
        <v>109</v>
      </c>
      <c r="N101" s="62" t="str">
        <f t="shared" si="8"/>
        <v>Complete</v>
      </c>
      <c r="O101" s="62" t="s">
        <v>124</v>
      </c>
      <c r="P101" s="65" t="s">
        <v>380</v>
      </c>
      <c r="Q101" s="65" t="s">
        <v>380</v>
      </c>
      <c r="R101" s="65" t="str">
        <f t="shared" si="9"/>
        <v>Complete</v>
      </c>
      <c r="S101" s="51" t="s">
        <v>448</v>
      </c>
      <c r="T101" s="65" t="s">
        <v>414</v>
      </c>
      <c r="U101" s="65"/>
      <c r="V101" s="62" t="str">
        <f t="shared" si="10"/>
        <v>In progress</v>
      </c>
      <c r="W101" s="62"/>
      <c r="X101" s="62"/>
      <c r="Y101" s="65" t="s">
        <v>110</v>
      </c>
      <c r="Z101" s="73">
        <v>244145</v>
      </c>
      <c r="AA101" s="65" t="str">
        <f t="shared" si="11"/>
        <v>Complete</v>
      </c>
      <c r="AB101" s="73">
        <v>244206</v>
      </c>
      <c r="AC101" s="73" t="s">
        <v>399</v>
      </c>
      <c r="AD101" s="62" t="str">
        <f t="shared" si="12"/>
        <v>Complete</v>
      </c>
      <c r="AE101" s="62" t="s">
        <v>469</v>
      </c>
      <c r="AF101" s="62"/>
      <c r="AG101" s="62" t="str">
        <f t="shared" si="13"/>
        <v>In progress</v>
      </c>
      <c r="AH101" s="62"/>
      <c r="AI101" s="62"/>
      <c r="AJ101" s="62"/>
      <c r="AK101" s="62"/>
      <c r="AL101" s="62"/>
      <c r="AM101" s="62"/>
      <c r="AN101" s="62"/>
      <c r="AO101" s="62" t="str">
        <f t="shared" si="14"/>
        <v/>
      </c>
    </row>
    <row r="102" spans="1:41" s="18" customFormat="1" ht="32.450000000000003" customHeight="1" x14ac:dyDescent="0.4">
      <c r="A102" s="62">
        <v>95</v>
      </c>
      <c r="B102" s="108" t="s">
        <v>230</v>
      </c>
      <c r="C102" s="108" t="s">
        <v>41</v>
      </c>
      <c r="D102" s="60" t="s">
        <v>39</v>
      </c>
      <c r="E102" s="60" t="s">
        <v>40</v>
      </c>
      <c r="F102" s="60" t="s">
        <v>107</v>
      </c>
      <c r="G102" s="60" t="s">
        <v>306</v>
      </c>
      <c r="H102" s="59">
        <v>9</v>
      </c>
      <c r="I102" s="63">
        <v>61</v>
      </c>
      <c r="J102" s="64">
        <v>7.4976200000000004</v>
      </c>
      <c r="K102" s="64">
        <v>99.771690000000007</v>
      </c>
      <c r="L102" s="65" t="s">
        <v>109</v>
      </c>
      <c r="M102" s="65" t="s">
        <v>109</v>
      </c>
      <c r="N102" s="62" t="str">
        <f t="shared" si="8"/>
        <v>Complete</v>
      </c>
      <c r="O102" s="62" t="s">
        <v>124</v>
      </c>
      <c r="P102" s="65" t="s">
        <v>380</v>
      </c>
      <c r="Q102" s="65" t="s">
        <v>380</v>
      </c>
      <c r="R102" s="65" t="str">
        <f t="shared" si="9"/>
        <v>Complete</v>
      </c>
      <c r="S102" s="51" t="s">
        <v>448</v>
      </c>
      <c r="T102" s="65" t="s">
        <v>414</v>
      </c>
      <c r="U102" s="65"/>
      <c r="V102" s="62" t="str">
        <f t="shared" si="10"/>
        <v>In progress</v>
      </c>
      <c r="W102" s="62"/>
      <c r="X102" s="62"/>
      <c r="Y102" s="65" t="s">
        <v>110</v>
      </c>
      <c r="Z102" s="73">
        <v>244145</v>
      </c>
      <c r="AA102" s="65" t="str">
        <f t="shared" si="11"/>
        <v>Complete</v>
      </c>
      <c r="AB102" s="73">
        <v>244206</v>
      </c>
      <c r="AC102" s="73" t="s">
        <v>399</v>
      </c>
      <c r="AD102" s="62" t="str">
        <f t="shared" si="12"/>
        <v>Complete</v>
      </c>
      <c r="AE102" s="62" t="s">
        <v>469</v>
      </c>
      <c r="AF102" s="62"/>
      <c r="AG102" s="62" t="str">
        <f t="shared" si="13"/>
        <v>In progress</v>
      </c>
      <c r="AH102" s="62"/>
      <c r="AI102" s="62"/>
      <c r="AJ102" s="62"/>
      <c r="AK102" s="62"/>
      <c r="AL102" s="62"/>
      <c r="AM102" s="62"/>
      <c r="AN102" s="62"/>
      <c r="AO102" s="62" t="str">
        <f t="shared" si="14"/>
        <v/>
      </c>
    </row>
    <row r="103" spans="1:41" s="18" customFormat="1" ht="32.450000000000003" customHeight="1" x14ac:dyDescent="0.4">
      <c r="A103" s="59">
        <v>96</v>
      </c>
      <c r="B103" s="108" t="s">
        <v>247</v>
      </c>
      <c r="C103" s="108" t="s">
        <v>41</v>
      </c>
      <c r="D103" s="60" t="s">
        <v>39</v>
      </c>
      <c r="E103" s="60" t="s">
        <v>40</v>
      </c>
      <c r="F103" s="60" t="s">
        <v>107</v>
      </c>
      <c r="G103" s="60" t="s">
        <v>512</v>
      </c>
      <c r="H103" s="59">
        <v>9</v>
      </c>
      <c r="I103" s="63">
        <v>55</v>
      </c>
      <c r="J103" s="64">
        <v>7.5323000000000002</v>
      </c>
      <c r="K103" s="64">
        <v>99.754869999999997</v>
      </c>
      <c r="L103" s="65" t="s">
        <v>109</v>
      </c>
      <c r="M103" s="65" t="s">
        <v>109</v>
      </c>
      <c r="N103" s="62" t="str">
        <f t="shared" si="8"/>
        <v>Complete</v>
      </c>
      <c r="O103" s="62" t="s">
        <v>124</v>
      </c>
      <c r="P103" s="65" t="s">
        <v>380</v>
      </c>
      <c r="Q103" s="65" t="s">
        <v>380</v>
      </c>
      <c r="R103" s="65" t="str">
        <f t="shared" si="9"/>
        <v>Complete</v>
      </c>
      <c r="S103" s="51" t="s">
        <v>448</v>
      </c>
      <c r="T103" s="65" t="s">
        <v>414</v>
      </c>
      <c r="U103" s="65"/>
      <c r="V103" s="62" t="str">
        <f t="shared" si="10"/>
        <v>In progress</v>
      </c>
      <c r="W103" s="62"/>
      <c r="X103" s="62"/>
      <c r="Y103" s="65" t="s">
        <v>110</v>
      </c>
      <c r="Z103" s="73">
        <v>244145</v>
      </c>
      <c r="AA103" s="65" t="str">
        <f t="shared" si="11"/>
        <v>Complete</v>
      </c>
      <c r="AB103" s="73">
        <v>244206</v>
      </c>
      <c r="AC103" s="73" t="s">
        <v>399</v>
      </c>
      <c r="AD103" s="62" t="str">
        <f t="shared" si="12"/>
        <v>Complete</v>
      </c>
      <c r="AE103" s="62" t="s">
        <v>469</v>
      </c>
      <c r="AF103" s="62"/>
      <c r="AG103" s="62" t="str">
        <f t="shared" si="13"/>
        <v>In progress</v>
      </c>
      <c r="AH103" s="62"/>
      <c r="AI103" s="62"/>
      <c r="AJ103" s="62"/>
      <c r="AK103" s="62"/>
      <c r="AL103" s="62"/>
      <c r="AM103" s="62"/>
      <c r="AN103" s="62"/>
      <c r="AO103" s="62" t="str">
        <f t="shared" si="14"/>
        <v/>
      </c>
    </row>
    <row r="104" spans="1:41" s="18" customFormat="1" ht="32.450000000000003" customHeight="1" x14ac:dyDescent="0.4">
      <c r="A104" s="59">
        <v>97</v>
      </c>
      <c r="B104" s="108" t="s">
        <v>258</v>
      </c>
      <c r="C104" s="108" t="s">
        <v>41</v>
      </c>
      <c r="D104" s="60" t="s">
        <v>39</v>
      </c>
      <c r="E104" s="60" t="s">
        <v>40</v>
      </c>
      <c r="F104" s="60" t="s">
        <v>107</v>
      </c>
      <c r="G104" s="60" t="s">
        <v>512</v>
      </c>
      <c r="H104" s="59">
        <v>9</v>
      </c>
      <c r="I104" s="63">
        <v>59</v>
      </c>
      <c r="J104" s="64">
        <v>7.5507</v>
      </c>
      <c r="K104" s="64">
        <v>99.769220000000004</v>
      </c>
      <c r="L104" s="65" t="s">
        <v>109</v>
      </c>
      <c r="M104" s="65" t="s">
        <v>109</v>
      </c>
      <c r="N104" s="62" t="str">
        <f t="shared" si="8"/>
        <v>Complete</v>
      </c>
      <c r="O104" s="62" t="s">
        <v>124</v>
      </c>
      <c r="P104" s="65" t="s">
        <v>380</v>
      </c>
      <c r="Q104" s="65" t="s">
        <v>380</v>
      </c>
      <c r="R104" s="65" t="str">
        <f t="shared" ref="R104:R135" si="15">IF(
  AND(
     OR(H104=9,H104=18,H104=30),
     OR(F104="ภาคเหนือ",F104="ภาคใต้",F104="ภาคตะวันออก",F104="ภาคตะวันตก",F104="ภาคตะวันออกเฉียงเหนือ")
  ),
  IF(Q104&lt;&gt;"","Complete",IF(P104&lt;&gt;"","In progress","")),
  "-"
)</f>
        <v>Complete</v>
      </c>
      <c r="S104" s="51" t="s">
        <v>448</v>
      </c>
      <c r="T104" s="65" t="s">
        <v>414</v>
      </c>
      <c r="U104" s="65"/>
      <c r="V104" s="62" t="str">
        <f t="shared" si="10"/>
        <v>In progress</v>
      </c>
      <c r="W104" s="62"/>
      <c r="X104" s="62"/>
      <c r="Y104" s="65" t="s">
        <v>110</v>
      </c>
      <c r="Z104" s="73">
        <v>244145</v>
      </c>
      <c r="AA104" s="65" t="str">
        <f t="shared" si="11"/>
        <v>Complete</v>
      </c>
      <c r="AB104" s="73">
        <v>244206</v>
      </c>
      <c r="AC104" s="73" t="s">
        <v>399</v>
      </c>
      <c r="AD104" s="62" t="str">
        <f t="shared" si="12"/>
        <v>Complete</v>
      </c>
      <c r="AE104" s="62" t="s">
        <v>469</v>
      </c>
      <c r="AF104" s="62"/>
      <c r="AG104" s="62" t="str">
        <f t="shared" si="13"/>
        <v>In progress</v>
      </c>
      <c r="AH104" s="62"/>
      <c r="AI104" s="62"/>
      <c r="AJ104" s="62"/>
      <c r="AK104" s="62"/>
      <c r="AL104" s="62"/>
      <c r="AM104" s="62"/>
      <c r="AN104" s="62"/>
      <c r="AO104" s="62" t="str">
        <f t="shared" si="14"/>
        <v/>
      </c>
    </row>
    <row r="105" spans="1:41" s="18" customFormat="1" ht="32.450000000000003" customHeight="1" x14ac:dyDescent="0.4">
      <c r="A105" s="59">
        <v>98</v>
      </c>
      <c r="B105" s="108" t="s">
        <v>194</v>
      </c>
      <c r="C105" s="108" t="s">
        <v>42</v>
      </c>
      <c r="D105" s="60" t="s">
        <v>39</v>
      </c>
      <c r="E105" s="60" t="s">
        <v>40</v>
      </c>
      <c r="F105" s="60" t="s">
        <v>107</v>
      </c>
      <c r="G105" s="60" t="s">
        <v>512</v>
      </c>
      <c r="H105" s="59">
        <v>30</v>
      </c>
      <c r="I105" s="63">
        <v>66</v>
      </c>
      <c r="J105" s="64">
        <v>7.61294</v>
      </c>
      <c r="K105" s="64">
        <v>99.736350000000002</v>
      </c>
      <c r="L105" s="65" t="s">
        <v>109</v>
      </c>
      <c r="M105" s="65" t="s">
        <v>109</v>
      </c>
      <c r="N105" s="62" t="str">
        <f t="shared" si="8"/>
        <v>Complete</v>
      </c>
      <c r="O105" s="62" t="s">
        <v>124</v>
      </c>
      <c r="P105" s="65" t="s">
        <v>381</v>
      </c>
      <c r="Q105" s="65" t="s">
        <v>379</v>
      </c>
      <c r="R105" s="65" t="str">
        <f t="shared" si="15"/>
        <v>Complete</v>
      </c>
      <c r="S105" s="51" t="s">
        <v>448</v>
      </c>
      <c r="T105" s="65" t="s">
        <v>414</v>
      </c>
      <c r="U105" s="65"/>
      <c r="V105" s="62" t="str">
        <f t="shared" si="10"/>
        <v>In progress</v>
      </c>
      <c r="W105" s="62"/>
      <c r="X105" s="62"/>
      <c r="Y105" s="65" t="s">
        <v>399</v>
      </c>
      <c r="Z105" s="75" t="s">
        <v>420</v>
      </c>
      <c r="AA105" s="65" t="str">
        <f t="shared" si="11"/>
        <v>Complete</v>
      </c>
      <c r="AB105" s="62" t="s">
        <v>418</v>
      </c>
      <c r="AC105" s="62" t="s">
        <v>447</v>
      </c>
      <c r="AD105" s="62" t="str">
        <f t="shared" si="12"/>
        <v>Complete</v>
      </c>
      <c r="AE105" s="73">
        <v>244470</v>
      </c>
      <c r="AF105" s="73">
        <v>244470</v>
      </c>
      <c r="AG105" s="62" t="str">
        <f t="shared" si="13"/>
        <v>Complete</v>
      </c>
      <c r="AH105" s="62"/>
      <c r="AI105" s="62" t="s">
        <v>450</v>
      </c>
      <c r="AJ105" s="73" t="s">
        <v>453</v>
      </c>
      <c r="AK105" s="62" t="s">
        <v>450</v>
      </c>
      <c r="AL105" s="62" t="s">
        <v>449</v>
      </c>
      <c r="AM105" s="62"/>
      <c r="AN105" s="62"/>
      <c r="AO105" s="62" t="str">
        <f t="shared" si="14"/>
        <v>Complete</v>
      </c>
    </row>
    <row r="106" spans="1:41" s="18" customFormat="1" ht="32.450000000000003" customHeight="1" x14ac:dyDescent="0.4">
      <c r="A106" s="62">
        <v>99</v>
      </c>
      <c r="B106" s="108" t="s">
        <v>440</v>
      </c>
      <c r="C106" s="108" t="s">
        <v>42</v>
      </c>
      <c r="D106" s="60" t="s">
        <v>39</v>
      </c>
      <c r="E106" s="60" t="s">
        <v>40</v>
      </c>
      <c r="F106" s="60" t="s">
        <v>107</v>
      </c>
      <c r="G106" s="60" t="s">
        <v>512</v>
      </c>
      <c r="H106" s="59">
        <v>30</v>
      </c>
      <c r="I106" s="63">
        <v>56</v>
      </c>
      <c r="J106" s="64">
        <v>7.5912300000000004</v>
      </c>
      <c r="K106" s="64">
        <v>99.733189999999993</v>
      </c>
      <c r="L106" s="65" t="s">
        <v>109</v>
      </c>
      <c r="M106" s="65" t="s">
        <v>109</v>
      </c>
      <c r="N106" s="62" t="str">
        <f t="shared" si="8"/>
        <v>Complete</v>
      </c>
      <c r="O106" s="62" t="s">
        <v>124</v>
      </c>
      <c r="P106" s="65" t="s">
        <v>379</v>
      </c>
      <c r="Q106" s="65" t="s">
        <v>381</v>
      </c>
      <c r="R106" s="65" t="str">
        <f t="shared" si="15"/>
        <v>Complete</v>
      </c>
      <c r="S106" s="51" t="s">
        <v>448</v>
      </c>
      <c r="T106" s="65" t="s">
        <v>414</v>
      </c>
      <c r="U106" s="65"/>
      <c r="V106" s="62" t="str">
        <f t="shared" si="10"/>
        <v>In progress</v>
      </c>
      <c r="W106" s="62"/>
      <c r="X106" s="62"/>
      <c r="Y106" s="65" t="s">
        <v>399</v>
      </c>
      <c r="Z106" s="75" t="s">
        <v>420</v>
      </c>
      <c r="AA106" s="65" t="str">
        <f t="shared" si="11"/>
        <v>Complete</v>
      </c>
      <c r="AB106" s="62" t="s">
        <v>418</v>
      </c>
      <c r="AC106" s="62" t="s">
        <v>447</v>
      </c>
      <c r="AD106" s="62" t="str">
        <f t="shared" si="12"/>
        <v>Complete</v>
      </c>
      <c r="AE106" s="73">
        <v>244470</v>
      </c>
      <c r="AF106" s="73">
        <v>244470</v>
      </c>
      <c r="AG106" s="62" t="str">
        <f t="shared" si="13"/>
        <v>Complete</v>
      </c>
      <c r="AH106" s="62"/>
      <c r="AI106" s="62" t="s">
        <v>450</v>
      </c>
      <c r="AJ106" s="73" t="s">
        <v>453</v>
      </c>
      <c r="AK106" s="62" t="s">
        <v>450</v>
      </c>
      <c r="AL106" s="62" t="s">
        <v>449</v>
      </c>
      <c r="AM106" s="62"/>
      <c r="AN106" s="62"/>
      <c r="AO106" s="62" t="str">
        <f t="shared" si="14"/>
        <v>Complete</v>
      </c>
    </row>
    <row r="107" spans="1:41" s="18" customFormat="1" ht="32.450000000000003" customHeight="1" x14ac:dyDescent="0.4">
      <c r="A107" s="62">
        <v>100</v>
      </c>
      <c r="B107" s="108" t="s">
        <v>153</v>
      </c>
      <c r="C107" s="108" t="s">
        <v>43</v>
      </c>
      <c r="D107" s="60" t="s">
        <v>44</v>
      </c>
      <c r="E107" s="60" t="s">
        <v>40</v>
      </c>
      <c r="F107" s="60" t="s">
        <v>107</v>
      </c>
      <c r="G107" s="60" t="s">
        <v>513</v>
      </c>
      <c r="H107" s="59">
        <v>9</v>
      </c>
      <c r="I107" s="63">
        <v>33</v>
      </c>
      <c r="J107" s="64">
        <v>7.4689550000000002</v>
      </c>
      <c r="K107" s="64">
        <v>99.762663000000003</v>
      </c>
      <c r="L107" s="65" t="s">
        <v>109</v>
      </c>
      <c r="M107" s="65" t="s">
        <v>109</v>
      </c>
      <c r="N107" s="62" t="str">
        <f t="shared" si="8"/>
        <v>Complete</v>
      </c>
      <c r="O107" s="62" t="s">
        <v>124</v>
      </c>
      <c r="P107" s="65" t="s">
        <v>380</v>
      </c>
      <c r="Q107" s="65" t="s">
        <v>380</v>
      </c>
      <c r="R107" s="65" t="str">
        <f t="shared" si="15"/>
        <v>Complete</v>
      </c>
      <c r="S107" s="51" t="s">
        <v>448</v>
      </c>
      <c r="T107" s="65" t="s">
        <v>414</v>
      </c>
      <c r="U107" s="65"/>
      <c r="V107" s="62" t="str">
        <f t="shared" si="10"/>
        <v>In progress</v>
      </c>
      <c r="W107" s="62"/>
      <c r="X107" s="62"/>
      <c r="Y107" s="65" t="s">
        <v>110</v>
      </c>
      <c r="Z107" s="73">
        <v>244145</v>
      </c>
      <c r="AA107" s="65" t="str">
        <f t="shared" si="11"/>
        <v>Complete</v>
      </c>
      <c r="AB107" s="73">
        <v>244206</v>
      </c>
      <c r="AC107" s="73" t="s">
        <v>399</v>
      </c>
      <c r="AD107" s="62" t="str">
        <f t="shared" si="12"/>
        <v>Complete</v>
      </c>
      <c r="AE107" s="62" t="s">
        <v>469</v>
      </c>
      <c r="AF107" s="62"/>
      <c r="AG107" s="62" t="str">
        <f t="shared" si="13"/>
        <v>In progress</v>
      </c>
      <c r="AH107" s="62"/>
      <c r="AI107" s="62"/>
      <c r="AJ107" s="62"/>
      <c r="AK107" s="62"/>
      <c r="AL107" s="62"/>
      <c r="AM107" s="62"/>
      <c r="AN107" s="62"/>
      <c r="AO107" s="62" t="str">
        <f t="shared" si="14"/>
        <v/>
      </c>
    </row>
    <row r="108" spans="1:41" s="18" customFormat="1" ht="32.450000000000003" customHeight="1" x14ac:dyDescent="0.4">
      <c r="A108" s="59">
        <v>101</v>
      </c>
      <c r="B108" s="108" t="s">
        <v>173</v>
      </c>
      <c r="C108" s="108" t="s">
        <v>43</v>
      </c>
      <c r="D108" s="60" t="s">
        <v>44</v>
      </c>
      <c r="E108" s="60" t="s">
        <v>40</v>
      </c>
      <c r="F108" s="60" t="s">
        <v>107</v>
      </c>
      <c r="G108" s="60" t="s">
        <v>512</v>
      </c>
      <c r="H108" s="59">
        <v>9</v>
      </c>
      <c r="I108" s="63">
        <v>44</v>
      </c>
      <c r="J108" s="64">
        <v>7.4763299999999999</v>
      </c>
      <c r="K108" s="64">
        <v>99.764160000000004</v>
      </c>
      <c r="L108" s="65" t="s">
        <v>109</v>
      </c>
      <c r="M108" s="65" t="s">
        <v>109</v>
      </c>
      <c r="N108" s="62" t="str">
        <f t="shared" si="8"/>
        <v>Complete</v>
      </c>
      <c r="O108" s="62" t="s">
        <v>124</v>
      </c>
      <c r="P108" s="65" t="s">
        <v>380</v>
      </c>
      <c r="Q108" s="65" t="s">
        <v>380</v>
      </c>
      <c r="R108" s="65" t="str">
        <f t="shared" si="15"/>
        <v>Complete</v>
      </c>
      <c r="S108" s="51" t="s">
        <v>448</v>
      </c>
      <c r="T108" s="65" t="s">
        <v>414</v>
      </c>
      <c r="U108" s="65"/>
      <c r="V108" s="62" t="str">
        <f t="shared" si="10"/>
        <v>In progress</v>
      </c>
      <c r="W108" s="62"/>
      <c r="X108" s="62"/>
      <c r="Y108" s="65" t="s">
        <v>110</v>
      </c>
      <c r="Z108" s="73">
        <v>244145</v>
      </c>
      <c r="AA108" s="65" t="str">
        <f t="shared" si="11"/>
        <v>Complete</v>
      </c>
      <c r="AB108" s="73">
        <v>244206</v>
      </c>
      <c r="AC108" s="73" t="s">
        <v>399</v>
      </c>
      <c r="AD108" s="62" t="str">
        <f t="shared" si="12"/>
        <v>Complete</v>
      </c>
      <c r="AE108" s="62" t="s">
        <v>469</v>
      </c>
      <c r="AF108" s="62"/>
      <c r="AG108" s="62" t="str">
        <f t="shared" si="13"/>
        <v>In progress</v>
      </c>
      <c r="AH108" s="62"/>
      <c r="AI108" s="62"/>
      <c r="AJ108" s="62"/>
      <c r="AK108" s="62"/>
      <c r="AL108" s="62"/>
      <c r="AM108" s="62"/>
      <c r="AN108" s="62"/>
      <c r="AO108" s="62" t="str">
        <f t="shared" si="14"/>
        <v/>
      </c>
    </row>
    <row r="109" spans="1:41" s="18" customFormat="1" ht="32.450000000000003" customHeight="1" x14ac:dyDescent="0.4">
      <c r="A109" s="59">
        <v>102</v>
      </c>
      <c r="B109" s="108" t="s">
        <v>213</v>
      </c>
      <c r="C109" s="108" t="s">
        <v>43</v>
      </c>
      <c r="D109" s="60" t="s">
        <v>44</v>
      </c>
      <c r="E109" s="60" t="s">
        <v>40</v>
      </c>
      <c r="F109" s="60" t="s">
        <v>107</v>
      </c>
      <c r="G109" s="60" t="s">
        <v>512</v>
      </c>
      <c r="H109" s="59">
        <v>9</v>
      </c>
      <c r="I109" s="63">
        <v>33</v>
      </c>
      <c r="J109" s="64">
        <v>7.4562499999999998</v>
      </c>
      <c r="K109" s="64">
        <v>99.786010000000005</v>
      </c>
      <c r="L109" s="65" t="s">
        <v>109</v>
      </c>
      <c r="M109" s="65" t="s">
        <v>109</v>
      </c>
      <c r="N109" s="62" t="str">
        <f t="shared" si="8"/>
        <v>Complete</v>
      </c>
      <c r="O109" s="62" t="s">
        <v>124</v>
      </c>
      <c r="P109" s="65" t="s">
        <v>380</v>
      </c>
      <c r="Q109" s="65" t="s">
        <v>380</v>
      </c>
      <c r="R109" s="65" t="str">
        <f t="shared" si="15"/>
        <v>Complete</v>
      </c>
      <c r="S109" s="51" t="s">
        <v>448</v>
      </c>
      <c r="T109" s="65" t="s">
        <v>414</v>
      </c>
      <c r="U109" s="65"/>
      <c r="V109" s="62" t="str">
        <f t="shared" si="10"/>
        <v>In progress</v>
      </c>
      <c r="W109" s="62"/>
      <c r="X109" s="62"/>
      <c r="Y109" s="65" t="s">
        <v>110</v>
      </c>
      <c r="Z109" s="73">
        <v>244145</v>
      </c>
      <c r="AA109" s="65" t="str">
        <f t="shared" si="11"/>
        <v>Complete</v>
      </c>
      <c r="AB109" s="73">
        <v>244206</v>
      </c>
      <c r="AC109" s="73" t="s">
        <v>399</v>
      </c>
      <c r="AD109" s="62" t="str">
        <f t="shared" si="12"/>
        <v>Complete</v>
      </c>
      <c r="AE109" s="62" t="s">
        <v>469</v>
      </c>
      <c r="AF109" s="62"/>
      <c r="AG109" s="62" t="str">
        <f t="shared" si="13"/>
        <v>In progress</v>
      </c>
      <c r="AH109" s="62"/>
      <c r="AI109" s="62"/>
      <c r="AJ109" s="62"/>
      <c r="AK109" s="62"/>
      <c r="AL109" s="62"/>
      <c r="AM109" s="62"/>
      <c r="AN109" s="62"/>
      <c r="AO109" s="62" t="str">
        <f t="shared" si="14"/>
        <v/>
      </c>
    </row>
    <row r="110" spans="1:41" s="18" customFormat="1" ht="32.450000000000003" customHeight="1" x14ac:dyDescent="0.4">
      <c r="A110" s="59">
        <v>103</v>
      </c>
      <c r="B110" s="108" t="s">
        <v>441</v>
      </c>
      <c r="C110" s="108" t="s">
        <v>43</v>
      </c>
      <c r="D110" s="60" t="s">
        <v>44</v>
      </c>
      <c r="E110" s="60" t="s">
        <v>40</v>
      </c>
      <c r="F110" s="60" t="s">
        <v>107</v>
      </c>
      <c r="G110" s="60" t="s">
        <v>512</v>
      </c>
      <c r="H110" s="59">
        <v>9</v>
      </c>
      <c r="I110" s="63">
        <v>46</v>
      </c>
      <c r="J110" s="64">
        <v>7.47262</v>
      </c>
      <c r="K110" s="64">
        <v>99.785420000000002</v>
      </c>
      <c r="L110" s="65" t="s">
        <v>109</v>
      </c>
      <c r="M110" s="65" t="s">
        <v>109</v>
      </c>
      <c r="N110" s="62" t="str">
        <f t="shared" si="8"/>
        <v>Complete</v>
      </c>
      <c r="O110" s="62" t="s">
        <v>124</v>
      </c>
      <c r="P110" s="65" t="s">
        <v>380</v>
      </c>
      <c r="Q110" s="65" t="s">
        <v>380</v>
      </c>
      <c r="R110" s="65" t="str">
        <f t="shared" si="15"/>
        <v>Complete</v>
      </c>
      <c r="S110" s="51" t="s">
        <v>448</v>
      </c>
      <c r="T110" s="65" t="s">
        <v>414</v>
      </c>
      <c r="U110" s="65"/>
      <c r="V110" s="62" t="str">
        <f t="shared" si="10"/>
        <v>In progress</v>
      </c>
      <c r="W110" s="62"/>
      <c r="X110" s="62"/>
      <c r="Y110" s="65" t="s">
        <v>110</v>
      </c>
      <c r="Z110" s="73">
        <v>244145</v>
      </c>
      <c r="AA110" s="65" t="str">
        <f t="shared" si="11"/>
        <v>Complete</v>
      </c>
      <c r="AB110" s="73">
        <v>244206</v>
      </c>
      <c r="AC110" s="73" t="s">
        <v>399</v>
      </c>
      <c r="AD110" s="62" t="str">
        <f t="shared" si="12"/>
        <v>Complete</v>
      </c>
      <c r="AE110" s="62" t="s">
        <v>469</v>
      </c>
      <c r="AF110" s="62"/>
      <c r="AG110" s="62" t="str">
        <f t="shared" si="13"/>
        <v>In progress</v>
      </c>
      <c r="AH110" s="62"/>
      <c r="AI110" s="62"/>
      <c r="AJ110" s="62"/>
      <c r="AK110" s="62"/>
      <c r="AL110" s="62"/>
      <c r="AM110" s="62"/>
      <c r="AN110" s="62"/>
      <c r="AO110" s="62" t="str">
        <f t="shared" si="14"/>
        <v/>
      </c>
    </row>
    <row r="111" spans="1:41" s="18" customFormat="1" ht="32.450000000000003" customHeight="1" x14ac:dyDescent="0.4">
      <c r="A111" s="62">
        <v>104</v>
      </c>
      <c r="B111" s="108" t="s">
        <v>284</v>
      </c>
      <c r="C111" s="108" t="s">
        <v>43</v>
      </c>
      <c r="D111" s="60" t="s">
        <v>44</v>
      </c>
      <c r="E111" s="60" t="s">
        <v>40</v>
      </c>
      <c r="F111" s="60" t="s">
        <v>107</v>
      </c>
      <c r="G111" s="60" t="s">
        <v>513</v>
      </c>
      <c r="H111" s="59">
        <v>9</v>
      </c>
      <c r="I111" s="63">
        <v>47</v>
      </c>
      <c r="J111" s="64">
        <v>7.4784300000000004</v>
      </c>
      <c r="K111" s="64">
        <v>99.753619999999998</v>
      </c>
      <c r="L111" s="65" t="s">
        <v>109</v>
      </c>
      <c r="M111" s="65" t="s">
        <v>109</v>
      </c>
      <c r="N111" s="62" t="str">
        <f t="shared" si="8"/>
        <v>Complete</v>
      </c>
      <c r="O111" s="62" t="s">
        <v>124</v>
      </c>
      <c r="P111" s="65" t="s">
        <v>380</v>
      </c>
      <c r="Q111" s="65" t="s">
        <v>380</v>
      </c>
      <c r="R111" s="65" t="str">
        <f t="shared" si="15"/>
        <v>Complete</v>
      </c>
      <c r="S111" s="51" t="s">
        <v>448</v>
      </c>
      <c r="T111" s="65" t="s">
        <v>414</v>
      </c>
      <c r="U111" s="65"/>
      <c r="V111" s="62" t="str">
        <f t="shared" si="10"/>
        <v>In progress</v>
      </c>
      <c r="W111" s="62"/>
      <c r="X111" s="62"/>
      <c r="Y111" s="65" t="s">
        <v>110</v>
      </c>
      <c r="Z111" s="73">
        <v>244145</v>
      </c>
      <c r="AA111" s="65" t="str">
        <f t="shared" si="11"/>
        <v>Complete</v>
      </c>
      <c r="AB111" s="73">
        <v>244206</v>
      </c>
      <c r="AC111" s="73" t="s">
        <v>399</v>
      </c>
      <c r="AD111" s="62" t="str">
        <f t="shared" si="12"/>
        <v>Complete</v>
      </c>
      <c r="AE111" s="62" t="s">
        <v>469</v>
      </c>
      <c r="AF111" s="62"/>
      <c r="AG111" s="62" t="str">
        <f t="shared" si="13"/>
        <v>In progress</v>
      </c>
      <c r="AH111" s="62"/>
      <c r="AI111" s="62"/>
      <c r="AJ111" s="62"/>
      <c r="AK111" s="62"/>
      <c r="AL111" s="62"/>
      <c r="AM111" s="62"/>
      <c r="AN111" s="62"/>
      <c r="AO111" s="62" t="str">
        <f t="shared" si="14"/>
        <v/>
      </c>
    </row>
    <row r="112" spans="1:41" s="18" customFormat="1" ht="32.450000000000003" customHeight="1" x14ac:dyDescent="0.4">
      <c r="A112" s="62">
        <v>105</v>
      </c>
      <c r="B112" s="108" t="s">
        <v>154</v>
      </c>
      <c r="C112" s="108" t="s">
        <v>45</v>
      </c>
      <c r="D112" s="60" t="s">
        <v>44</v>
      </c>
      <c r="E112" s="60" t="s">
        <v>40</v>
      </c>
      <c r="F112" s="60" t="s">
        <v>107</v>
      </c>
      <c r="G112" s="60" t="s">
        <v>512</v>
      </c>
      <c r="H112" s="59">
        <v>9</v>
      </c>
      <c r="I112" s="63">
        <v>32</v>
      </c>
      <c r="J112" s="64">
        <v>7.4394450000000001</v>
      </c>
      <c r="K112" s="64">
        <v>99.790953999999999</v>
      </c>
      <c r="L112" s="65" t="s">
        <v>109</v>
      </c>
      <c r="M112" s="65" t="s">
        <v>109</v>
      </c>
      <c r="N112" s="62" t="str">
        <f t="shared" si="8"/>
        <v>Complete</v>
      </c>
      <c r="O112" s="62" t="s">
        <v>124</v>
      </c>
      <c r="P112" s="65" t="s">
        <v>380</v>
      </c>
      <c r="Q112" s="65" t="s">
        <v>380</v>
      </c>
      <c r="R112" s="65" t="str">
        <f t="shared" si="15"/>
        <v>Complete</v>
      </c>
      <c r="S112" s="51" t="s">
        <v>448</v>
      </c>
      <c r="T112" s="65" t="s">
        <v>414</v>
      </c>
      <c r="U112" s="65"/>
      <c r="V112" s="62" t="str">
        <f t="shared" si="10"/>
        <v>In progress</v>
      </c>
      <c r="W112" s="62"/>
      <c r="X112" s="62"/>
      <c r="Y112" s="65" t="s">
        <v>110</v>
      </c>
      <c r="Z112" s="73">
        <v>244145</v>
      </c>
      <c r="AA112" s="65" t="str">
        <f t="shared" si="11"/>
        <v>Complete</v>
      </c>
      <c r="AB112" s="73">
        <v>244206</v>
      </c>
      <c r="AC112" s="73" t="s">
        <v>399</v>
      </c>
      <c r="AD112" s="62" t="str">
        <f t="shared" si="12"/>
        <v>Complete</v>
      </c>
      <c r="AE112" s="62" t="s">
        <v>469</v>
      </c>
      <c r="AF112" s="62"/>
      <c r="AG112" s="62" t="str">
        <f t="shared" si="13"/>
        <v>In progress</v>
      </c>
      <c r="AH112" s="62"/>
      <c r="AI112" s="62"/>
      <c r="AJ112" s="62"/>
      <c r="AK112" s="62"/>
      <c r="AL112" s="62"/>
      <c r="AM112" s="62"/>
      <c r="AN112" s="62"/>
      <c r="AO112" s="62" t="str">
        <f t="shared" si="14"/>
        <v/>
      </c>
    </row>
    <row r="113" spans="1:41" s="18" customFormat="1" ht="32.450000000000003" customHeight="1" x14ac:dyDescent="0.4">
      <c r="A113" s="59">
        <v>106</v>
      </c>
      <c r="B113" s="108" t="s">
        <v>259</v>
      </c>
      <c r="C113" s="108" t="s">
        <v>45</v>
      </c>
      <c r="D113" s="60" t="s">
        <v>44</v>
      </c>
      <c r="E113" s="60" t="s">
        <v>40</v>
      </c>
      <c r="F113" s="60" t="s">
        <v>107</v>
      </c>
      <c r="G113" s="60" t="s">
        <v>513</v>
      </c>
      <c r="H113" s="59">
        <v>18</v>
      </c>
      <c r="I113" s="63">
        <v>35</v>
      </c>
      <c r="J113" s="64">
        <v>7.4383689999999998</v>
      </c>
      <c r="K113" s="64">
        <v>99.768197999999998</v>
      </c>
      <c r="L113" s="65" t="s">
        <v>109</v>
      </c>
      <c r="M113" s="65" t="s">
        <v>109</v>
      </c>
      <c r="N113" s="62" t="str">
        <f t="shared" si="8"/>
        <v>Complete</v>
      </c>
      <c r="O113" s="62" t="s">
        <v>124</v>
      </c>
      <c r="P113" s="65" t="s">
        <v>380</v>
      </c>
      <c r="Q113" s="65" t="s">
        <v>379</v>
      </c>
      <c r="R113" s="65" t="str">
        <f t="shared" si="15"/>
        <v>Complete</v>
      </c>
      <c r="S113" s="51" t="s">
        <v>448</v>
      </c>
      <c r="T113" s="65" t="s">
        <v>414</v>
      </c>
      <c r="U113" s="65"/>
      <c r="V113" s="62" t="str">
        <f t="shared" si="10"/>
        <v>In progress</v>
      </c>
      <c r="W113" s="62"/>
      <c r="X113" s="62"/>
      <c r="Y113" s="65" t="s">
        <v>399</v>
      </c>
      <c r="Z113" s="75" t="s">
        <v>420</v>
      </c>
      <c r="AA113" s="65" t="str">
        <f t="shared" si="11"/>
        <v>Complete</v>
      </c>
      <c r="AB113" s="62" t="s">
        <v>418</v>
      </c>
      <c r="AC113" s="62" t="s">
        <v>447</v>
      </c>
      <c r="AD113" s="62" t="str">
        <f t="shared" si="12"/>
        <v>Complete</v>
      </c>
      <c r="AE113" s="73">
        <v>244470</v>
      </c>
      <c r="AF113" s="73">
        <v>244470</v>
      </c>
      <c r="AG113" s="62" t="str">
        <f t="shared" si="13"/>
        <v>Complete</v>
      </c>
      <c r="AH113" s="62"/>
      <c r="AI113" s="62" t="s">
        <v>450</v>
      </c>
      <c r="AJ113" s="73" t="s">
        <v>453</v>
      </c>
      <c r="AK113" s="62" t="s">
        <v>449</v>
      </c>
      <c r="AL113" s="62"/>
      <c r="AM113" s="62"/>
      <c r="AN113" s="62"/>
      <c r="AO113" s="62" t="str">
        <f t="shared" si="14"/>
        <v>In progress</v>
      </c>
    </row>
    <row r="114" spans="1:41" s="18" customFormat="1" ht="32.450000000000003" customHeight="1" x14ac:dyDescent="0.4">
      <c r="A114" s="59">
        <v>107</v>
      </c>
      <c r="B114" s="108" t="s">
        <v>155</v>
      </c>
      <c r="C114" s="108" t="s">
        <v>46</v>
      </c>
      <c r="D114" s="60" t="s">
        <v>47</v>
      </c>
      <c r="E114" s="60" t="s">
        <v>48</v>
      </c>
      <c r="F114" s="60" t="s">
        <v>104</v>
      </c>
      <c r="G114" s="60" t="s">
        <v>512</v>
      </c>
      <c r="H114" s="62">
        <v>9</v>
      </c>
      <c r="I114" s="63">
        <v>435</v>
      </c>
      <c r="J114" s="64">
        <v>14.513408</v>
      </c>
      <c r="K114" s="64">
        <v>101.744613</v>
      </c>
      <c r="L114" s="65" t="s">
        <v>110</v>
      </c>
      <c r="M114" s="65" t="s">
        <v>108</v>
      </c>
      <c r="N114" s="62" t="str">
        <f t="shared" si="8"/>
        <v>Complete</v>
      </c>
      <c r="O114" s="62" t="s">
        <v>124</v>
      </c>
      <c r="P114" s="65" t="s">
        <v>380</v>
      </c>
      <c r="Q114" s="65" t="s">
        <v>380</v>
      </c>
      <c r="R114" s="65" t="str">
        <f t="shared" si="15"/>
        <v>Complete</v>
      </c>
      <c r="S114" s="51" t="s">
        <v>448</v>
      </c>
      <c r="T114" s="65" t="s">
        <v>413</v>
      </c>
      <c r="U114" s="65"/>
      <c r="V114" s="62" t="str">
        <f t="shared" si="10"/>
        <v>In progress</v>
      </c>
      <c r="W114" s="62"/>
      <c r="X114" s="62"/>
      <c r="Y114" s="65" t="s">
        <v>110</v>
      </c>
      <c r="Z114" s="73">
        <v>244145</v>
      </c>
      <c r="AA114" s="65" t="str">
        <f t="shared" si="11"/>
        <v>Complete</v>
      </c>
      <c r="AB114" s="73">
        <v>244206</v>
      </c>
      <c r="AC114" s="73" t="s">
        <v>399</v>
      </c>
      <c r="AD114" s="62" t="str">
        <f t="shared" si="12"/>
        <v>Complete</v>
      </c>
      <c r="AE114" s="62" t="s">
        <v>469</v>
      </c>
      <c r="AF114" s="62"/>
      <c r="AG114" s="62" t="str">
        <f t="shared" si="13"/>
        <v>In progress</v>
      </c>
      <c r="AH114" s="62"/>
      <c r="AI114" s="62"/>
      <c r="AJ114" s="62"/>
      <c r="AK114" s="62"/>
      <c r="AL114" s="62"/>
      <c r="AM114" s="62"/>
      <c r="AN114" s="62"/>
      <c r="AO114" s="62" t="str">
        <f t="shared" si="14"/>
        <v/>
      </c>
    </row>
    <row r="115" spans="1:41" s="18" customFormat="1" ht="32.450000000000003" customHeight="1" x14ac:dyDescent="0.4">
      <c r="A115" s="59">
        <v>108</v>
      </c>
      <c r="B115" s="108" t="s">
        <v>296</v>
      </c>
      <c r="C115" s="108" t="s">
        <v>46</v>
      </c>
      <c r="D115" s="60" t="s">
        <v>47</v>
      </c>
      <c r="E115" s="60" t="s">
        <v>48</v>
      </c>
      <c r="F115" s="60" t="s">
        <v>104</v>
      </c>
      <c r="G115" s="60" t="s">
        <v>512</v>
      </c>
      <c r="H115" s="62">
        <v>9</v>
      </c>
      <c r="I115" s="63">
        <v>410</v>
      </c>
      <c r="J115" s="64">
        <v>14.511321000000001</v>
      </c>
      <c r="K115" s="64">
        <v>101.700489</v>
      </c>
      <c r="L115" s="65" t="s">
        <v>110</v>
      </c>
      <c r="M115" s="65" t="s">
        <v>109</v>
      </c>
      <c r="N115" s="62" t="str">
        <f t="shared" si="8"/>
        <v>Complete</v>
      </c>
      <c r="O115" s="62" t="s">
        <v>124</v>
      </c>
      <c r="P115" s="65" t="s">
        <v>380</v>
      </c>
      <c r="Q115" s="65" t="s">
        <v>380</v>
      </c>
      <c r="R115" s="65" t="str">
        <f t="shared" si="15"/>
        <v>Complete</v>
      </c>
      <c r="S115" s="51" t="s">
        <v>448</v>
      </c>
      <c r="T115" s="65" t="s">
        <v>414</v>
      </c>
      <c r="U115" s="65"/>
      <c r="V115" s="62" t="str">
        <f t="shared" si="10"/>
        <v>In progress</v>
      </c>
      <c r="W115" s="62"/>
      <c r="X115" s="62"/>
      <c r="Y115" s="65" t="s">
        <v>110</v>
      </c>
      <c r="Z115" s="73">
        <v>244145</v>
      </c>
      <c r="AA115" s="65" t="str">
        <f t="shared" si="11"/>
        <v>Complete</v>
      </c>
      <c r="AB115" s="73">
        <v>244206</v>
      </c>
      <c r="AC115" s="73" t="s">
        <v>399</v>
      </c>
      <c r="AD115" s="62" t="str">
        <f t="shared" si="12"/>
        <v>Complete</v>
      </c>
      <c r="AE115" s="62" t="s">
        <v>469</v>
      </c>
      <c r="AF115" s="62"/>
      <c r="AG115" s="62" t="str">
        <f t="shared" si="13"/>
        <v>In progress</v>
      </c>
      <c r="AH115" s="62"/>
      <c r="AI115" s="62"/>
      <c r="AJ115" s="62"/>
      <c r="AK115" s="62"/>
      <c r="AL115" s="62"/>
      <c r="AM115" s="62"/>
      <c r="AN115" s="62"/>
      <c r="AO115" s="62" t="str">
        <f t="shared" si="14"/>
        <v/>
      </c>
    </row>
    <row r="116" spans="1:41" s="18" customFormat="1" ht="32.450000000000003" customHeight="1" x14ac:dyDescent="0.4">
      <c r="A116" s="62">
        <v>109</v>
      </c>
      <c r="B116" s="108" t="s">
        <v>214</v>
      </c>
      <c r="C116" s="108" t="s">
        <v>46</v>
      </c>
      <c r="D116" s="60" t="s">
        <v>47</v>
      </c>
      <c r="E116" s="60" t="s">
        <v>48</v>
      </c>
      <c r="F116" s="60" t="s">
        <v>104</v>
      </c>
      <c r="G116" s="60" t="s">
        <v>512</v>
      </c>
      <c r="H116" s="62">
        <v>9</v>
      </c>
      <c r="I116" s="63">
        <v>423</v>
      </c>
      <c r="J116" s="64">
        <v>14.465514000000001</v>
      </c>
      <c r="K116" s="64">
        <v>101.715653</v>
      </c>
      <c r="L116" s="65" t="s">
        <v>110</v>
      </c>
      <c r="M116" s="65" t="s">
        <v>377</v>
      </c>
      <c r="N116" s="62" t="str">
        <f t="shared" si="8"/>
        <v>Complete</v>
      </c>
      <c r="O116" s="62" t="s">
        <v>124</v>
      </c>
      <c r="P116" s="65" t="s">
        <v>380</v>
      </c>
      <c r="Q116" s="65" t="s">
        <v>380</v>
      </c>
      <c r="R116" s="65" t="str">
        <f t="shared" si="15"/>
        <v>Complete</v>
      </c>
      <c r="S116" s="51" t="s">
        <v>448</v>
      </c>
      <c r="T116" s="65" t="s">
        <v>415</v>
      </c>
      <c r="U116" s="65"/>
      <c r="V116" s="62" t="str">
        <f t="shared" si="10"/>
        <v>In progress</v>
      </c>
      <c r="W116" s="62"/>
      <c r="X116" s="62"/>
      <c r="Y116" s="65" t="s">
        <v>110</v>
      </c>
      <c r="Z116" s="73">
        <v>244145</v>
      </c>
      <c r="AA116" s="65" t="str">
        <f t="shared" si="11"/>
        <v>Complete</v>
      </c>
      <c r="AB116" s="73">
        <v>244206</v>
      </c>
      <c r="AC116" s="73" t="s">
        <v>399</v>
      </c>
      <c r="AD116" s="62" t="str">
        <f t="shared" si="12"/>
        <v>Complete</v>
      </c>
      <c r="AE116" s="62" t="s">
        <v>469</v>
      </c>
      <c r="AF116" s="62"/>
      <c r="AG116" s="62" t="str">
        <f t="shared" si="13"/>
        <v>In progress</v>
      </c>
      <c r="AH116" s="62"/>
      <c r="AI116" s="62"/>
      <c r="AJ116" s="62"/>
      <c r="AK116" s="62"/>
      <c r="AL116" s="62"/>
      <c r="AM116" s="62"/>
      <c r="AN116" s="62"/>
      <c r="AO116" s="62" t="str">
        <f t="shared" si="14"/>
        <v/>
      </c>
    </row>
    <row r="117" spans="1:41" s="18" customFormat="1" ht="32.450000000000003" customHeight="1" x14ac:dyDescent="0.4">
      <c r="A117" s="62">
        <v>110</v>
      </c>
      <c r="B117" s="108" t="s">
        <v>260</v>
      </c>
      <c r="C117" s="108" t="s">
        <v>46</v>
      </c>
      <c r="D117" s="60" t="s">
        <v>47</v>
      </c>
      <c r="E117" s="60" t="s">
        <v>48</v>
      </c>
      <c r="F117" s="60" t="s">
        <v>104</v>
      </c>
      <c r="G117" s="60" t="s">
        <v>512</v>
      </c>
      <c r="H117" s="62">
        <v>9</v>
      </c>
      <c r="I117" s="63">
        <v>420</v>
      </c>
      <c r="J117" s="64">
        <v>14.481259</v>
      </c>
      <c r="K117" s="64">
        <v>101.692218</v>
      </c>
      <c r="L117" s="65" t="s">
        <v>110</v>
      </c>
      <c r="M117" s="65" t="s">
        <v>377</v>
      </c>
      <c r="N117" s="62" t="str">
        <f t="shared" si="8"/>
        <v>Complete</v>
      </c>
      <c r="O117" s="62" t="s">
        <v>124</v>
      </c>
      <c r="P117" s="65" t="s">
        <v>380</v>
      </c>
      <c r="Q117" s="65" t="s">
        <v>380</v>
      </c>
      <c r="R117" s="65" t="str">
        <f t="shared" si="15"/>
        <v>Complete</v>
      </c>
      <c r="S117" s="51" t="s">
        <v>448</v>
      </c>
      <c r="T117" s="65" t="s">
        <v>415</v>
      </c>
      <c r="U117" s="65"/>
      <c r="V117" s="62" t="str">
        <f t="shared" si="10"/>
        <v>In progress</v>
      </c>
      <c r="W117" s="62"/>
      <c r="X117" s="62"/>
      <c r="Y117" s="65" t="s">
        <v>110</v>
      </c>
      <c r="Z117" s="73">
        <v>244145</v>
      </c>
      <c r="AA117" s="65" t="str">
        <f t="shared" si="11"/>
        <v>Complete</v>
      </c>
      <c r="AB117" s="73">
        <v>244206</v>
      </c>
      <c r="AC117" s="73" t="s">
        <v>399</v>
      </c>
      <c r="AD117" s="62" t="str">
        <f t="shared" si="12"/>
        <v>Complete</v>
      </c>
      <c r="AE117" s="62" t="s">
        <v>469</v>
      </c>
      <c r="AF117" s="62"/>
      <c r="AG117" s="62" t="str">
        <f t="shared" si="13"/>
        <v>In progress</v>
      </c>
      <c r="AH117" s="62"/>
      <c r="AI117" s="62"/>
      <c r="AJ117" s="62"/>
      <c r="AK117" s="62"/>
      <c r="AL117" s="62"/>
      <c r="AM117" s="62"/>
      <c r="AN117" s="62"/>
      <c r="AO117" s="62" t="str">
        <f t="shared" si="14"/>
        <v/>
      </c>
    </row>
    <row r="118" spans="1:41" s="18" customFormat="1" ht="32.450000000000003" customHeight="1" x14ac:dyDescent="0.4">
      <c r="A118" s="59">
        <v>111</v>
      </c>
      <c r="B118" s="108" t="s">
        <v>297</v>
      </c>
      <c r="C118" s="108" t="s">
        <v>46</v>
      </c>
      <c r="D118" s="60" t="s">
        <v>47</v>
      </c>
      <c r="E118" s="60" t="s">
        <v>48</v>
      </c>
      <c r="F118" s="60" t="s">
        <v>104</v>
      </c>
      <c r="G118" s="60" t="s">
        <v>512</v>
      </c>
      <c r="H118" s="62">
        <v>9</v>
      </c>
      <c r="I118" s="63">
        <v>419</v>
      </c>
      <c r="J118" s="64">
        <v>14.460067</v>
      </c>
      <c r="K118" s="64">
        <v>101.703953</v>
      </c>
      <c r="L118" s="65" t="s">
        <v>110</v>
      </c>
      <c r="M118" s="65" t="s">
        <v>377</v>
      </c>
      <c r="N118" s="62" t="str">
        <f t="shared" si="8"/>
        <v>Complete</v>
      </c>
      <c r="O118" s="62" t="s">
        <v>124</v>
      </c>
      <c r="P118" s="65" t="s">
        <v>380</v>
      </c>
      <c r="Q118" s="65" t="s">
        <v>380</v>
      </c>
      <c r="R118" s="65" t="str">
        <f t="shared" si="15"/>
        <v>Complete</v>
      </c>
      <c r="S118" s="51" t="s">
        <v>448</v>
      </c>
      <c r="T118" s="65" t="s">
        <v>415</v>
      </c>
      <c r="U118" s="65"/>
      <c r="V118" s="62" t="str">
        <f t="shared" si="10"/>
        <v>In progress</v>
      </c>
      <c r="W118" s="62"/>
      <c r="X118" s="62"/>
      <c r="Y118" s="65" t="s">
        <v>110</v>
      </c>
      <c r="Z118" s="73">
        <v>244145</v>
      </c>
      <c r="AA118" s="65" t="str">
        <f t="shared" si="11"/>
        <v>Complete</v>
      </c>
      <c r="AB118" s="73">
        <v>244206</v>
      </c>
      <c r="AC118" s="73" t="s">
        <v>399</v>
      </c>
      <c r="AD118" s="62" t="str">
        <f t="shared" si="12"/>
        <v>Complete</v>
      </c>
      <c r="AE118" s="62" t="s">
        <v>469</v>
      </c>
      <c r="AF118" s="62"/>
      <c r="AG118" s="62" t="str">
        <f t="shared" si="13"/>
        <v>In progress</v>
      </c>
      <c r="AH118" s="62"/>
      <c r="AI118" s="62"/>
      <c r="AJ118" s="62"/>
      <c r="AK118" s="62"/>
      <c r="AL118" s="62"/>
      <c r="AM118" s="62"/>
      <c r="AN118" s="62"/>
      <c r="AO118" s="62" t="str">
        <f t="shared" si="14"/>
        <v/>
      </c>
    </row>
    <row r="119" spans="1:41" s="18" customFormat="1" ht="32.450000000000003" customHeight="1" x14ac:dyDescent="0.4">
      <c r="A119" s="59">
        <v>112</v>
      </c>
      <c r="B119" s="108" t="s">
        <v>248</v>
      </c>
      <c r="C119" s="108" t="s">
        <v>46</v>
      </c>
      <c r="D119" s="60" t="s">
        <v>47</v>
      </c>
      <c r="E119" s="60" t="s">
        <v>48</v>
      </c>
      <c r="F119" s="60" t="s">
        <v>104</v>
      </c>
      <c r="G119" s="60" t="s">
        <v>512</v>
      </c>
      <c r="H119" s="62">
        <v>9</v>
      </c>
      <c r="I119" s="63">
        <v>396</v>
      </c>
      <c r="J119" s="64">
        <v>14.487939000000001</v>
      </c>
      <c r="K119" s="64">
        <v>101.682979</v>
      </c>
      <c r="L119" s="65" t="s">
        <v>110</v>
      </c>
      <c r="M119" s="65" t="s">
        <v>377</v>
      </c>
      <c r="N119" s="62" t="str">
        <f t="shared" si="8"/>
        <v>Complete</v>
      </c>
      <c r="O119" s="62" t="s">
        <v>124</v>
      </c>
      <c r="P119" s="65" t="s">
        <v>380</v>
      </c>
      <c r="Q119" s="65" t="s">
        <v>380</v>
      </c>
      <c r="R119" s="65" t="str">
        <f t="shared" si="15"/>
        <v>Complete</v>
      </c>
      <c r="S119" s="51" t="s">
        <v>448</v>
      </c>
      <c r="T119" s="65" t="s">
        <v>415</v>
      </c>
      <c r="U119" s="65"/>
      <c r="V119" s="62" t="str">
        <f t="shared" si="10"/>
        <v>In progress</v>
      </c>
      <c r="W119" s="62"/>
      <c r="X119" s="62"/>
      <c r="Y119" s="65" t="s">
        <v>110</v>
      </c>
      <c r="Z119" s="73">
        <v>244145</v>
      </c>
      <c r="AA119" s="65" t="str">
        <f t="shared" si="11"/>
        <v>Complete</v>
      </c>
      <c r="AB119" s="73">
        <v>244206</v>
      </c>
      <c r="AC119" s="73" t="s">
        <v>399</v>
      </c>
      <c r="AD119" s="62" t="str">
        <f t="shared" si="12"/>
        <v>Complete</v>
      </c>
      <c r="AE119" s="62" t="s">
        <v>469</v>
      </c>
      <c r="AF119" s="62"/>
      <c r="AG119" s="62" t="str">
        <f t="shared" si="13"/>
        <v>In progress</v>
      </c>
      <c r="AH119" s="62"/>
      <c r="AI119" s="62"/>
      <c r="AJ119" s="62"/>
      <c r="AK119" s="62"/>
      <c r="AL119" s="62"/>
      <c r="AM119" s="62"/>
      <c r="AN119" s="62"/>
      <c r="AO119" s="62" t="str">
        <f t="shared" si="14"/>
        <v/>
      </c>
    </row>
    <row r="120" spans="1:41" s="18" customFormat="1" ht="32.450000000000003" customHeight="1" x14ac:dyDescent="0.4">
      <c r="A120" s="59">
        <v>113</v>
      </c>
      <c r="B120" s="108" t="s">
        <v>261</v>
      </c>
      <c r="C120" s="108" t="s">
        <v>46</v>
      </c>
      <c r="D120" s="60" t="s">
        <v>47</v>
      </c>
      <c r="E120" s="60" t="s">
        <v>48</v>
      </c>
      <c r="F120" s="60" t="s">
        <v>104</v>
      </c>
      <c r="G120" s="60" t="s">
        <v>512</v>
      </c>
      <c r="H120" s="62">
        <v>9</v>
      </c>
      <c r="I120" s="63">
        <v>405</v>
      </c>
      <c r="J120" s="64">
        <v>14.476394000000001</v>
      </c>
      <c r="K120" s="64">
        <v>101.716776</v>
      </c>
      <c r="L120" s="65" t="s">
        <v>110</v>
      </c>
      <c r="M120" s="65" t="s">
        <v>109</v>
      </c>
      <c r="N120" s="62" t="str">
        <f t="shared" si="8"/>
        <v>Complete</v>
      </c>
      <c r="O120" s="62" t="s">
        <v>124</v>
      </c>
      <c r="P120" s="65" t="s">
        <v>380</v>
      </c>
      <c r="Q120" s="65" t="s">
        <v>380</v>
      </c>
      <c r="R120" s="65" t="str">
        <f t="shared" si="15"/>
        <v>Complete</v>
      </c>
      <c r="S120" s="51" t="s">
        <v>448</v>
      </c>
      <c r="T120" s="65" t="s">
        <v>414</v>
      </c>
      <c r="U120" s="65"/>
      <c r="V120" s="62" t="str">
        <f t="shared" si="10"/>
        <v>In progress</v>
      </c>
      <c r="W120" s="62"/>
      <c r="X120" s="62"/>
      <c r="Y120" s="65" t="s">
        <v>110</v>
      </c>
      <c r="Z120" s="73">
        <v>244145</v>
      </c>
      <c r="AA120" s="65" t="str">
        <f t="shared" si="11"/>
        <v>Complete</v>
      </c>
      <c r="AB120" s="73">
        <v>244206</v>
      </c>
      <c r="AC120" s="73" t="s">
        <v>399</v>
      </c>
      <c r="AD120" s="62" t="str">
        <f t="shared" si="12"/>
        <v>Complete</v>
      </c>
      <c r="AE120" s="62" t="s">
        <v>469</v>
      </c>
      <c r="AF120" s="62"/>
      <c r="AG120" s="62" t="str">
        <f t="shared" si="13"/>
        <v>In progress</v>
      </c>
      <c r="AH120" s="62"/>
      <c r="AI120" s="62"/>
      <c r="AJ120" s="62"/>
      <c r="AK120" s="62"/>
      <c r="AL120" s="62"/>
      <c r="AM120" s="62"/>
      <c r="AN120" s="62"/>
      <c r="AO120" s="62" t="str">
        <f t="shared" si="14"/>
        <v/>
      </c>
    </row>
    <row r="121" spans="1:41" s="18" customFormat="1" ht="32.450000000000003" customHeight="1" x14ac:dyDescent="0.4">
      <c r="A121" s="62">
        <v>114</v>
      </c>
      <c r="B121" s="108" t="s">
        <v>271</v>
      </c>
      <c r="C121" s="108" t="s">
        <v>46</v>
      </c>
      <c r="D121" s="60" t="s">
        <v>47</v>
      </c>
      <c r="E121" s="60" t="s">
        <v>48</v>
      </c>
      <c r="F121" s="60" t="s">
        <v>104</v>
      </c>
      <c r="G121" s="60" t="s">
        <v>512</v>
      </c>
      <c r="H121" s="62">
        <v>9</v>
      </c>
      <c r="I121" s="63">
        <v>426</v>
      </c>
      <c r="J121" s="64">
        <v>14.487171</v>
      </c>
      <c r="K121" s="64">
        <v>101.714403</v>
      </c>
      <c r="L121" s="65" t="s">
        <v>110</v>
      </c>
      <c r="M121" s="65" t="s">
        <v>109</v>
      </c>
      <c r="N121" s="62" t="str">
        <f t="shared" si="8"/>
        <v>Complete</v>
      </c>
      <c r="O121" s="62" t="s">
        <v>124</v>
      </c>
      <c r="P121" s="65" t="s">
        <v>380</v>
      </c>
      <c r="Q121" s="65" t="s">
        <v>380</v>
      </c>
      <c r="R121" s="65" t="str">
        <f t="shared" si="15"/>
        <v>Complete</v>
      </c>
      <c r="S121" s="51" t="s">
        <v>448</v>
      </c>
      <c r="T121" s="65" t="s">
        <v>414</v>
      </c>
      <c r="U121" s="65"/>
      <c r="V121" s="62" t="str">
        <f t="shared" si="10"/>
        <v>In progress</v>
      </c>
      <c r="W121" s="62"/>
      <c r="X121" s="62"/>
      <c r="Y121" s="65" t="s">
        <v>110</v>
      </c>
      <c r="Z121" s="73">
        <v>244145</v>
      </c>
      <c r="AA121" s="65" t="str">
        <f t="shared" si="11"/>
        <v>Complete</v>
      </c>
      <c r="AB121" s="73">
        <v>244206</v>
      </c>
      <c r="AC121" s="73" t="s">
        <v>399</v>
      </c>
      <c r="AD121" s="62" t="str">
        <f t="shared" si="12"/>
        <v>Complete</v>
      </c>
      <c r="AE121" s="62" t="s">
        <v>469</v>
      </c>
      <c r="AF121" s="62"/>
      <c r="AG121" s="62" t="str">
        <f t="shared" si="13"/>
        <v>In progress</v>
      </c>
      <c r="AH121" s="62"/>
      <c r="AI121" s="62"/>
      <c r="AJ121" s="62"/>
      <c r="AK121" s="62"/>
      <c r="AL121" s="62"/>
      <c r="AM121" s="62"/>
      <c r="AN121" s="62"/>
      <c r="AO121" s="62" t="str">
        <f t="shared" si="14"/>
        <v/>
      </c>
    </row>
    <row r="122" spans="1:41" s="18" customFormat="1" ht="32.450000000000003" customHeight="1" x14ac:dyDescent="0.4">
      <c r="A122" s="62">
        <v>115</v>
      </c>
      <c r="B122" s="108" t="s">
        <v>285</v>
      </c>
      <c r="C122" s="108" t="s">
        <v>46</v>
      </c>
      <c r="D122" s="60" t="s">
        <v>47</v>
      </c>
      <c r="E122" s="60" t="s">
        <v>48</v>
      </c>
      <c r="F122" s="60" t="s">
        <v>104</v>
      </c>
      <c r="G122" s="60" t="s">
        <v>512</v>
      </c>
      <c r="H122" s="62">
        <v>9</v>
      </c>
      <c r="I122" s="63">
        <v>424</v>
      </c>
      <c r="J122" s="64">
        <v>14.516806000000001</v>
      </c>
      <c r="K122" s="64">
        <v>101.677474</v>
      </c>
      <c r="L122" s="65" t="s">
        <v>110</v>
      </c>
      <c r="M122" s="65" t="s">
        <v>135</v>
      </c>
      <c r="N122" s="62" t="str">
        <f t="shared" si="8"/>
        <v>Complete</v>
      </c>
      <c r="O122" s="62" t="s">
        <v>124</v>
      </c>
      <c r="P122" s="65" t="s">
        <v>380</v>
      </c>
      <c r="Q122" s="65" t="s">
        <v>380</v>
      </c>
      <c r="R122" s="65" t="str">
        <f t="shared" si="15"/>
        <v>Complete</v>
      </c>
      <c r="S122" s="51" t="s">
        <v>448</v>
      </c>
      <c r="T122" s="65" t="s">
        <v>416</v>
      </c>
      <c r="U122" s="65"/>
      <c r="V122" s="62" t="str">
        <f t="shared" si="10"/>
        <v>In progress</v>
      </c>
      <c r="W122" s="62"/>
      <c r="X122" s="62"/>
      <c r="Y122" s="65" t="s">
        <v>110</v>
      </c>
      <c r="Z122" s="73">
        <v>244145</v>
      </c>
      <c r="AA122" s="65" t="str">
        <f t="shared" si="11"/>
        <v>Complete</v>
      </c>
      <c r="AB122" s="73">
        <v>244206</v>
      </c>
      <c r="AC122" s="73" t="s">
        <v>399</v>
      </c>
      <c r="AD122" s="62" t="str">
        <f t="shared" si="12"/>
        <v>Complete</v>
      </c>
      <c r="AE122" s="62" t="s">
        <v>469</v>
      </c>
      <c r="AF122" s="62"/>
      <c r="AG122" s="62" t="str">
        <f t="shared" si="13"/>
        <v>In progress</v>
      </c>
      <c r="AH122" s="62"/>
      <c r="AI122" s="62"/>
      <c r="AJ122" s="62"/>
      <c r="AK122" s="62"/>
      <c r="AL122" s="62"/>
      <c r="AM122" s="62"/>
      <c r="AN122" s="62"/>
      <c r="AO122" s="62" t="str">
        <f t="shared" si="14"/>
        <v/>
      </c>
    </row>
    <row r="123" spans="1:41" s="18" customFormat="1" ht="32.450000000000003" customHeight="1" x14ac:dyDescent="0.4">
      <c r="A123" s="59">
        <v>116</v>
      </c>
      <c r="B123" s="108" t="s">
        <v>174</v>
      </c>
      <c r="C123" s="108" t="s">
        <v>49</v>
      </c>
      <c r="D123" s="60" t="s">
        <v>50</v>
      </c>
      <c r="E123" s="60" t="s">
        <v>48</v>
      </c>
      <c r="F123" s="60" t="s">
        <v>104</v>
      </c>
      <c r="G123" s="60" t="s">
        <v>512</v>
      </c>
      <c r="H123" s="62">
        <v>9</v>
      </c>
      <c r="I123" s="63">
        <v>314</v>
      </c>
      <c r="J123" s="64">
        <v>14.529062</v>
      </c>
      <c r="K123" s="64">
        <v>101.74144200000001</v>
      </c>
      <c r="L123" s="65" t="s">
        <v>110</v>
      </c>
      <c r="M123" s="65" t="s">
        <v>135</v>
      </c>
      <c r="N123" s="62" t="str">
        <f t="shared" si="8"/>
        <v>Complete</v>
      </c>
      <c r="O123" s="62" t="s">
        <v>124</v>
      </c>
      <c r="P123" s="65" t="s">
        <v>380</v>
      </c>
      <c r="Q123" s="65" t="s">
        <v>380</v>
      </c>
      <c r="R123" s="65" t="str">
        <f t="shared" si="15"/>
        <v>Complete</v>
      </c>
      <c r="S123" s="51" t="s">
        <v>448</v>
      </c>
      <c r="T123" s="65" t="s">
        <v>416</v>
      </c>
      <c r="U123" s="65"/>
      <c r="V123" s="62" t="str">
        <f t="shared" si="10"/>
        <v>In progress</v>
      </c>
      <c r="W123" s="62"/>
      <c r="X123" s="62"/>
      <c r="Y123" s="65" t="s">
        <v>110</v>
      </c>
      <c r="Z123" s="73">
        <v>244145</v>
      </c>
      <c r="AA123" s="65" t="str">
        <f t="shared" si="11"/>
        <v>Complete</v>
      </c>
      <c r="AB123" s="73">
        <v>244206</v>
      </c>
      <c r="AC123" s="73" t="s">
        <v>399</v>
      </c>
      <c r="AD123" s="62" t="str">
        <f t="shared" si="12"/>
        <v>Complete</v>
      </c>
      <c r="AE123" s="62" t="s">
        <v>469</v>
      </c>
      <c r="AF123" s="62"/>
      <c r="AG123" s="62" t="str">
        <f t="shared" si="13"/>
        <v>In progress</v>
      </c>
      <c r="AH123" s="62"/>
      <c r="AI123" s="62"/>
      <c r="AJ123" s="62"/>
      <c r="AK123" s="62"/>
      <c r="AL123" s="62"/>
      <c r="AM123" s="62"/>
      <c r="AN123" s="62"/>
      <c r="AO123" s="62" t="str">
        <f t="shared" si="14"/>
        <v/>
      </c>
    </row>
    <row r="124" spans="1:41" s="18" customFormat="1" ht="32.450000000000003" customHeight="1" x14ac:dyDescent="0.4">
      <c r="A124" s="59">
        <v>117</v>
      </c>
      <c r="B124" s="108" t="s">
        <v>195</v>
      </c>
      <c r="C124" s="108" t="s">
        <v>49</v>
      </c>
      <c r="D124" s="60" t="s">
        <v>50</v>
      </c>
      <c r="E124" s="60" t="s">
        <v>48</v>
      </c>
      <c r="F124" s="60" t="s">
        <v>104</v>
      </c>
      <c r="G124" s="60" t="s">
        <v>512</v>
      </c>
      <c r="H124" s="62">
        <v>9</v>
      </c>
      <c r="I124" s="63">
        <v>333</v>
      </c>
      <c r="J124" s="64">
        <v>14.560396000000001</v>
      </c>
      <c r="K124" s="64" t="s">
        <v>370</v>
      </c>
      <c r="L124" s="65" t="s">
        <v>110</v>
      </c>
      <c r="M124" s="65" t="s">
        <v>135</v>
      </c>
      <c r="N124" s="62" t="str">
        <f t="shared" si="8"/>
        <v>Complete</v>
      </c>
      <c r="O124" s="62" t="s">
        <v>124</v>
      </c>
      <c r="P124" s="65" t="s">
        <v>380</v>
      </c>
      <c r="Q124" s="65" t="s">
        <v>380</v>
      </c>
      <c r="R124" s="65" t="str">
        <f t="shared" si="15"/>
        <v>Complete</v>
      </c>
      <c r="S124" s="51" t="s">
        <v>448</v>
      </c>
      <c r="T124" s="65" t="s">
        <v>416</v>
      </c>
      <c r="U124" s="65"/>
      <c r="V124" s="62" t="str">
        <f t="shared" si="10"/>
        <v>In progress</v>
      </c>
      <c r="W124" s="62"/>
      <c r="X124" s="62"/>
      <c r="Y124" s="65" t="s">
        <v>110</v>
      </c>
      <c r="Z124" s="73">
        <v>244145</v>
      </c>
      <c r="AA124" s="65" t="str">
        <f t="shared" si="11"/>
        <v>Complete</v>
      </c>
      <c r="AB124" s="73">
        <v>244206</v>
      </c>
      <c r="AC124" s="73" t="s">
        <v>399</v>
      </c>
      <c r="AD124" s="62" t="str">
        <f t="shared" si="12"/>
        <v>Complete</v>
      </c>
      <c r="AE124" s="62" t="s">
        <v>469</v>
      </c>
      <c r="AF124" s="62"/>
      <c r="AG124" s="62" t="str">
        <f t="shared" si="13"/>
        <v>In progress</v>
      </c>
      <c r="AH124" s="62"/>
      <c r="AI124" s="62"/>
      <c r="AJ124" s="62"/>
      <c r="AK124" s="62"/>
      <c r="AL124" s="62"/>
      <c r="AM124" s="62"/>
      <c r="AN124" s="62"/>
      <c r="AO124" s="62" t="str">
        <f t="shared" si="14"/>
        <v/>
      </c>
    </row>
    <row r="125" spans="1:41" s="18" customFormat="1" ht="32.450000000000003" customHeight="1" x14ac:dyDescent="0.4">
      <c r="A125" s="59">
        <v>118</v>
      </c>
      <c r="B125" s="108" t="s">
        <v>215</v>
      </c>
      <c r="C125" s="108" t="s">
        <v>49</v>
      </c>
      <c r="D125" s="60" t="s">
        <v>50</v>
      </c>
      <c r="E125" s="60" t="s">
        <v>48</v>
      </c>
      <c r="F125" s="60" t="s">
        <v>104</v>
      </c>
      <c r="G125" s="60" t="s">
        <v>512</v>
      </c>
      <c r="H125" s="62">
        <v>9</v>
      </c>
      <c r="I125" s="63">
        <v>287</v>
      </c>
      <c r="J125" s="64">
        <v>14.517844</v>
      </c>
      <c r="K125" s="64">
        <v>101.75394799999999</v>
      </c>
      <c r="L125" s="65" t="s">
        <v>110</v>
      </c>
      <c r="M125" s="65" t="s">
        <v>377</v>
      </c>
      <c r="N125" s="62" t="str">
        <f t="shared" si="8"/>
        <v>Complete</v>
      </c>
      <c r="O125" s="62" t="s">
        <v>124</v>
      </c>
      <c r="P125" s="65" t="s">
        <v>380</v>
      </c>
      <c r="Q125" s="65" t="s">
        <v>380</v>
      </c>
      <c r="R125" s="65" t="str">
        <f t="shared" si="15"/>
        <v>Complete</v>
      </c>
      <c r="S125" s="51" t="s">
        <v>448</v>
      </c>
      <c r="T125" s="65" t="s">
        <v>415</v>
      </c>
      <c r="U125" s="65"/>
      <c r="V125" s="62" t="str">
        <f t="shared" si="10"/>
        <v>In progress</v>
      </c>
      <c r="W125" s="62"/>
      <c r="X125" s="62"/>
      <c r="Y125" s="65" t="s">
        <v>110</v>
      </c>
      <c r="Z125" s="73">
        <v>244145</v>
      </c>
      <c r="AA125" s="65" t="str">
        <f t="shared" si="11"/>
        <v>Complete</v>
      </c>
      <c r="AB125" s="73">
        <v>244206</v>
      </c>
      <c r="AC125" s="73" t="s">
        <v>399</v>
      </c>
      <c r="AD125" s="62" t="str">
        <f t="shared" si="12"/>
        <v>Complete</v>
      </c>
      <c r="AE125" s="62" t="s">
        <v>469</v>
      </c>
      <c r="AF125" s="62"/>
      <c r="AG125" s="62" t="str">
        <f t="shared" si="13"/>
        <v>In progress</v>
      </c>
      <c r="AH125" s="62"/>
      <c r="AI125" s="62"/>
      <c r="AJ125" s="62"/>
      <c r="AK125" s="62"/>
      <c r="AL125" s="62"/>
      <c r="AM125" s="62"/>
      <c r="AN125" s="62"/>
      <c r="AO125" s="62" t="str">
        <f t="shared" si="14"/>
        <v/>
      </c>
    </row>
    <row r="126" spans="1:41" s="18" customFormat="1" ht="32.450000000000003" customHeight="1" x14ac:dyDescent="0.4">
      <c r="A126" s="62">
        <v>119</v>
      </c>
      <c r="B126" s="108" t="s">
        <v>231</v>
      </c>
      <c r="C126" s="108" t="s">
        <v>49</v>
      </c>
      <c r="D126" s="60" t="s">
        <v>50</v>
      </c>
      <c r="E126" s="60" t="s">
        <v>48</v>
      </c>
      <c r="F126" s="60" t="s">
        <v>104</v>
      </c>
      <c r="G126" s="60" t="s">
        <v>304</v>
      </c>
      <c r="H126" s="62">
        <v>18</v>
      </c>
      <c r="I126" s="63">
        <v>327</v>
      </c>
      <c r="J126" s="64">
        <v>14.546567</v>
      </c>
      <c r="K126" s="64">
        <v>101.72156200000001</v>
      </c>
      <c r="L126" s="65" t="s">
        <v>110</v>
      </c>
      <c r="M126" s="65" t="s">
        <v>135</v>
      </c>
      <c r="N126" s="62" t="str">
        <f t="shared" si="8"/>
        <v>Complete</v>
      </c>
      <c r="O126" s="62" t="s">
        <v>124</v>
      </c>
      <c r="P126" s="65" t="s">
        <v>384</v>
      </c>
      <c r="Q126" s="65" t="s">
        <v>383</v>
      </c>
      <c r="R126" s="65" t="str">
        <f t="shared" si="15"/>
        <v>Complete</v>
      </c>
      <c r="S126" s="51" t="s">
        <v>448</v>
      </c>
      <c r="T126" s="65" t="s">
        <v>416</v>
      </c>
      <c r="U126" s="65"/>
      <c r="V126" s="62" t="str">
        <f t="shared" si="10"/>
        <v>In progress</v>
      </c>
      <c r="W126" s="62"/>
      <c r="X126" s="62"/>
      <c r="Y126" s="65" t="s">
        <v>399</v>
      </c>
      <c r="Z126" s="75" t="s">
        <v>420</v>
      </c>
      <c r="AA126" s="65" t="str">
        <f t="shared" si="11"/>
        <v>Complete</v>
      </c>
      <c r="AB126" s="62" t="s">
        <v>418</v>
      </c>
      <c r="AC126" s="62" t="s">
        <v>447</v>
      </c>
      <c r="AD126" s="62" t="str">
        <f t="shared" si="12"/>
        <v>Complete</v>
      </c>
      <c r="AE126" s="73">
        <v>244470</v>
      </c>
      <c r="AF126" s="73">
        <v>244470</v>
      </c>
      <c r="AG126" s="62" t="str">
        <f t="shared" si="13"/>
        <v>Complete</v>
      </c>
      <c r="AH126" s="62"/>
      <c r="AI126" s="62" t="s">
        <v>450</v>
      </c>
      <c r="AJ126" s="73" t="s">
        <v>451</v>
      </c>
      <c r="AK126" s="62" t="s">
        <v>450</v>
      </c>
      <c r="AL126" s="62" t="s">
        <v>449</v>
      </c>
      <c r="AM126" s="62"/>
      <c r="AN126" s="62"/>
      <c r="AO126" s="62" t="str">
        <f t="shared" si="14"/>
        <v>Complete</v>
      </c>
    </row>
    <row r="127" spans="1:41" s="18" customFormat="1" ht="32.450000000000003" customHeight="1" x14ac:dyDescent="0.4">
      <c r="A127" s="62">
        <v>120</v>
      </c>
      <c r="B127" s="108" t="s">
        <v>175</v>
      </c>
      <c r="C127" s="108" t="s">
        <v>51</v>
      </c>
      <c r="D127" s="60" t="s">
        <v>50</v>
      </c>
      <c r="E127" s="60" t="s">
        <v>48</v>
      </c>
      <c r="F127" s="60" t="s">
        <v>104</v>
      </c>
      <c r="G127" s="60" t="s">
        <v>512</v>
      </c>
      <c r="H127" s="62">
        <v>9</v>
      </c>
      <c r="I127" s="63">
        <v>431</v>
      </c>
      <c r="J127" s="64">
        <v>14.392044</v>
      </c>
      <c r="K127" s="64">
        <v>101.69290100000001</v>
      </c>
      <c r="L127" s="65" t="s">
        <v>110</v>
      </c>
      <c r="M127" s="65" t="s">
        <v>109</v>
      </c>
      <c r="N127" s="62" t="str">
        <f t="shared" si="8"/>
        <v>Complete</v>
      </c>
      <c r="O127" s="62" t="s">
        <v>124</v>
      </c>
      <c r="P127" s="65" t="s">
        <v>380</v>
      </c>
      <c r="Q127" s="65" t="s">
        <v>380</v>
      </c>
      <c r="R127" s="65" t="str">
        <f t="shared" si="15"/>
        <v>Complete</v>
      </c>
      <c r="S127" s="51" t="s">
        <v>448</v>
      </c>
      <c r="T127" s="65" t="s">
        <v>414</v>
      </c>
      <c r="U127" s="65"/>
      <c r="V127" s="62" t="str">
        <f t="shared" si="10"/>
        <v>In progress</v>
      </c>
      <c r="W127" s="62"/>
      <c r="X127" s="62"/>
      <c r="Y127" s="65" t="s">
        <v>110</v>
      </c>
      <c r="Z127" s="73">
        <v>244145</v>
      </c>
      <c r="AA127" s="65" t="str">
        <f t="shared" si="11"/>
        <v>Complete</v>
      </c>
      <c r="AB127" s="73">
        <v>244206</v>
      </c>
      <c r="AC127" s="73" t="s">
        <v>399</v>
      </c>
      <c r="AD127" s="62" t="str">
        <f t="shared" si="12"/>
        <v>Complete</v>
      </c>
      <c r="AE127" s="62" t="s">
        <v>469</v>
      </c>
      <c r="AF127" s="62"/>
      <c r="AG127" s="62" t="str">
        <f t="shared" si="13"/>
        <v>In progress</v>
      </c>
      <c r="AH127" s="62"/>
      <c r="AI127" s="62"/>
      <c r="AJ127" s="62"/>
      <c r="AK127" s="62"/>
      <c r="AL127" s="62"/>
      <c r="AM127" s="62"/>
      <c r="AN127" s="62"/>
      <c r="AO127" s="62" t="str">
        <f t="shared" si="14"/>
        <v/>
      </c>
    </row>
    <row r="128" spans="1:41" s="18" customFormat="1" ht="32.450000000000003" customHeight="1" x14ac:dyDescent="0.4">
      <c r="A128" s="59">
        <v>121</v>
      </c>
      <c r="B128" s="108" t="s">
        <v>196</v>
      </c>
      <c r="C128" s="108" t="s">
        <v>51</v>
      </c>
      <c r="D128" s="60" t="s">
        <v>50</v>
      </c>
      <c r="E128" s="60" t="s">
        <v>48</v>
      </c>
      <c r="F128" s="60" t="s">
        <v>104</v>
      </c>
      <c r="G128" s="60" t="s">
        <v>512</v>
      </c>
      <c r="H128" s="62">
        <v>9</v>
      </c>
      <c r="I128" s="63">
        <v>310</v>
      </c>
      <c r="J128" s="64">
        <v>14.486357</v>
      </c>
      <c r="K128" s="64">
        <v>101.77295700000001</v>
      </c>
      <c r="L128" s="65" t="s">
        <v>110</v>
      </c>
      <c r="M128" s="65" t="s">
        <v>377</v>
      </c>
      <c r="N128" s="62" t="str">
        <f t="shared" si="8"/>
        <v>Complete</v>
      </c>
      <c r="O128" s="62" t="s">
        <v>124</v>
      </c>
      <c r="P128" s="65" t="s">
        <v>380</v>
      </c>
      <c r="Q128" s="65" t="s">
        <v>380</v>
      </c>
      <c r="R128" s="65" t="str">
        <f t="shared" si="15"/>
        <v>Complete</v>
      </c>
      <c r="S128" s="51" t="s">
        <v>448</v>
      </c>
      <c r="T128" s="65" t="s">
        <v>415</v>
      </c>
      <c r="U128" s="65"/>
      <c r="V128" s="62" t="str">
        <f t="shared" si="10"/>
        <v>In progress</v>
      </c>
      <c r="W128" s="62"/>
      <c r="X128" s="62"/>
      <c r="Y128" s="65" t="s">
        <v>110</v>
      </c>
      <c r="Z128" s="73">
        <v>244145</v>
      </c>
      <c r="AA128" s="65" t="str">
        <f t="shared" si="11"/>
        <v>Complete</v>
      </c>
      <c r="AB128" s="73">
        <v>244206</v>
      </c>
      <c r="AC128" s="73" t="s">
        <v>399</v>
      </c>
      <c r="AD128" s="62" t="str">
        <f t="shared" si="12"/>
        <v>Complete</v>
      </c>
      <c r="AE128" s="62" t="s">
        <v>469</v>
      </c>
      <c r="AF128" s="62"/>
      <c r="AG128" s="62" t="str">
        <f t="shared" si="13"/>
        <v>In progress</v>
      </c>
      <c r="AH128" s="62"/>
      <c r="AI128" s="62"/>
      <c r="AJ128" s="62"/>
      <c r="AK128" s="62"/>
      <c r="AL128" s="62"/>
      <c r="AM128" s="62"/>
      <c r="AN128" s="62"/>
      <c r="AO128" s="62" t="str">
        <f t="shared" si="14"/>
        <v/>
      </c>
    </row>
    <row r="129" spans="1:41" s="18" customFormat="1" ht="32.450000000000003" customHeight="1" x14ac:dyDescent="0.4">
      <c r="A129" s="132">
        <v>122</v>
      </c>
      <c r="B129" s="108" t="s">
        <v>216</v>
      </c>
      <c r="C129" s="108" t="s">
        <v>51</v>
      </c>
      <c r="D129" s="60" t="s">
        <v>50</v>
      </c>
      <c r="E129" s="60" t="s">
        <v>48</v>
      </c>
      <c r="F129" s="60" t="s">
        <v>104</v>
      </c>
      <c r="G129" s="60" t="s">
        <v>513</v>
      </c>
      <c r="H129" s="62">
        <v>9</v>
      </c>
      <c r="I129" s="63">
        <v>440</v>
      </c>
      <c r="J129" s="64">
        <v>14.452838</v>
      </c>
      <c r="K129" s="64">
        <v>101.729484</v>
      </c>
      <c r="L129" s="65" t="s">
        <v>110</v>
      </c>
      <c r="M129" s="65" t="s">
        <v>377</v>
      </c>
      <c r="N129" s="62" t="str">
        <f t="shared" si="8"/>
        <v>Complete</v>
      </c>
      <c r="O129" s="62" t="s">
        <v>124</v>
      </c>
      <c r="P129" s="65" t="s">
        <v>380</v>
      </c>
      <c r="Q129" s="65" t="s">
        <v>380</v>
      </c>
      <c r="R129" s="65" t="str">
        <f t="shared" si="15"/>
        <v>Complete</v>
      </c>
      <c r="S129" s="51" t="s">
        <v>448</v>
      </c>
      <c r="T129" s="65" t="s">
        <v>415</v>
      </c>
      <c r="U129" s="65"/>
      <c r="V129" s="62" t="str">
        <f t="shared" si="10"/>
        <v>In progress</v>
      </c>
      <c r="W129" s="62"/>
      <c r="X129" s="62"/>
      <c r="Y129" s="65" t="s">
        <v>110</v>
      </c>
      <c r="Z129" s="73">
        <v>244145</v>
      </c>
      <c r="AA129" s="65" t="str">
        <f t="shared" si="11"/>
        <v>Complete</v>
      </c>
      <c r="AB129" s="73">
        <v>244206</v>
      </c>
      <c r="AC129" s="73" t="s">
        <v>399</v>
      </c>
      <c r="AD129" s="62" t="str">
        <f t="shared" si="12"/>
        <v>Complete</v>
      </c>
      <c r="AE129" s="62" t="s">
        <v>469</v>
      </c>
      <c r="AF129" s="62"/>
      <c r="AG129" s="62" t="str">
        <f t="shared" si="13"/>
        <v>In progress</v>
      </c>
      <c r="AH129" s="62"/>
      <c r="AI129" s="62"/>
      <c r="AJ129" s="62"/>
      <c r="AK129" s="62"/>
      <c r="AL129" s="62"/>
      <c r="AM129" s="62"/>
      <c r="AN129" s="62"/>
      <c r="AO129" s="62" t="str">
        <f t="shared" si="14"/>
        <v/>
      </c>
    </row>
    <row r="130" spans="1:41" s="18" customFormat="1" ht="32.450000000000003" customHeight="1" x14ac:dyDescent="0.4">
      <c r="A130" s="59">
        <v>123</v>
      </c>
      <c r="B130" s="108" t="s">
        <v>262</v>
      </c>
      <c r="C130" s="108" t="s">
        <v>51</v>
      </c>
      <c r="D130" s="60" t="s">
        <v>50</v>
      </c>
      <c r="E130" s="60" t="s">
        <v>48</v>
      </c>
      <c r="F130" s="60" t="s">
        <v>104</v>
      </c>
      <c r="G130" s="60" t="s">
        <v>512</v>
      </c>
      <c r="H130" s="62">
        <v>9</v>
      </c>
      <c r="I130" s="63">
        <v>452</v>
      </c>
      <c r="J130" s="64">
        <v>14.43737</v>
      </c>
      <c r="K130" s="64">
        <v>101.70217599999999</v>
      </c>
      <c r="L130" s="65" t="s">
        <v>110</v>
      </c>
      <c r="M130" s="65" t="s">
        <v>108</v>
      </c>
      <c r="N130" s="62" t="str">
        <f t="shared" si="8"/>
        <v>Complete</v>
      </c>
      <c r="O130" s="62" t="s">
        <v>124</v>
      </c>
      <c r="P130" s="65" t="s">
        <v>380</v>
      </c>
      <c r="Q130" s="65" t="s">
        <v>380</v>
      </c>
      <c r="R130" s="65" t="str">
        <f t="shared" si="15"/>
        <v>Complete</v>
      </c>
      <c r="S130" s="51" t="s">
        <v>448</v>
      </c>
      <c r="T130" s="65" t="s">
        <v>413</v>
      </c>
      <c r="U130" s="65"/>
      <c r="V130" s="62" t="str">
        <f t="shared" si="10"/>
        <v>In progress</v>
      </c>
      <c r="W130" s="62"/>
      <c r="X130" s="62"/>
      <c r="Y130" s="65" t="s">
        <v>110</v>
      </c>
      <c r="Z130" s="73">
        <v>244145</v>
      </c>
      <c r="AA130" s="65" t="str">
        <f t="shared" si="11"/>
        <v>Complete</v>
      </c>
      <c r="AB130" s="73">
        <v>244206</v>
      </c>
      <c r="AC130" s="73" t="s">
        <v>399</v>
      </c>
      <c r="AD130" s="62" t="str">
        <f t="shared" si="12"/>
        <v>Complete</v>
      </c>
      <c r="AE130" s="62" t="s">
        <v>469</v>
      </c>
      <c r="AF130" s="62"/>
      <c r="AG130" s="62" t="str">
        <f t="shared" si="13"/>
        <v>In progress</v>
      </c>
      <c r="AH130" s="62"/>
      <c r="AI130" s="62"/>
      <c r="AJ130" s="62"/>
      <c r="AK130" s="62"/>
      <c r="AL130" s="62"/>
      <c r="AM130" s="62"/>
      <c r="AN130" s="62"/>
      <c r="AO130" s="62" t="str">
        <f t="shared" si="14"/>
        <v/>
      </c>
    </row>
    <row r="131" spans="1:41" s="18" customFormat="1" ht="32.450000000000003" customHeight="1" x14ac:dyDescent="0.4">
      <c r="A131" s="62">
        <v>124</v>
      </c>
      <c r="B131" s="108" t="s">
        <v>272</v>
      </c>
      <c r="C131" s="108" t="s">
        <v>51</v>
      </c>
      <c r="D131" s="60" t="s">
        <v>50</v>
      </c>
      <c r="E131" s="60" t="s">
        <v>48</v>
      </c>
      <c r="F131" s="60" t="s">
        <v>104</v>
      </c>
      <c r="G131" s="60" t="s">
        <v>512</v>
      </c>
      <c r="H131" s="62">
        <v>18</v>
      </c>
      <c r="I131" s="63">
        <v>462</v>
      </c>
      <c r="J131" s="64">
        <v>14.421233000000001</v>
      </c>
      <c r="K131" s="64">
        <v>101.70012</v>
      </c>
      <c r="L131" s="65" t="s">
        <v>110</v>
      </c>
      <c r="M131" s="65" t="s">
        <v>377</v>
      </c>
      <c r="N131" s="62" t="str">
        <f t="shared" si="8"/>
        <v>Complete</v>
      </c>
      <c r="O131" s="62" t="s">
        <v>124</v>
      </c>
      <c r="P131" s="65" t="s">
        <v>383</v>
      </c>
      <c r="Q131" s="65" t="s">
        <v>383</v>
      </c>
      <c r="R131" s="65" t="str">
        <f t="shared" si="15"/>
        <v>Complete</v>
      </c>
      <c r="S131" s="51" t="s">
        <v>448</v>
      </c>
      <c r="T131" s="65" t="s">
        <v>415</v>
      </c>
      <c r="U131" s="65"/>
      <c r="V131" s="62" t="str">
        <f t="shared" si="10"/>
        <v>In progress</v>
      </c>
      <c r="W131" s="62"/>
      <c r="X131" s="62"/>
      <c r="Y131" s="65" t="s">
        <v>399</v>
      </c>
      <c r="Z131" s="75" t="s">
        <v>420</v>
      </c>
      <c r="AA131" s="65" t="str">
        <f t="shared" si="11"/>
        <v>Complete</v>
      </c>
      <c r="AB131" s="62" t="s">
        <v>418</v>
      </c>
      <c r="AC131" s="62" t="s">
        <v>447</v>
      </c>
      <c r="AD131" s="62" t="str">
        <f t="shared" si="12"/>
        <v>Complete</v>
      </c>
      <c r="AE131" s="73">
        <v>244470</v>
      </c>
      <c r="AF131" s="73">
        <v>244470</v>
      </c>
      <c r="AG131" s="62" t="str">
        <f t="shared" si="13"/>
        <v>Complete</v>
      </c>
      <c r="AH131" s="62"/>
      <c r="AI131" s="62" t="s">
        <v>465</v>
      </c>
      <c r="AJ131" s="73" t="s">
        <v>466</v>
      </c>
      <c r="AK131" s="62" t="s">
        <v>458</v>
      </c>
      <c r="AL131" s="62"/>
      <c r="AM131" s="62"/>
      <c r="AN131" s="62"/>
      <c r="AO131" s="62" t="str">
        <f t="shared" si="14"/>
        <v>In progress</v>
      </c>
    </row>
    <row r="132" spans="1:41" s="18" customFormat="1" ht="32.450000000000003" customHeight="1" x14ac:dyDescent="0.4">
      <c r="A132" s="62">
        <v>125</v>
      </c>
      <c r="B132" s="108" t="s">
        <v>176</v>
      </c>
      <c r="C132" s="108" t="s">
        <v>51</v>
      </c>
      <c r="D132" s="60" t="s">
        <v>50</v>
      </c>
      <c r="E132" s="60" t="s">
        <v>48</v>
      </c>
      <c r="F132" s="60" t="s">
        <v>104</v>
      </c>
      <c r="G132" s="60" t="s">
        <v>302</v>
      </c>
      <c r="H132" s="62">
        <v>9</v>
      </c>
      <c r="I132" s="63">
        <v>430</v>
      </c>
      <c r="J132" s="64">
        <v>14.421233000000001</v>
      </c>
      <c r="K132" s="64">
        <v>101.70012</v>
      </c>
      <c r="L132" s="65" t="s">
        <v>110</v>
      </c>
      <c r="M132" s="65" t="s">
        <v>108</v>
      </c>
      <c r="N132" s="62" t="str">
        <f t="shared" si="8"/>
        <v>Complete</v>
      </c>
      <c r="O132" s="62" t="s">
        <v>124</v>
      </c>
      <c r="P132" s="65" t="s">
        <v>380</v>
      </c>
      <c r="Q132" s="65" t="s">
        <v>380</v>
      </c>
      <c r="R132" s="65" t="str">
        <f t="shared" si="15"/>
        <v>Complete</v>
      </c>
      <c r="S132" s="51" t="s">
        <v>448</v>
      </c>
      <c r="T132" s="65" t="s">
        <v>413</v>
      </c>
      <c r="U132" s="65"/>
      <c r="V132" s="62" t="str">
        <f t="shared" si="10"/>
        <v>In progress</v>
      </c>
      <c r="W132" s="62"/>
      <c r="X132" s="62"/>
      <c r="Y132" s="65" t="s">
        <v>110</v>
      </c>
      <c r="Z132" s="73">
        <v>244145</v>
      </c>
      <c r="AA132" s="65" t="str">
        <f t="shared" si="11"/>
        <v>Complete</v>
      </c>
      <c r="AB132" s="73">
        <v>244206</v>
      </c>
      <c r="AC132" s="73" t="s">
        <v>399</v>
      </c>
      <c r="AD132" s="62" t="str">
        <f t="shared" si="12"/>
        <v>Complete</v>
      </c>
      <c r="AE132" s="62" t="s">
        <v>469</v>
      </c>
      <c r="AF132" s="62"/>
      <c r="AG132" s="62" t="str">
        <f t="shared" si="13"/>
        <v>In progress</v>
      </c>
      <c r="AH132" s="62"/>
      <c r="AI132" s="62"/>
      <c r="AJ132" s="62"/>
      <c r="AK132" s="62"/>
      <c r="AL132" s="62"/>
      <c r="AM132" s="62"/>
      <c r="AN132" s="62"/>
      <c r="AO132" s="62" t="str">
        <f t="shared" si="14"/>
        <v/>
      </c>
    </row>
    <row r="133" spans="1:41" s="18" customFormat="1" ht="32.450000000000003" customHeight="1" x14ac:dyDescent="0.4">
      <c r="A133" s="59">
        <v>126</v>
      </c>
      <c r="B133" s="108" t="s">
        <v>177</v>
      </c>
      <c r="C133" s="108" t="s">
        <v>51</v>
      </c>
      <c r="D133" s="60" t="s">
        <v>50</v>
      </c>
      <c r="E133" s="60" t="s">
        <v>48</v>
      </c>
      <c r="F133" s="60" t="s">
        <v>104</v>
      </c>
      <c r="G133" s="60" t="s">
        <v>512</v>
      </c>
      <c r="H133" s="62">
        <v>9</v>
      </c>
      <c r="I133" s="63">
        <v>432</v>
      </c>
      <c r="J133" s="64">
        <v>14.43215</v>
      </c>
      <c r="K133" s="64">
        <v>101.67778</v>
      </c>
      <c r="L133" s="65" t="s">
        <v>110</v>
      </c>
      <c r="M133" s="65" t="s">
        <v>108</v>
      </c>
      <c r="N133" s="62" t="str">
        <f t="shared" si="8"/>
        <v>Complete</v>
      </c>
      <c r="O133" s="62" t="s">
        <v>124</v>
      </c>
      <c r="P133" s="65" t="s">
        <v>380</v>
      </c>
      <c r="Q133" s="65" t="s">
        <v>380</v>
      </c>
      <c r="R133" s="65" t="str">
        <f t="shared" si="15"/>
        <v>Complete</v>
      </c>
      <c r="S133" s="51" t="s">
        <v>448</v>
      </c>
      <c r="T133" s="65" t="s">
        <v>413</v>
      </c>
      <c r="U133" s="65"/>
      <c r="V133" s="62" t="str">
        <f t="shared" si="10"/>
        <v>In progress</v>
      </c>
      <c r="W133" s="62"/>
      <c r="X133" s="62"/>
      <c r="Y133" s="65" t="s">
        <v>110</v>
      </c>
      <c r="Z133" s="73">
        <v>244145</v>
      </c>
      <c r="AA133" s="65" t="str">
        <f t="shared" si="11"/>
        <v>Complete</v>
      </c>
      <c r="AB133" s="73">
        <v>244206</v>
      </c>
      <c r="AC133" s="73" t="s">
        <v>399</v>
      </c>
      <c r="AD133" s="62" t="str">
        <f t="shared" si="12"/>
        <v>Complete</v>
      </c>
      <c r="AE133" s="62" t="s">
        <v>469</v>
      </c>
      <c r="AF133" s="62"/>
      <c r="AG133" s="62" t="str">
        <f t="shared" si="13"/>
        <v>In progress</v>
      </c>
      <c r="AH133" s="62"/>
      <c r="AI133" s="62"/>
      <c r="AJ133" s="62"/>
      <c r="AK133" s="62"/>
      <c r="AL133" s="62"/>
      <c r="AM133" s="62"/>
      <c r="AN133" s="62"/>
      <c r="AO133" s="62" t="str">
        <f t="shared" si="14"/>
        <v/>
      </c>
    </row>
    <row r="134" spans="1:41" s="18" customFormat="1" ht="32.450000000000003" customHeight="1" x14ac:dyDescent="0.4">
      <c r="A134" s="59">
        <v>127</v>
      </c>
      <c r="B134" s="108" t="s">
        <v>197</v>
      </c>
      <c r="C134" s="108" t="s">
        <v>51</v>
      </c>
      <c r="D134" s="60" t="s">
        <v>50</v>
      </c>
      <c r="E134" s="60" t="s">
        <v>48</v>
      </c>
      <c r="F134" s="60" t="s">
        <v>104</v>
      </c>
      <c r="G134" s="60" t="s">
        <v>512</v>
      </c>
      <c r="H134" s="62">
        <v>9</v>
      </c>
      <c r="I134" s="63">
        <v>418</v>
      </c>
      <c r="J134" s="64">
        <v>14.476616</v>
      </c>
      <c r="K134" s="64">
        <v>101.68692799999999</v>
      </c>
      <c r="L134" s="65" t="s">
        <v>110</v>
      </c>
      <c r="M134" s="65" t="s">
        <v>377</v>
      </c>
      <c r="N134" s="62" t="str">
        <f t="shared" si="8"/>
        <v>Complete</v>
      </c>
      <c r="O134" s="62" t="s">
        <v>124</v>
      </c>
      <c r="P134" s="65" t="s">
        <v>380</v>
      </c>
      <c r="Q134" s="65" t="s">
        <v>380</v>
      </c>
      <c r="R134" s="65" t="str">
        <f t="shared" si="15"/>
        <v>Complete</v>
      </c>
      <c r="S134" s="51" t="s">
        <v>448</v>
      </c>
      <c r="T134" s="65" t="s">
        <v>415</v>
      </c>
      <c r="U134" s="65"/>
      <c r="V134" s="62" t="str">
        <f t="shared" si="10"/>
        <v>In progress</v>
      </c>
      <c r="W134" s="62"/>
      <c r="X134" s="62"/>
      <c r="Y134" s="65" t="s">
        <v>110</v>
      </c>
      <c r="Z134" s="73">
        <v>244145</v>
      </c>
      <c r="AA134" s="65" t="str">
        <f t="shared" si="11"/>
        <v>Complete</v>
      </c>
      <c r="AB134" s="73">
        <v>244206</v>
      </c>
      <c r="AC134" s="73" t="s">
        <v>399</v>
      </c>
      <c r="AD134" s="62" t="str">
        <f t="shared" si="12"/>
        <v>Complete</v>
      </c>
      <c r="AE134" s="62" t="s">
        <v>469</v>
      </c>
      <c r="AF134" s="62"/>
      <c r="AG134" s="62" t="str">
        <f t="shared" si="13"/>
        <v>In progress</v>
      </c>
      <c r="AH134" s="62"/>
      <c r="AI134" s="62"/>
      <c r="AJ134" s="62"/>
      <c r="AK134" s="62"/>
      <c r="AL134" s="62"/>
      <c r="AM134" s="62"/>
      <c r="AN134" s="62"/>
      <c r="AO134" s="62" t="str">
        <f t="shared" si="14"/>
        <v/>
      </c>
    </row>
    <row r="135" spans="1:41" s="18" customFormat="1" ht="32.450000000000003" customHeight="1" x14ac:dyDescent="0.4">
      <c r="A135" s="59">
        <v>128</v>
      </c>
      <c r="B135" s="108" t="s">
        <v>217</v>
      </c>
      <c r="C135" s="108" t="s">
        <v>51</v>
      </c>
      <c r="D135" s="60" t="s">
        <v>50</v>
      </c>
      <c r="E135" s="60" t="s">
        <v>48</v>
      </c>
      <c r="F135" s="60" t="s">
        <v>104</v>
      </c>
      <c r="G135" s="60" t="s">
        <v>512</v>
      </c>
      <c r="H135" s="62">
        <v>9</v>
      </c>
      <c r="I135" s="63">
        <v>425</v>
      </c>
      <c r="J135" s="64">
        <v>14.450813999999999</v>
      </c>
      <c r="K135" s="64">
        <v>101.74449199999999</v>
      </c>
      <c r="L135" s="65" t="s">
        <v>110</v>
      </c>
      <c r="M135" s="65" t="s">
        <v>135</v>
      </c>
      <c r="N135" s="62" t="str">
        <f t="shared" si="8"/>
        <v>Complete</v>
      </c>
      <c r="O135" s="62" t="s">
        <v>124</v>
      </c>
      <c r="P135" s="65" t="s">
        <v>380</v>
      </c>
      <c r="Q135" s="65" t="s">
        <v>380</v>
      </c>
      <c r="R135" s="65" t="str">
        <f t="shared" si="15"/>
        <v>Complete</v>
      </c>
      <c r="S135" s="51" t="s">
        <v>448</v>
      </c>
      <c r="T135" s="65" t="s">
        <v>416</v>
      </c>
      <c r="U135" s="65"/>
      <c r="V135" s="62" t="str">
        <f t="shared" si="10"/>
        <v>In progress</v>
      </c>
      <c r="W135" s="62"/>
      <c r="X135" s="62"/>
      <c r="Y135" s="65" t="s">
        <v>110</v>
      </c>
      <c r="Z135" s="73">
        <v>244145</v>
      </c>
      <c r="AA135" s="65" t="str">
        <f t="shared" si="11"/>
        <v>Complete</v>
      </c>
      <c r="AB135" s="73">
        <v>244206</v>
      </c>
      <c r="AC135" s="73" t="s">
        <v>399</v>
      </c>
      <c r="AD135" s="62" t="str">
        <f t="shared" si="12"/>
        <v>Complete</v>
      </c>
      <c r="AE135" s="62" t="s">
        <v>469</v>
      </c>
      <c r="AF135" s="62"/>
      <c r="AG135" s="62" t="str">
        <f t="shared" si="13"/>
        <v>In progress</v>
      </c>
      <c r="AH135" s="62"/>
      <c r="AI135" s="62"/>
      <c r="AJ135" s="62"/>
      <c r="AK135" s="62"/>
      <c r="AL135" s="62"/>
      <c r="AM135" s="62"/>
      <c r="AN135" s="62"/>
      <c r="AO135" s="62" t="str">
        <f t="shared" si="14"/>
        <v/>
      </c>
    </row>
    <row r="136" spans="1:41" s="18" customFormat="1" ht="32.450000000000003" customHeight="1" x14ac:dyDescent="0.4">
      <c r="A136" s="62">
        <v>129</v>
      </c>
      <c r="B136" s="108" t="s">
        <v>232</v>
      </c>
      <c r="C136" s="108" t="s">
        <v>51</v>
      </c>
      <c r="D136" s="60" t="s">
        <v>50</v>
      </c>
      <c r="E136" s="60" t="s">
        <v>48</v>
      </c>
      <c r="F136" s="60" t="s">
        <v>104</v>
      </c>
      <c r="G136" s="60" t="s">
        <v>304</v>
      </c>
      <c r="H136" s="62">
        <v>9</v>
      </c>
      <c r="I136" s="63">
        <v>436</v>
      </c>
      <c r="J136" s="64">
        <v>14.409416999999999</v>
      </c>
      <c r="K136" s="64">
        <v>101.68508</v>
      </c>
      <c r="L136" s="65" t="s">
        <v>110</v>
      </c>
      <c r="M136" s="65" t="s">
        <v>109</v>
      </c>
      <c r="N136" s="62" t="str">
        <f t="shared" si="8"/>
        <v>Complete</v>
      </c>
      <c r="O136" s="62" t="s">
        <v>124</v>
      </c>
      <c r="P136" s="65" t="s">
        <v>380</v>
      </c>
      <c r="Q136" s="65" t="s">
        <v>380</v>
      </c>
      <c r="R136" s="65" t="str">
        <f t="shared" ref="R136:R167" si="16">IF(
  AND(
     OR(H136=9,H136=18,H136=30),
     OR(F136="ภาคเหนือ",F136="ภาคใต้",F136="ภาคตะวันออก",F136="ภาคตะวันตก",F136="ภาคตะวันออกเฉียงเหนือ")
  ),
  IF(Q136&lt;&gt;"","Complete",IF(P136&lt;&gt;"","In progress","")),
  "-"
)</f>
        <v>Complete</v>
      </c>
      <c r="S136" s="51" t="s">
        <v>448</v>
      </c>
      <c r="T136" s="65" t="s">
        <v>414</v>
      </c>
      <c r="U136" s="65"/>
      <c r="V136" s="62" t="str">
        <f t="shared" si="10"/>
        <v>In progress</v>
      </c>
      <c r="W136" s="62"/>
      <c r="X136" s="62"/>
      <c r="Y136" s="65" t="s">
        <v>110</v>
      </c>
      <c r="Z136" s="73">
        <v>244145</v>
      </c>
      <c r="AA136" s="65" t="str">
        <f t="shared" si="11"/>
        <v>Complete</v>
      </c>
      <c r="AB136" s="73">
        <v>244206</v>
      </c>
      <c r="AC136" s="73" t="s">
        <v>399</v>
      </c>
      <c r="AD136" s="62" t="str">
        <f t="shared" si="12"/>
        <v>Complete</v>
      </c>
      <c r="AE136" s="62" t="s">
        <v>469</v>
      </c>
      <c r="AF136" s="62"/>
      <c r="AG136" s="62" t="str">
        <f t="shared" si="13"/>
        <v>In progress</v>
      </c>
      <c r="AH136" s="62"/>
      <c r="AI136" s="62"/>
      <c r="AJ136" s="62"/>
      <c r="AK136" s="62"/>
      <c r="AL136" s="62"/>
      <c r="AM136" s="62"/>
      <c r="AN136" s="62"/>
      <c r="AO136" s="62" t="str">
        <f t="shared" si="14"/>
        <v/>
      </c>
    </row>
    <row r="137" spans="1:41" s="18" customFormat="1" ht="32.450000000000003" customHeight="1" x14ac:dyDescent="0.4">
      <c r="A137" s="62">
        <v>130</v>
      </c>
      <c r="B137" s="108" t="s">
        <v>249</v>
      </c>
      <c r="C137" s="108" t="s">
        <v>51</v>
      </c>
      <c r="D137" s="60" t="s">
        <v>50</v>
      </c>
      <c r="E137" s="60" t="s">
        <v>48</v>
      </c>
      <c r="F137" s="60" t="s">
        <v>104</v>
      </c>
      <c r="G137" s="60" t="s">
        <v>512</v>
      </c>
      <c r="H137" s="62">
        <v>9</v>
      </c>
      <c r="I137" s="63">
        <v>295</v>
      </c>
      <c r="J137" s="64">
        <v>14.49277</v>
      </c>
      <c r="K137" s="64">
        <v>101.77584</v>
      </c>
      <c r="L137" s="65" t="s">
        <v>110</v>
      </c>
      <c r="M137" s="65" t="s">
        <v>135</v>
      </c>
      <c r="N137" s="62" t="str">
        <f t="shared" ref="N137:N188" si="17">IF(M137&lt;&gt;"", "Complete", IF(L137&lt;&gt;"", "In progress", ""))</f>
        <v>Complete</v>
      </c>
      <c r="O137" s="62" t="s">
        <v>124</v>
      </c>
      <c r="P137" s="65" t="s">
        <v>380</v>
      </c>
      <c r="Q137" s="65" t="s">
        <v>380</v>
      </c>
      <c r="R137" s="65" t="str">
        <f t="shared" si="16"/>
        <v>Complete</v>
      </c>
      <c r="S137" s="51" t="s">
        <v>448</v>
      </c>
      <c r="T137" s="65" t="s">
        <v>416</v>
      </c>
      <c r="U137" s="65"/>
      <c r="V137" s="62" t="str">
        <f t="shared" ref="V137:V188" si="18">IF(U137&lt;&gt;"", "Complete", IF(T137&lt;&gt;"", "In progress", ""))</f>
        <v>In progress</v>
      </c>
      <c r="W137" s="62"/>
      <c r="X137" s="62"/>
      <c r="Y137" s="65" t="s">
        <v>110</v>
      </c>
      <c r="Z137" s="73">
        <v>244145</v>
      </c>
      <c r="AA137" s="65" t="str">
        <f t="shared" ref="AA137:AA188" si="19">IF(Z137&lt;&gt;"", "Complete", IF(Y137&lt;&gt;"", "In progress", ""))</f>
        <v>Complete</v>
      </c>
      <c r="AB137" s="73">
        <v>244206</v>
      </c>
      <c r="AC137" s="73" t="s">
        <v>399</v>
      </c>
      <c r="AD137" s="62" t="str">
        <f t="shared" ref="AD137:AD188" si="20">IF(AC137&lt;&gt;"", "Complete", IF(AB137&lt;&gt;"", "In progress", ""))</f>
        <v>Complete</v>
      </c>
      <c r="AE137" s="62" t="s">
        <v>469</v>
      </c>
      <c r="AF137" s="62"/>
      <c r="AG137" s="62" t="str">
        <f t="shared" ref="AG137:AG188" si="21">IF(AF137&lt;&gt;"", "Complete", IF(AE137&lt;&gt;"", "In progress", ""))</f>
        <v>In progress</v>
      </c>
      <c r="AH137" s="62"/>
      <c r="AI137" s="62"/>
      <c r="AJ137" s="62"/>
      <c r="AK137" s="62"/>
      <c r="AL137" s="62"/>
      <c r="AM137" s="62"/>
      <c r="AN137" s="62"/>
      <c r="AO137" s="62" t="str">
        <f t="shared" ref="AO137:AO188" si="22">IF(AL137&lt;&gt;"", "Complete", IF(AK137&lt;&gt;"", "In progress", ""))</f>
        <v/>
      </c>
    </row>
    <row r="138" spans="1:41" s="18" customFormat="1" ht="32.450000000000003" customHeight="1" x14ac:dyDescent="0.4">
      <c r="A138" s="59">
        <v>131</v>
      </c>
      <c r="B138" s="108" t="s">
        <v>286</v>
      </c>
      <c r="C138" s="108" t="s">
        <v>52</v>
      </c>
      <c r="D138" s="60" t="s">
        <v>53</v>
      </c>
      <c r="E138" s="60" t="s">
        <v>54</v>
      </c>
      <c r="F138" s="60" t="s">
        <v>107</v>
      </c>
      <c r="G138" s="60" t="s">
        <v>513</v>
      </c>
      <c r="H138" s="59">
        <v>9</v>
      </c>
      <c r="I138" s="63">
        <v>10</v>
      </c>
      <c r="J138" s="64">
        <v>8.1930239999999994</v>
      </c>
      <c r="K138" s="64">
        <v>100.250653</v>
      </c>
      <c r="L138" s="65" t="s">
        <v>110</v>
      </c>
      <c r="M138" s="65" t="s">
        <v>110</v>
      </c>
      <c r="N138" s="62" t="str">
        <f t="shared" ref="N138:N146" si="23">IF(M138&lt;&gt;"", "Complete", IF(L138&lt;&gt;"", "In progress", ""))</f>
        <v>Complete</v>
      </c>
      <c r="O138" s="62" t="s">
        <v>124</v>
      </c>
      <c r="P138" s="65" t="s">
        <v>380</v>
      </c>
      <c r="Q138" s="65" t="s">
        <v>380</v>
      </c>
      <c r="R138" s="65" t="str">
        <f t="shared" si="16"/>
        <v>Complete</v>
      </c>
      <c r="S138" s="51" t="s">
        <v>448</v>
      </c>
      <c r="T138" s="65" t="s">
        <v>399</v>
      </c>
      <c r="U138" s="65"/>
      <c r="V138" s="62" t="str">
        <f t="shared" ref="V138:V146" si="24">IF(U138&lt;&gt;"", "Complete", IF(T138&lt;&gt;"", "In progress", ""))</f>
        <v>In progress</v>
      </c>
      <c r="W138" s="62"/>
      <c r="X138" s="62"/>
      <c r="Y138" s="65" t="s">
        <v>110</v>
      </c>
      <c r="Z138" s="73">
        <v>244145</v>
      </c>
      <c r="AA138" s="65" t="str">
        <f t="shared" ref="AA138:AA146" si="25">IF(Z138&lt;&gt;"", "Complete", IF(Y138&lt;&gt;"", "In progress", ""))</f>
        <v>Complete</v>
      </c>
      <c r="AB138" s="73">
        <v>244206</v>
      </c>
      <c r="AC138" s="73" t="s">
        <v>399</v>
      </c>
      <c r="AD138" s="62" t="str">
        <f t="shared" ref="AD138:AD146" si="26">IF(AC138&lt;&gt;"", "Complete", IF(AB138&lt;&gt;"", "In progress", ""))</f>
        <v>Complete</v>
      </c>
      <c r="AE138" s="62" t="s">
        <v>469</v>
      </c>
      <c r="AF138" s="62"/>
      <c r="AG138" s="62" t="str">
        <f t="shared" ref="AG138:AG146" si="27">IF(AF138&lt;&gt;"", "Complete", IF(AE138&lt;&gt;"", "In progress", ""))</f>
        <v>In progress</v>
      </c>
      <c r="AH138" s="62"/>
      <c r="AI138" s="62"/>
      <c r="AJ138" s="62"/>
      <c r="AK138" s="62"/>
      <c r="AL138" s="62"/>
      <c r="AM138" s="62"/>
      <c r="AN138" s="62"/>
      <c r="AO138" s="62" t="str">
        <f t="shared" ref="AO138:AO146" si="28">IF(AL138&lt;&gt;"", "Complete", IF(AK138&lt;&gt;"", "In progress", ""))</f>
        <v/>
      </c>
    </row>
    <row r="139" spans="1:41" s="18" customFormat="1" ht="32.450000000000003" customHeight="1" x14ac:dyDescent="0.4">
      <c r="A139" s="59">
        <v>132</v>
      </c>
      <c r="B139" s="108" t="s">
        <v>156</v>
      </c>
      <c r="C139" s="108" t="s">
        <v>55</v>
      </c>
      <c r="D139" s="60" t="s">
        <v>56</v>
      </c>
      <c r="E139" s="60" t="s">
        <v>54</v>
      </c>
      <c r="F139" s="60" t="s">
        <v>107</v>
      </c>
      <c r="G139" s="60" t="s">
        <v>512</v>
      </c>
      <c r="H139" s="59">
        <v>9</v>
      </c>
      <c r="I139" s="63">
        <v>4</v>
      </c>
      <c r="J139" s="64">
        <v>8.2104029999999995</v>
      </c>
      <c r="K139" s="64">
        <v>100.232902</v>
      </c>
      <c r="L139" s="65" t="s">
        <v>110</v>
      </c>
      <c r="M139" s="65" t="s">
        <v>110</v>
      </c>
      <c r="N139" s="62" t="str">
        <f t="shared" si="23"/>
        <v>Complete</v>
      </c>
      <c r="O139" s="62" t="s">
        <v>124</v>
      </c>
      <c r="P139" s="65" t="s">
        <v>380</v>
      </c>
      <c r="Q139" s="65" t="s">
        <v>380</v>
      </c>
      <c r="R139" s="65" t="str">
        <f t="shared" si="16"/>
        <v>Complete</v>
      </c>
      <c r="S139" s="51" t="s">
        <v>448</v>
      </c>
      <c r="T139" s="65" t="s">
        <v>399</v>
      </c>
      <c r="U139" s="65"/>
      <c r="V139" s="62" t="str">
        <f t="shared" si="24"/>
        <v>In progress</v>
      </c>
      <c r="W139" s="62"/>
      <c r="X139" s="62"/>
      <c r="Y139" s="65" t="s">
        <v>110</v>
      </c>
      <c r="Z139" s="73">
        <v>244145</v>
      </c>
      <c r="AA139" s="65" t="str">
        <f t="shared" si="25"/>
        <v>Complete</v>
      </c>
      <c r="AB139" s="73">
        <v>244206</v>
      </c>
      <c r="AC139" s="73" t="s">
        <v>399</v>
      </c>
      <c r="AD139" s="62" t="str">
        <f t="shared" si="26"/>
        <v>Complete</v>
      </c>
      <c r="AE139" s="62" t="s">
        <v>469</v>
      </c>
      <c r="AF139" s="62"/>
      <c r="AG139" s="62" t="str">
        <f t="shared" si="27"/>
        <v>In progress</v>
      </c>
      <c r="AH139" s="62"/>
      <c r="AI139" s="62"/>
      <c r="AJ139" s="62"/>
      <c r="AK139" s="62"/>
      <c r="AL139" s="62"/>
      <c r="AM139" s="62"/>
      <c r="AN139" s="62"/>
      <c r="AO139" s="62" t="str">
        <f t="shared" si="28"/>
        <v/>
      </c>
    </row>
    <row r="140" spans="1:41" s="18" customFormat="1" ht="32.450000000000003" customHeight="1" x14ac:dyDescent="0.4">
      <c r="A140" s="59">
        <v>133</v>
      </c>
      <c r="B140" s="108" t="s">
        <v>430</v>
      </c>
      <c r="C140" s="108" t="s">
        <v>55</v>
      </c>
      <c r="D140" s="60" t="s">
        <v>56</v>
      </c>
      <c r="E140" s="60" t="s">
        <v>54</v>
      </c>
      <c r="F140" s="60" t="s">
        <v>107</v>
      </c>
      <c r="G140" s="60" t="s">
        <v>302</v>
      </c>
      <c r="H140" s="59">
        <v>9</v>
      </c>
      <c r="I140" s="63">
        <v>4</v>
      </c>
      <c r="J140" s="64">
        <v>8.2092159999999996</v>
      </c>
      <c r="K140" s="64">
        <v>100.23700100000001</v>
      </c>
      <c r="L140" s="65" t="s">
        <v>110</v>
      </c>
      <c r="M140" s="65" t="s">
        <v>110</v>
      </c>
      <c r="N140" s="62" t="str">
        <f t="shared" si="23"/>
        <v>Complete</v>
      </c>
      <c r="O140" s="62" t="s">
        <v>124</v>
      </c>
      <c r="P140" s="65" t="s">
        <v>380</v>
      </c>
      <c r="Q140" s="65" t="s">
        <v>380</v>
      </c>
      <c r="R140" s="65" t="str">
        <f t="shared" si="16"/>
        <v>Complete</v>
      </c>
      <c r="S140" s="51" t="s">
        <v>448</v>
      </c>
      <c r="T140" s="65" t="s">
        <v>399</v>
      </c>
      <c r="U140" s="65"/>
      <c r="V140" s="62" t="str">
        <f t="shared" si="24"/>
        <v>In progress</v>
      </c>
      <c r="W140" s="62"/>
      <c r="X140" s="62"/>
      <c r="Y140" s="65" t="s">
        <v>110</v>
      </c>
      <c r="Z140" s="73">
        <v>244145</v>
      </c>
      <c r="AA140" s="65" t="str">
        <f t="shared" si="25"/>
        <v>Complete</v>
      </c>
      <c r="AB140" s="73">
        <v>244206</v>
      </c>
      <c r="AC140" s="73" t="s">
        <v>399</v>
      </c>
      <c r="AD140" s="62" t="str">
        <f t="shared" si="26"/>
        <v>Complete</v>
      </c>
      <c r="AE140" s="62" t="s">
        <v>469</v>
      </c>
      <c r="AF140" s="62"/>
      <c r="AG140" s="62" t="str">
        <f t="shared" si="27"/>
        <v>In progress</v>
      </c>
      <c r="AH140" s="62"/>
      <c r="AI140" s="62"/>
      <c r="AJ140" s="62"/>
      <c r="AK140" s="62"/>
      <c r="AL140" s="62"/>
      <c r="AM140" s="62"/>
      <c r="AN140" s="62"/>
      <c r="AO140" s="62" t="str">
        <f t="shared" si="28"/>
        <v/>
      </c>
    </row>
    <row r="141" spans="1:41" s="18" customFormat="1" ht="32.450000000000003" customHeight="1" x14ac:dyDescent="0.4">
      <c r="A141" s="62">
        <v>134</v>
      </c>
      <c r="B141" s="108" t="s">
        <v>432</v>
      </c>
      <c r="C141" s="108" t="s">
        <v>55</v>
      </c>
      <c r="D141" s="60" t="s">
        <v>56</v>
      </c>
      <c r="E141" s="60" t="s">
        <v>54</v>
      </c>
      <c r="F141" s="60" t="s">
        <v>107</v>
      </c>
      <c r="G141" s="60" t="s">
        <v>512</v>
      </c>
      <c r="H141" s="59">
        <v>9</v>
      </c>
      <c r="I141" s="63">
        <v>5</v>
      </c>
      <c r="J141" s="64">
        <v>8.2209599999999998</v>
      </c>
      <c r="K141" s="64">
        <v>100.24147000000001</v>
      </c>
      <c r="L141" s="65" t="s">
        <v>110</v>
      </c>
      <c r="M141" s="65" t="s">
        <v>110</v>
      </c>
      <c r="N141" s="62" t="str">
        <f t="shared" si="23"/>
        <v>Complete</v>
      </c>
      <c r="O141" s="62" t="s">
        <v>124</v>
      </c>
      <c r="P141" s="65" t="s">
        <v>380</v>
      </c>
      <c r="Q141" s="65" t="s">
        <v>380</v>
      </c>
      <c r="R141" s="65" t="str">
        <f t="shared" si="16"/>
        <v>Complete</v>
      </c>
      <c r="S141" s="51" t="s">
        <v>448</v>
      </c>
      <c r="T141" s="65" t="s">
        <v>399</v>
      </c>
      <c r="U141" s="65"/>
      <c r="V141" s="62" t="str">
        <f t="shared" si="24"/>
        <v>In progress</v>
      </c>
      <c r="W141" s="62"/>
      <c r="X141" s="62"/>
      <c r="Y141" s="65" t="s">
        <v>110</v>
      </c>
      <c r="Z141" s="73">
        <v>244145</v>
      </c>
      <c r="AA141" s="65" t="str">
        <f t="shared" si="25"/>
        <v>Complete</v>
      </c>
      <c r="AB141" s="73">
        <v>244206</v>
      </c>
      <c r="AC141" s="73" t="s">
        <v>399</v>
      </c>
      <c r="AD141" s="62" t="str">
        <f t="shared" si="26"/>
        <v>Complete</v>
      </c>
      <c r="AE141" s="62" t="s">
        <v>469</v>
      </c>
      <c r="AF141" s="62"/>
      <c r="AG141" s="62" t="str">
        <f t="shared" si="27"/>
        <v>In progress</v>
      </c>
      <c r="AH141" s="62"/>
      <c r="AI141" s="62"/>
      <c r="AJ141" s="62"/>
      <c r="AK141" s="62"/>
      <c r="AL141" s="62"/>
      <c r="AM141" s="62"/>
      <c r="AN141" s="62"/>
      <c r="AO141" s="62" t="str">
        <f t="shared" si="28"/>
        <v/>
      </c>
    </row>
    <row r="142" spans="1:41" s="18" customFormat="1" ht="32.450000000000003" customHeight="1" x14ac:dyDescent="0.4">
      <c r="A142" s="62">
        <v>135</v>
      </c>
      <c r="B142" s="108" t="s">
        <v>233</v>
      </c>
      <c r="C142" s="108" t="s">
        <v>55</v>
      </c>
      <c r="D142" s="60" t="s">
        <v>56</v>
      </c>
      <c r="E142" s="60" t="s">
        <v>54</v>
      </c>
      <c r="F142" s="60" t="s">
        <v>107</v>
      </c>
      <c r="G142" s="60" t="s">
        <v>513</v>
      </c>
      <c r="H142" s="59">
        <v>9</v>
      </c>
      <c r="I142" s="63">
        <v>5</v>
      </c>
      <c r="J142" s="64">
        <v>8.2083600000000008</v>
      </c>
      <c r="K142" s="64">
        <v>100.25141000000001</v>
      </c>
      <c r="L142" s="65" t="s">
        <v>110</v>
      </c>
      <c r="M142" s="65" t="s">
        <v>110</v>
      </c>
      <c r="N142" s="62" t="str">
        <f t="shared" si="23"/>
        <v>Complete</v>
      </c>
      <c r="O142" s="62" t="s">
        <v>124</v>
      </c>
      <c r="P142" s="65" t="s">
        <v>380</v>
      </c>
      <c r="Q142" s="65" t="s">
        <v>380</v>
      </c>
      <c r="R142" s="65" t="str">
        <f t="shared" si="16"/>
        <v>Complete</v>
      </c>
      <c r="S142" s="51" t="s">
        <v>448</v>
      </c>
      <c r="T142" s="65" t="s">
        <v>399</v>
      </c>
      <c r="U142" s="65"/>
      <c r="V142" s="62" t="str">
        <f t="shared" si="24"/>
        <v>In progress</v>
      </c>
      <c r="W142" s="62"/>
      <c r="X142" s="62"/>
      <c r="Y142" s="65" t="s">
        <v>110</v>
      </c>
      <c r="Z142" s="73">
        <v>244145</v>
      </c>
      <c r="AA142" s="65" t="str">
        <f t="shared" si="25"/>
        <v>Complete</v>
      </c>
      <c r="AB142" s="73">
        <v>244206</v>
      </c>
      <c r="AC142" s="73" t="s">
        <v>399</v>
      </c>
      <c r="AD142" s="62" t="str">
        <f t="shared" si="26"/>
        <v>Complete</v>
      </c>
      <c r="AE142" s="62" t="s">
        <v>469</v>
      </c>
      <c r="AF142" s="62"/>
      <c r="AG142" s="62" t="str">
        <f t="shared" si="27"/>
        <v>In progress</v>
      </c>
      <c r="AH142" s="62"/>
      <c r="AI142" s="62"/>
      <c r="AJ142" s="62"/>
      <c r="AK142" s="62"/>
      <c r="AL142" s="62"/>
      <c r="AM142" s="62"/>
      <c r="AN142" s="62"/>
      <c r="AO142" s="62" t="str">
        <f t="shared" si="28"/>
        <v/>
      </c>
    </row>
    <row r="143" spans="1:41" s="18" customFormat="1" ht="32.450000000000003" customHeight="1" x14ac:dyDescent="0.4">
      <c r="A143" s="59">
        <v>136</v>
      </c>
      <c r="B143" s="108" t="s">
        <v>218</v>
      </c>
      <c r="C143" s="108" t="s">
        <v>55</v>
      </c>
      <c r="D143" s="60" t="s">
        <v>56</v>
      </c>
      <c r="E143" s="60" t="s">
        <v>54</v>
      </c>
      <c r="F143" s="60" t="s">
        <v>107</v>
      </c>
      <c r="G143" s="60" t="s">
        <v>512</v>
      </c>
      <c r="H143" s="59">
        <v>9</v>
      </c>
      <c r="I143" s="63">
        <v>6</v>
      </c>
      <c r="J143" s="64">
        <v>8.2229030000000005</v>
      </c>
      <c r="K143" s="64">
        <v>100.245957</v>
      </c>
      <c r="L143" s="65" t="s">
        <v>110</v>
      </c>
      <c r="M143" s="65" t="s">
        <v>108</v>
      </c>
      <c r="N143" s="62" t="str">
        <f t="shared" si="23"/>
        <v>Complete</v>
      </c>
      <c r="O143" s="62" t="s">
        <v>124</v>
      </c>
      <c r="P143" s="65" t="s">
        <v>380</v>
      </c>
      <c r="Q143" s="65" t="s">
        <v>380</v>
      </c>
      <c r="R143" s="65" t="str">
        <f t="shared" si="16"/>
        <v>Complete</v>
      </c>
      <c r="S143" s="51" t="s">
        <v>448</v>
      </c>
      <c r="T143" s="65" t="s">
        <v>413</v>
      </c>
      <c r="U143" s="65"/>
      <c r="V143" s="62" t="str">
        <f t="shared" si="24"/>
        <v>In progress</v>
      </c>
      <c r="W143" s="62"/>
      <c r="X143" s="62"/>
      <c r="Y143" s="65" t="s">
        <v>110</v>
      </c>
      <c r="Z143" s="73">
        <v>244145</v>
      </c>
      <c r="AA143" s="65" t="str">
        <f t="shared" si="25"/>
        <v>Complete</v>
      </c>
      <c r="AB143" s="73">
        <v>244206</v>
      </c>
      <c r="AC143" s="73" t="s">
        <v>399</v>
      </c>
      <c r="AD143" s="62" t="str">
        <f t="shared" si="26"/>
        <v>Complete</v>
      </c>
      <c r="AE143" s="62" t="s">
        <v>469</v>
      </c>
      <c r="AF143" s="62"/>
      <c r="AG143" s="62" t="str">
        <f t="shared" si="27"/>
        <v>In progress</v>
      </c>
      <c r="AH143" s="62"/>
      <c r="AI143" s="62"/>
      <c r="AJ143" s="62"/>
      <c r="AK143" s="62"/>
      <c r="AL143" s="62"/>
      <c r="AM143" s="62"/>
      <c r="AN143" s="62"/>
      <c r="AO143" s="62" t="str">
        <f t="shared" si="28"/>
        <v/>
      </c>
    </row>
    <row r="144" spans="1:41" s="18" customFormat="1" ht="32.450000000000003" customHeight="1" x14ac:dyDescent="0.4">
      <c r="A144" s="59">
        <v>137</v>
      </c>
      <c r="B144" s="108" t="s">
        <v>263</v>
      </c>
      <c r="C144" s="108" t="s">
        <v>55</v>
      </c>
      <c r="D144" s="60" t="s">
        <v>56</v>
      </c>
      <c r="E144" s="60" t="s">
        <v>54</v>
      </c>
      <c r="F144" s="60" t="s">
        <v>107</v>
      </c>
      <c r="G144" s="60" t="s">
        <v>512</v>
      </c>
      <c r="H144" s="59">
        <v>9</v>
      </c>
      <c r="I144" s="63">
        <v>8</v>
      </c>
      <c r="J144" s="64">
        <v>8.2236980000000006</v>
      </c>
      <c r="K144" s="64">
        <v>100.260198</v>
      </c>
      <c r="L144" s="65" t="s">
        <v>110</v>
      </c>
      <c r="M144" s="65" t="s">
        <v>110</v>
      </c>
      <c r="N144" s="62" t="str">
        <f t="shared" si="23"/>
        <v>Complete</v>
      </c>
      <c r="O144" s="62" t="s">
        <v>124</v>
      </c>
      <c r="P144" s="65" t="s">
        <v>380</v>
      </c>
      <c r="Q144" s="65" t="s">
        <v>380</v>
      </c>
      <c r="R144" s="65" t="str">
        <f t="shared" si="16"/>
        <v>Complete</v>
      </c>
      <c r="S144" s="51" t="s">
        <v>448</v>
      </c>
      <c r="T144" s="65" t="s">
        <v>399</v>
      </c>
      <c r="U144" s="65"/>
      <c r="V144" s="62" t="str">
        <f t="shared" si="24"/>
        <v>In progress</v>
      </c>
      <c r="W144" s="62"/>
      <c r="X144" s="62"/>
      <c r="Y144" s="65" t="s">
        <v>110</v>
      </c>
      <c r="Z144" s="73">
        <v>244145</v>
      </c>
      <c r="AA144" s="65" t="str">
        <f t="shared" si="25"/>
        <v>Complete</v>
      </c>
      <c r="AB144" s="73">
        <v>244206</v>
      </c>
      <c r="AC144" s="73" t="s">
        <v>399</v>
      </c>
      <c r="AD144" s="62" t="str">
        <f t="shared" si="26"/>
        <v>Complete</v>
      </c>
      <c r="AE144" s="62" t="s">
        <v>469</v>
      </c>
      <c r="AF144" s="62"/>
      <c r="AG144" s="62" t="str">
        <f t="shared" si="27"/>
        <v>In progress</v>
      </c>
      <c r="AH144" s="62"/>
      <c r="AI144" s="62"/>
      <c r="AJ144" s="62"/>
      <c r="AK144" s="62"/>
      <c r="AL144" s="62"/>
      <c r="AM144" s="62"/>
      <c r="AN144" s="62"/>
      <c r="AO144" s="62" t="str">
        <f t="shared" si="28"/>
        <v/>
      </c>
    </row>
    <row r="145" spans="1:41" s="18" customFormat="1" ht="32.450000000000003" customHeight="1" x14ac:dyDescent="0.4">
      <c r="A145" s="59">
        <v>138</v>
      </c>
      <c r="B145" s="108" t="s">
        <v>446</v>
      </c>
      <c r="C145" s="108" t="s">
        <v>55</v>
      </c>
      <c r="D145" s="60" t="s">
        <v>56</v>
      </c>
      <c r="E145" s="60" t="s">
        <v>54</v>
      </c>
      <c r="F145" s="60" t="s">
        <v>107</v>
      </c>
      <c r="G145" s="60" t="s">
        <v>512</v>
      </c>
      <c r="H145" s="59">
        <v>9</v>
      </c>
      <c r="I145" s="63">
        <v>9</v>
      </c>
      <c r="J145" s="64">
        <v>8.2351810000000008</v>
      </c>
      <c r="K145" s="64" t="s">
        <v>372</v>
      </c>
      <c r="L145" s="65" t="s">
        <v>110</v>
      </c>
      <c r="M145" s="65" t="s">
        <v>110</v>
      </c>
      <c r="N145" s="62" t="str">
        <f t="shared" si="23"/>
        <v>Complete</v>
      </c>
      <c r="O145" s="62" t="s">
        <v>124</v>
      </c>
      <c r="P145" s="65" t="s">
        <v>380</v>
      </c>
      <c r="Q145" s="65" t="s">
        <v>380</v>
      </c>
      <c r="R145" s="65" t="str">
        <f t="shared" si="16"/>
        <v>Complete</v>
      </c>
      <c r="S145" s="51" t="s">
        <v>448</v>
      </c>
      <c r="T145" s="65" t="s">
        <v>399</v>
      </c>
      <c r="U145" s="65"/>
      <c r="V145" s="62" t="str">
        <f t="shared" si="24"/>
        <v>In progress</v>
      </c>
      <c r="W145" s="62"/>
      <c r="X145" s="62"/>
      <c r="Y145" s="65" t="s">
        <v>110</v>
      </c>
      <c r="Z145" s="73">
        <v>244145</v>
      </c>
      <c r="AA145" s="65" t="str">
        <f t="shared" si="25"/>
        <v>Complete</v>
      </c>
      <c r="AB145" s="73">
        <v>244206</v>
      </c>
      <c r="AC145" s="73" t="s">
        <v>399</v>
      </c>
      <c r="AD145" s="62" t="str">
        <f t="shared" si="26"/>
        <v>Complete</v>
      </c>
      <c r="AE145" s="62" t="s">
        <v>469</v>
      </c>
      <c r="AF145" s="62"/>
      <c r="AG145" s="62" t="str">
        <f t="shared" si="27"/>
        <v>In progress</v>
      </c>
      <c r="AH145" s="62"/>
      <c r="AI145" s="62"/>
      <c r="AJ145" s="62"/>
      <c r="AK145" s="62"/>
      <c r="AL145" s="62"/>
      <c r="AM145" s="62"/>
      <c r="AN145" s="62"/>
      <c r="AO145" s="62" t="str">
        <f t="shared" si="28"/>
        <v/>
      </c>
    </row>
    <row r="146" spans="1:41" s="18" customFormat="1" ht="32.450000000000003" customHeight="1" x14ac:dyDescent="0.4">
      <c r="A146" s="62">
        <v>139</v>
      </c>
      <c r="B146" s="108" t="s">
        <v>437</v>
      </c>
      <c r="C146" s="108" t="s">
        <v>55</v>
      </c>
      <c r="D146" s="60" t="s">
        <v>56</v>
      </c>
      <c r="E146" s="60" t="s">
        <v>54</v>
      </c>
      <c r="F146" s="60" t="s">
        <v>107</v>
      </c>
      <c r="G146" s="60" t="s">
        <v>512</v>
      </c>
      <c r="H146" s="59">
        <v>9</v>
      </c>
      <c r="I146" s="63">
        <v>6</v>
      </c>
      <c r="J146" s="64">
        <v>8.2064819999999994</v>
      </c>
      <c r="K146" s="64">
        <v>100.26325300000001</v>
      </c>
      <c r="L146" s="65" t="s">
        <v>110</v>
      </c>
      <c r="M146" s="65" t="s">
        <v>110</v>
      </c>
      <c r="N146" s="62" t="str">
        <f t="shared" si="23"/>
        <v>Complete</v>
      </c>
      <c r="O146" s="62" t="s">
        <v>124</v>
      </c>
      <c r="P146" s="65" t="s">
        <v>380</v>
      </c>
      <c r="Q146" s="65" t="s">
        <v>380</v>
      </c>
      <c r="R146" s="65" t="str">
        <f t="shared" si="16"/>
        <v>Complete</v>
      </c>
      <c r="S146" s="51" t="s">
        <v>448</v>
      </c>
      <c r="T146" s="65" t="s">
        <v>399</v>
      </c>
      <c r="U146" s="65"/>
      <c r="V146" s="62" t="str">
        <f t="shared" si="24"/>
        <v>In progress</v>
      </c>
      <c r="W146" s="62"/>
      <c r="X146" s="62"/>
      <c r="Y146" s="65" t="s">
        <v>110</v>
      </c>
      <c r="Z146" s="73">
        <v>244145</v>
      </c>
      <c r="AA146" s="65" t="str">
        <f t="shared" si="25"/>
        <v>Complete</v>
      </c>
      <c r="AB146" s="73">
        <v>244206</v>
      </c>
      <c r="AC146" s="73" t="s">
        <v>399</v>
      </c>
      <c r="AD146" s="62" t="str">
        <f t="shared" si="26"/>
        <v>Complete</v>
      </c>
      <c r="AE146" s="62" t="s">
        <v>469</v>
      </c>
      <c r="AF146" s="62"/>
      <c r="AG146" s="62" t="str">
        <f t="shared" si="27"/>
        <v>In progress</v>
      </c>
      <c r="AH146" s="62"/>
      <c r="AI146" s="62"/>
      <c r="AJ146" s="62"/>
      <c r="AK146" s="62"/>
      <c r="AL146" s="62"/>
      <c r="AM146" s="62"/>
      <c r="AN146" s="62"/>
      <c r="AO146" s="62" t="str">
        <f t="shared" si="28"/>
        <v/>
      </c>
    </row>
    <row r="147" spans="1:41" s="18" customFormat="1" ht="32.450000000000003" customHeight="1" x14ac:dyDescent="0.4">
      <c r="A147" s="62">
        <v>140</v>
      </c>
      <c r="B147" s="108" t="s">
        <v>273</v>
      </c>
      <c r="C147" s="108" t="s">
        <v>55</v>
      </c>
      <c r="D147" s="60" t="s">
        <v>56</v>
      </c>
      <c r="E147" s="60" t="s">
        <v>54</v>
      </c>
      <c r="F147" s="60" t="s">
        <v>107</v>
      </c>
      <c r="G147" s="60" t="s">
        <v>512</v>
      </c>
      <c r="H147" s="59">
        <v>9</v>
      </c>
      <c r="I147" s="63">
        <v>7</v>
      </c>
      <c r="J147" s="64">
        <v>8.1945789999999992</v>
      </c>
      <c r="K147" s="64">
        <v>100.25788900000001</v>
      </c>
      <c r="L147" s="65" t="s">
        <v>110</v>
      </c>
      <c r="M147" s="65" t="s">
        <v>110</v>
      </c>
      <c r="N147" s="62" t="str">
        <f t="shared" si="17"/>
        <v>Complete</v>
      </c>
      <c r="O147" s="62" t="s">
        <v>124</v>
      </c>
      <c r="P147" s="65" t="s">
        <v>380</v>
      </c>
      <c r="Q147" s="65" t="s">
        <v>380</v>
      </c>
      <c r="R147" s="65" t="str">
        <f t="shared" si="16"/>
        <v>Complete</v>
      </c>
      <c r="S147" s="51" t="s">
        <v>448</v>
      </c>
      <c r="T147" s="65" t="s">
        <v>399</v>
      </c>
      <c r="U147" s="65"/>
      <c r="V147" s="62" t="str">
        <f t="shared" si="18"/>
        <v>In progress</v>
      </c>
      <c r="W147" s="62"/>
      <c r="X147" s="62"/>
      <c r="Y147" s="65" t="s">
        <v>110</v>
      </c>
      <c r="Z147" s="73">
        <v>244145</v>
      </c>
      <c r="AA147" s="65" t="str">
        <f t="shared" si="19"/>
        <v>Complete</v>
      </c>
      <c r="AB147" s="73">
        <v>244206</v>
      </c>
      <c r="AC147" s="73" t="s">
        <v>399</v>
      </c>
      <c r="AD147" s="62" t="str">
        <f t="shared" si="20"/>
        <v>Complete</v>
      </c>
      <c r="AE147" s="62" t="s">
        <v>469</v>
      </c>
      <c r="AF147" s="62"/>
      <c r="AG147" s="62" t="str">
        <f t="shared" si="21"/>
        <v>In progress</v>
      </c>
      <c r="AH147" s="62"/>
      <c r="AI147" s="62"/>
      <c r="AJ147" s="62"/>
      <c r="AK147" s="62"/>
      <c r="AL147" s="62"/>
      <c r="AM147" s="62"/>
      <c r="AN147" s="62"/>
      <c r="AO147" s="62" t="str">
        <f t="shared" si="22"/>
        <v/>
      </c>
    </row>
    <row r="148" spans="1:41" s="18" customFormat="1" ht="32.450000000000003" customHeight="1" x14ac:dyDescent="0.4">
      <c r="A148" s="59">
        <v>141</v>
      </c>
      <c r="B148" s="108" t="s">
        <v>444</v>
      </c>
      <c r="C148" s="108" t="s">
        <v>55</v>
      </c>
      <c r="D148" s="60" t="s">
        <v>56</v>
      </c>
      <c r="E148" s="60" t="s">
        <v>54</v>
      </c>
      <c r="F148" s="60" t="s">
        <v>107</v>
      </c>
      <c r="G148" s="60" t="s">
        <v>512</v>
      </c>
      <c r="H148" s="59">
        <v>9</v>
      </c>
      <c r="I148" s="63">
        <v>8</v>
      </c>
      <c r="J148" s="64">
        <v>8.1851520000000004</v>
      </c>
      <c r="K148" s="64" t="s">
        <v>373</v>
      </c>
      <c r="L148" s="65" t="s">
        <v>110</v>
      </c>
      <c r="M148" s="65" t="s">
        <v>110</v>
      </c>
      <c r="N148" s="62" t="str">
        <f t="shared" si="17"/>
        <v>Complete</v>
      </c>
      <c r="O148" s="62" t="s">
        <v>124</v>
      </c>
      <c r="P148" s="65" t="s">
        <v>380</v>
      </c>
      <c r="Q148" s="65" t="s">
        <v>380</v>
      </c>
      <c r="R148" s="65" t="str">
        <f t="shared" si="16"/>
        <v>Complete</v>
      </c>
      <c r="S148" s="51" t="s">
        <v>448</v>
      </c>
      <c r="T148" s="65" t="s">
        <v>399</v>
      </c>
      <c r="U148" s="65"/>
      <c r="V148" s="62" t="str">
        <f t="shared" si="18"/>
        <v>In progress</v>
      </c>
      <c r="W148" s="62"/>
      <c r="X148" s="62"/>
      <c r="Y148" s="65" t="s">
        <v>110</v>
      </c>
      <c r="Z148" s="73">
        <v>244145</v>
      </c>
      <c r="AA148" s="65" t="str">
        <f t="shared" si="19"/>
        <v>Complete</v>
      </c>
      <c r="AB148" s="73">
        <v>244206</v>
      </c>
      <c r="AC148" s="73" t="s">
        <v>399</v>
      </c>
      <c r="AD148" s="62" t="str">
        <f t="shared" si="20"/>
        <v>Complete</v>
      </c>
      <c r="AE148" s="62" t="s">
        <v>469</v>
      </c>
      <c r="AF148" s="62"/>
      <c r="AG148" s="62" t="str">
        <f t="shared" si="21"/>
        <v>In progress</v>
      </c>
      <c r="AH148" s="62"/>
      <c r="AI148" s="62"/>
      <c r="AJ148" s="62"/>
      <c r="AK148" s="62"/>
      <c r="AL148" s="62"/>
      <c r="AM148" s="62"/>
      <c r="AN148" s="62"/>
      <c r="AO148" s="62" t="str">
        <f t="shared" si="22"/>
        <v/>
      </c>
    </row>
    <row r="149" spans="1:41" s="18" customFormat="1" ht="32.450000000000003" customHeight="1" x14ac:dyDescent="0.4">
      <c r="A149" s="59">
        <v>142</v>
      </c>
      <c r="B149" s="108" t="s">
        <v>264</v>
      </c>
      <c r="C149" s="108" t="s">
        <v>57</v>
      </c>
      <c r="D149" s="60" t="s">
        <v>56</v>
      </c>
      <c r="E149" s="60" t="s">
        <v>54</v>
      </c>
      <c r="F149" s="60" t="s">
        <v>107</v>
      </c>
      <c r="G149" s="60" t="s">
        <v>513</v>
      </c>
      <c r="H149" s="59">
        <v>9</v>
      </c>
      <c r="I149" s="63">
        <v>8</v>
      </c>
      <c r="J149" s="64">
        <v>8.2594480000000008</v>
      </c>
      <c r="K149" s="64">
        <v>100.263515</v>
      </c>
      <c r="L149" s="65" t="s">
        <v>110</v>
      </c>
      <c r="M149" s="65" t="s">
        <v>110</v>
      </c>
      <c r="N149" s="62" t="str">
        <f>IF(M149&lt;&gt;"", "Complete", IF(L149&lt;&gt;"", "In progress", ""))</f>
        <v>Complete</v>
      </c>
      <c r="O149" s="62" t="s">
        <v>124</v>
      </c>
      <c r="P149" s="65" t="s">
        <v>380</v>
      </c>
      <c r="Q149" s="65" t="s">
        <v>380</v>
      </c>
      <c r="R149" s="65" t="str">
        <f t="shared" si="16"/>
        <v>Complete</v>
      </c>
      <c r="S149" s="51" t="s">
        <v>448</v>
      </c>
      <c r="T149" s="65" t="s">
        <v>399</v>
      </c>
      <c r="U149" s="65"/>
      <c r="V149" s="62" t="str">
        <f>IF(U149&lt;&gt;"", "Complete", IF(T149&lt;&gt;"", "In progress", ""))</f>
        <v>In progress</v>
      </c>
      <c r="W149" s="62"/>
      <c r="X149" s="62"/>
      <c r="Y149" s="65" t="s">
        <v>110</v>
      </c>
      <c r="Z149" s="73">
        <v>244145</v>
      </c>
      <c r="AA149" s="65" t="str">
        <f>IF(Z149&lt;&gt;"", "Complete", IF(Y149&lt;&gt;"", "In progress", ""))</f>
        <v>Complete</v>
      </c>
      <c r="AB149" s="73">
        <v>244206</v>
      </c>
      <c r="AC149" s="73" t="s">
        <v>399</v>
      </c>
      <c r="AD149" s="62" t="str">
        <f>IF(AC149&lt;&gt;"", "Complete", IF(AB149&lt;&gt;"", "In progress", ""))</f>
        <v>Complete</v>
      </c>
      <c r="AE149" s="62" t="s">
        <v>469</v>
      </c>
      <c r="AF149" s="62"/>
      <c r="AG149" s="62" t="str">
        <f>IF(AF149&lt;&gt;"", "Complete", IF(AE149&lt;&gt;"", "In progress", ""))</f>
        <v>In progress</v>
      </c>
      <c r="AH149" s="62"/>
      <c r="AI149" s="62"/>
      <c r="AJ149" s="62"/>
      <c r="AK149" s="62"/>
      <c r="AL149" s="62"/>
      <c r="AM149" s="62"/>
      <c r="AN149" s="62"/>
      <c r="AO149" s="62" t="str">
        <f>IF(AL149&lt;&gt;"", "Complete", IF(AK149&lt;&gt;"", "In progress", ""))</f>
        <v/>
      </c>
    </row>
    <row r="150" spans="1:41" s="18" customFormat="1" ht="32.450000000000003" customHeight="1" x14ac:dyDescent="0.4">
      <c r="A150" s="59">
        <v>143</v>
      </c>
      <c r="B150" s="108" t="s">
        <v>298</v>
      </c>
      <c r="C150" s="108" t="s">
        <v>57</v>
      </c>
      <c r="D150" s="60" t="s">
        <v>56</v>
      </c>
      <c r="E150" s="60" t="s">
        <v>54</v>
      </c>
      <c r="F150" s="60" t="s">
        <v>107</v>
      </c>
      <c r="G150" s="60" t="s">
        <v>512</v>
      </c>
      <c r="H150" s="59">
        <v>9</v>
      </c>
      <c r="I150" s="63">
        <v>8</v>
      </c>
      <c r="J150" s="64">
        <v>8.2408059999999992</v>
      </c>
      <c r="K150" s="64">
        <v>100.268612</v>
      </c>
      <c r="L150" s="65" t="s">
        <v>110</v>
      </c>
      <c r="M150" s="65" t="s">
        <v>110</v>
      </c>
      <c r="N150" s="62" t="str">
        <f>IF(M150&lt;&gt;"", "Complete", IF(L150&lt;&gt;"", "In progress", ""))</f>
        <v>Complete</v>
      </c>
      <c r="O150" s="62" t="s">
        <v>124</v>
      </c>
      <c r="P150" s="65" t="s">
        <v>380</v>
      </c>
      <c r="Q150" s="65" t="s">
        <v>380</v>
      </c>
      <c r="R150" s="65" t="str">
        <f t="shared" si="16"/>
        <v>Complete</v>
      </c>
      <c r="S150" s="51" t="s">
        <v>448</v>
      </c>
      <c r="T150" s="65" t="s">
        <v>399</v>
      </c>
      <c r="U150" s="65"/>
      <c r="V150" s="62" t="str">
        <f>IF(U150&lt;&gt;"", "Complete", IF(T150&lt;&gt;"", "In progress", ""))</f>
        <v>In progress</v>
      </c>
      <c r="W150" s="62"/>
      <c r="X150" s="62"/>
      <c r="Y150" s="65" t="s">
        <v>110</v>
      </c>
      <c r="Z150" s="73">
        <v>244145</v>
      </c>
      <c r="AA150" s="65" t="str">
        <f>IF(Z150&lt;&gt;"", "Complete", IF(Y150&lt;&gt;"", "In progress", ""))</f>
        <v>Complete</v>
      </c>
      <c r="AB150" s="73">
        <v>244206</v>
      </c>
      <c r="AC150" s="73" t="s">
        <v>399</v>
      </c>
      <c r="AD150" s="62" t="str">
        <f>IF(AC150&lt;&gt;"", "Complete", IF(AB150&lt;&gt;"", "In progress", ""))</f>
        <v>Complete</v>
      </c>
      <c r="AE150" s="62" t="s">
        <v>469</v>
      </c>
      <c r="AF150" s="62"/>
      <c r="AG150" s="62" t="str">
        <f>IF(AF150&lt;&gt;"", "Complete", IF(AE150&lt;&gt;"", "In progress", ""))</f>
        <v>In progress</v>
      </c>
      <c r="AH150" s="62"/>
      <c r="AI150" s="62"/>
      <c r="AJ150" s="62"/>
      <c r="AK150" s="62"/>
      <c r="AL150" s="62"/>
      <c r="AM150" s="62"/>
      <c r="AN150" s="62"/>
      <c r="AO150" s="62" t="str">
        <f>IF(AL150&lt;&gt;"", "Complete", IF(AK150&lt;&gt;"", "In progress", ""))</f>
        <v/>
      </c>
    </row>
    <row r="151" spans="1:41" s="18" customFormat="1" ht="32.450000000000003" customHeight="1" x14ac:dyDescent="0.4">
      <c r="A151" s="62">
        <v>144</v>
      </c>
      <c r="B151" s="108" t="s">
        <v>219</v>
      </c>
      <c r="C151" s="108" t="s">
        <v>58</v>
      </c>
      <c r="D151" s="60" t="s">
        <v>56</v>
      </c>
      <c r="E151" s="60" t="s">
        <v>54</v>
      </c>
      <c r="F151" s="60" t="s">
        <v>107</v>
      </c>
      <c r="G151" s="60" t="s">
        <v>512</v>
      </c>
      <c r="H151" s="59">
        <v>9</v>
      </c>
      <c r="I151" s="63">
        <v>4</v>
      </c>
      <c r="J151" s="64" t="s">
        <v>374</v>
      </c>
      <c r="K151" s="64">
        <v>100.211305</v>
      </c>
      <c r="L151" s="65" t="s">
        <v>110</v>
      </c>
      <c r="M151" s="65" t="s">
        <v>110</v>
      </c>
      <c r="N151" s="62" t="str">
        <f>IF(M151&lt;&gt;"", "Complete", IF(L151&lt;&gt;"", "In progress", ""))</f>
        <v>Complete</v>
      </c>
      <c r="O151" s="62" t="s">
        <v>124</v>
      </c>
      <c r="P151" s="65" t="s">
        <v>380</v>
      </c>
      <c r="Q151" s="65" t="s">
        <v>380</v>
      </c>
      <c r="R151" s="65" t="str">
        <f t="shared" si="16"/>
        <v>Complete</v>
      </c>
      <c r="S151" s="51" t="s">
        <v>448</v>
      </c>
      <c r="T151" s="65" t="s">
        <v>399</v>
      </c>
      <c r="U151" s="65"/>
      <c r="V151" s="62" t="str">
        <f>IF(U151&lt;&gt;"", "Complete", IF(T151&lt;&gt;"", "In progress", ""))</f>
        <v>In progress</v>
      </c>
      <c r="W151" s="62"/>
      <c r="X151" s="62"/>
      <c r="Y151" s="65" t="s">
        <v>110</v>
      </c>
      <c r="Z151" s="73">
        <v>244145</v>
      </c>
      <c r="AA151" s="65" t="str">
        <f>IF(Z151&lt;&gt;"", "Complete", IF(Y151&lt;&gt;"", "In progress", ""))</f>
        <v>Complete</v>
      </c>
      <c r="AB151" s="73">
        <v>244206</v>
      </c>
      <c r="AC151" s="73" t="s">
        <v>399</v>
      </c>
      <c r="AD151" s="62" t="str">
        <f>IF(AC151&lt;&gt;"", "Complete", IF(AB151&lt;&gt;"", "In progress", ""))</f>
        <v>Complete</v>
      </c>
      <c r="AE151" s="62" t="s">
        <v>469</v>
      </c>
      <c r="AF151" s="62"/>
      <c r="AG151" s="62" t="str">
        <f>IF(AF151&lt;&gt;"", "Complete", IF(AE151&lt;&gt;"", "In progress", ""))</f>
        <v>In progress</v>
      </c>
      <c r="AH151" s="62"/>
      <c r="AI151" s="62"/>
      <c r="AJ151" s="62"/>
      <c r="AK151" s="62"/>
      <c r="AL151" s="62"/>
      <c r="AM151" s="62"/>
      <c r="AN151" s="62"/>
      <c r="AO151" s="62" t="str">
        <f>IF(AL151&lt;&gt;"", "Complete", IF(AK151&lt;&gt;"", "In progress", ""))</f>
        <v/>
      </c>
    </row>
    <row r="152" spans="1:41" s="18" customFormat="1" ht="32.450000000000003" customHeight="1" x14ac:dyDescent="0.4">
      <c r="A152" s="62">
        <v>145</v>
      </c>
      <c r="B152" s="108" t="s">
        <v>198</v>
      </c>
      <c r="C152" s="108" t="s">
        <v>58</v>
      </c>
      <c r="D152" s="60" t="s">
        <v>56</v>
      </c>
      <c r="E152" s="60" t="s">
        <v>54</v>
      </c>
      <c r="F152" s="60" t="s">
        <v>107</v>
      </c>
      <c r="G152" s="60" t="s">
        <v>512</v>
      </c>
      <c r="H152" s="59">
        <v>9</v>
      </c>
      <c r="I152" s="63">
        <v>11</v>
      </c>
      <c r="J152" s="64">
        <v>8.2014720000000008</v>
      </c>
      <c r="K152" s="64">
        <v>100.217994</v>
      </c>
      <c r="L152" s="65" t="s">
        <v>110</v>
      </c>
      <c r="M152" s="65" t="s">
        <v>110</v>
      </c>
      <c r="N152" s="62" t="str">
        <f>IF(M152&lt;&gt;"", "Complete", IF(L152&lt;&gt;"", "In progress", ""))</f>
        <v>Complete</v>
      </c>
      <c r="O152" s="62" t="s">
        <v>124</v>
      </c>
      <c r="P152" s="65" t="s">
        <v>380</v>
      </c>
      <c r="Q152" s="65" t="s">
        <v>380</v>
      </c>
      <c r="R152" s="65" t="str">
        <f t="shared" si="16"/>
        <v>Complete</v>
      </c>
      <c r="S152" s="51" t="s">
        <v>448</v>
      </c>
      <c r="T152" s="65" t="s">
        <v>399</v>
      </c>
      <c r="U152" s="65"/>
      <c r="V152" s="62" t="str">
        <f>IF(U152&lt;&gt;"", "Complete", IF(T152&lt;&gt;"", "In progress", ""))</f>
        <v>In progress</v>
      </c>
      <c r="W152" s="62"/>
      <c r="X152" s="62"/>
      <c r="Y152" s="65" t="s">
        <v>110</v>
      </c>
      <c r="Z152" s="73">
        <v>244145</v>
      </c>
      <c r="AA152" s="65" t="str">
        <f>IF(Z152&lt;&gt;"", "Complete", IF(Y152&lt;&gt;"", "In progress", ""))</f>
        <v>Complete</v>
      </c>
      <c r="AB152" s="73">
        <v>244206</v>
      </c>
      <c r="AC152" s="73" t="s">
        <v>399</v>
      </c>
      <c r="AD152" s="62" t="str">
        <f>IF(AC152&lt;&gt;"", "Complete", IF(AB152&lt;&gt;"", "In progress", ""))</f>
        <v>Complete</v>
      </c>
      <c r="AE152" s="62" t="s">
        <v>469</v>
      </c>
      <c r="AF152" s="62"/>
      <c r="AG152" s="62" t="str">
        <f>IF(AF152&lt;&gt;"", "Complete", IF(AE152&lt;&gt;"", "In progress", ""))</f>
        <v>In progress</v>
      </c>
      <c r="AH152" s="62"/>
      <c r="AI152" s="62"/>
      <c r="AJ152" s="62"/>
      <c r="AK152" s="62"/>
      <c r="AL152" s="62"/>
      <c r="AM152" s="62"/>
      <c r="AN152" s="62"/>
      <c r="AO152" s="62" t="str">
        <f>IF(AL152&lt;&gt;"", "Complete", IF(AK152&lt;&gt;"", "In progress", ""))</f>
        <v/>
      </c>
    </row>
    <row r="153" spans="1:41" s="18" customFormat="1" ht="32.450000000000003" customHeight="1" x14ac:dyDescent="0.4">
      <c r="A153" s="59">
        <v>146</v>
      </c>
      <c r="B153" s="108" t="s">
        <v>178</v>
      </c>
      <c r="C153" s="108" t="s">
        <v>58</v>
      </c>
      <c r="D153" s="60" t="s">
        <v>56</v>
      </c>
      <c r="E153" s="60" t="s">
        <v>54</v>
      </c>
      <c r="F153" s="60" t="s">
        <v>107</v>
      </c>
      <c r="G153" s="60" t="s">
        <v>512</v>
      </c>
      <c r="H153" s="59">
        <v>9</v>
      </c>
      <c r="I153" s="63">
        <v>5</v>
      </c>
      <c r="J153" s="64">
        <v>8.2200430000000004</v>
      </c>
      <c r="K153" s="64">
        <v>100.21899500000001</v>
      </c>
      <c r="L153" s="65" t="s">
        <v>110</v>
      </c>
      <c r="M153" s="65" t="s">
        <v>110</v>
      </c>
      <c r="N153" s="62" t="str">
        <f>IF(M153&lt;&gt;"", "Complete", IF(L153&lt;&gt;"", "In progress", ""))</f>
        <v>Complete</v>
      </c>
      <c r="O153" s="62" t="s">
        <v>124</v>
      </c>
      <c r="P153" s="65" t="s">
        <v>380</v>
      </c>
      <c r="Q153" s="65" t="s">
        <v>380</v>
      </c>
      <c r="R153" s="65" t="str">
        <f t="shared" si="16"/>
        <v>Complete</v>
      </c>
      <c r="S153" s="51" t="s">
        <v>448</v>
      </c>
      <c r="T153" s="65" t="s">
        <v>399</v>
      </c>
      <c r="U153" s="65"/>
      <c r="V153" s="62" t="str">
        <f>IF(U153&lt;&gt;"", "Complete", IF(T153&lt;&gt;"", "In progress", ""))</f>
        <v>In progress</v>
      </c>
      <c r="W153" s="62"/>
      <c r="X153" s="62"/>
      <c r="Y153" s="65" t="s">
        <v>110</v>
      </c>
      <c r="Z153" s="73">
        <v>244145</v>
      </c>
      <c r="AA153" s="65" t="str">
        <f>IF(Z153&lt;&gt;"", "Complete", IF(Y153&lt;&gt;"", "In progress", ""))</f>
        <v>Complete</v>
      </c>
      <c r="AB153" s="73">
        <v>244206</v>
      </c>
      <c r="AC153" s="73" t="s">
        <v>399</v>
      </c>
      <c r="AD153" s="62" t="str">
        <f>IF(AC153&lt;&gt;"", "Complete", IF(AB153&lt;&gt;"", "In progress", ""))</f>
        <v>Complete</v>
      </c>
      <c r="AE153" s="62" t="s">
        <v>469</v>
      </c>
      <c r="AF153" s="62"/>
      <c r="AG153" s="62" t="str">
        <f>IF(AF153&lt;&gt;"", "Complete", IF(AE153&lt;&gt;"", "In progress", ""))</f>
        <v>In progress</v>
      </c>
      <c r="AH153" s="62"/>
      <c r="AI153" s="62"/>
      <c r="AJ153" s="62"/>
      <c r="AK153" s="62"/>
      <c r="AL153" s="62"/>
      <c r="AM153" s="62"/>
      <c r="AN153" s="62"/>
      <c r="AO153" s="62" t="str">
        <f>IF(AL153&lt;&gt;"", "Complete", IF(AK153&lt;&gt;"", "In progress", ""))</f>
        <v/>
      </c>
    </row>
    <row r="154" spans="1:41" s="18" customFormat="1" ht="32.450000000000003" customHeight="1" x14ac:dyDescent="0.4">
      <c r="A154" s="59">
        <v>147</v>
      </c>
      <c r="B154" s="108" t="s">
        <v>220</v>
      </c>
      <c r="C154" s="108" t="s">
        <v>59</v>
      </c>
      <c r="D154" s="60" t="s">
        <v>60</v>
      </c>
      <c r="E154" s="60" t="s">
        <v>54</v>
      </c>
      <c r="F154" s="60" t="s">
        <v>107</v>
      </c>
      <c r="G154" s="60" t="s">
        <v>512</v>
      </c>
      <c r="H154" s="59">
        <v>9</v>
      </c>
      <c r="I154" s="63">
        <v>5</v>
      </c>
      <c r="J154" s="64">
        <v>8.1719709999999992</v>
      </c>
      <c r="K154" s="64">
        <v>100.261365</v>
      </c>
      <c r="L154" s="65" t="s">
        <v>108</v>
      </c>
      <c r="M154" s="65" t="s">
        <v>108</v>
      </c>
      <c r="N154" s="62" t="str">
        <f t="shared" si="17"/>
        <v>Complete</v>
      </c>
      <c r="O154" s="62" t="s">
        <v>124</v>
      </c>
      <c r="P154" s="65" t="s">
        <v>380</v>
      </c>
      <c r="Q154" s="65" t="s">
        <v>380</v>
      </c>
      <c r="R154" s="65" t="str">
        <f t="shared" si="16"/>
        <v>Complete</v>
      </c>
      <c r="S154" s="51" t="s">
        <v>448</v>
      </c>
      <c r="T154" s="65" t="s">
        <v>413</v>
      </c>
      <c r="U154" s="65"/>
      <c r="V154" s="62" t="str">
        <f t="shared" si="18"/>
        <v>In progress</v>
      </c>
      <c r="W154" s="62"/>
      <c r="X154" s="62"/>
      <c r="Y154" s="65" t="s">
        <v>110</v>
      </c>
      <c r="Z154" s="73">
        <v>244145</v>
      </c>
      <c r="AA154" s="65" t="str">
        <f t="shared" si="19"/>
        <v>Complete</v>
      </c>
      <c r="AB154" s="73">
        <v>244206</v>
      </c>
      <c r="AC154" s="73" t="s">
        <v>399</v>
      </c>
      <c r="AD154" s="62" t="str">
        <f t="shared" si="20"/>
        <v>Complete</v>
      </c>
      <c r="AE154" s="62" t="s">
        <v>469</v>
      </c>
      <c r="AF154" s="62"/>
      <c r="AG154" s="62" t="str">
        <f t="shared" si="21"/>
        <v>In progress</v>
      </c>
      <c r="AH154" s="62"/>
      <c r="AI154" s="62"/>
      <c r="AJ154" s="62"/>
      <c r="AK154" s="62"/>
      <c r="AL154" s="62"/>
      <c r="AM154" s="62"/>
      <c r="AN154" s="62"/>
      <c r="AO154" s="62" t="str">
        <f t="shared" si="22"/>
        <v/>
      </c>
    </row>
    <row r="155" spans="1:41" s="18" customFormat="1" ht="32.450000000000003" customHeight="1" x14ac:dyDescent="0.4">
      <c r="A155" s="59">
        <v>148</v>
      </c>
      <c r="B155" s="108" t="s">
        <v>274</v>
      </c>
      <c r="C155" s="108" t="s">
        <v>59</v>
      </c>
      <c r="D155" s="60" t="s">
        <v>60</v>
      </c>
      <c r="E155" s="60" t="s">
        <v>54</v>
      </c>
      <c r="F155" s="60" t="s">
        <v>107</v>
      </c>
      <c r="G155" s="60" t="s">
        <v>512</v>
      </c>
      <c r="H155" s="59">
        <v>9</v>
      </c>
      <c r="I155" s="63">
        <v>5</v>
      </c>
      <c r="J155" s="64">
        <v>8.1466750000000001</v>
      </c>
      <c r="K155" s="64">
        <v>100.27117200000001</v>
      </c>
      <c r="L155" s="65" t="s">
        <v>108</v>
      </c>
      <c r="M155" s="65" t="s">
        <v>108</v>
      </c>
      <c r="N155" s="62" t="str">
        <f t="shared" si="17"/>
        <v>Complete</v>
      </c>
      <c r="O155" s="62" t="s">
        <v>124</v>
      </c>
      <c r="P155" s="65" t="s">
        <v>380</v>
      </c>
      <c r="Q155" s="65" t="s">
        <v>380</v>
      </c>
      <c r="R155" s="65" t="str">
        <f t="shared" si="16"/>
        <v>Complete</v>
      </c>
      <c r="S155" s="51" t="s">
        <v>448</v>
      </c>
      <c r="T155" s="65" t="s">
        <v>413</v>
      </c>
      <c r="U155" s="65"/>
      <c r="V155" s="62" t="str">
        <f t="shared" si="18"/>
        <v>In progress</v>
      </c>
      <c r="W155" s="62"/>
      <c r="X155" s="62"/>
      <c r="Y155" s="65" t="s">
        <v>110</v>
      </c>
      <c r="Z155" s="73">
        <v>244145</v>
      </c>
      <c r="AA155" s="65" t="str">
        <f t="shared" si="19"/>
        <v>Complete</v>
      </c>
      <c r="AB155" s="73">
        <v>244206</v>
      </c>
      <c r="AC155" s="73" t="s">
        <v>399</v>
      </c>
      <c r="AD155" s="62" t="str">
        <f t="shared" si="20"/>
        <v>Complete</v>
      </c>
      <c r="AE155" s="62" t="s">
        <v>469</v>
      </c>
      <c r="AF155" s="62"/>
      <c r="AG155" s="62" t="str">
        <f t="shared" si="21"/>
        <v>In progress</v>
      </c>
      <c r="AH155" s="62"/>
      <c r="AI155" s="62"/>
      <c r="AJ155" s="62"/>
      <c r="AK155" s="62"/>
      <c r="AL155" s="62"/>
      <c r="AM155" s="62"/>
      <c r="AN155" s="62"/>
      <c r="AO155" s="62" t="str">
        <f t="shared" si="22"/>
        <v/>
      </c>
    </row>
    <row r="156" spans="1:41" s="18" customFormat="1" ht="32.450000000000003" customHeight="1" x14ac:dyDescent="0.4">
      <c r="A156" s="62">
        <v>149</v>
      </c>
      <c r="B156" s="108" t="s">
        <v>157</v>
      </c>
      <c r="C156" s="108" t="s">
        <v>61</v>
      </c>
      <c r="D156" s="60" t="s">
        <v>60</v>
      </c>
      <c r="E156" s="60" t="s">
        <v>54</v>
      </c>
      <c r="F156" s="60" t="s">
        <v>107</v>
      </c>
      <c r="G156" s="60" t="s">
        <v>512</v>
      </c>
      <c r="H156" s="59">
        <v>9</v>
      </c>
      <c r="I156" s="63">
        <v>6</v>
      </c>
      <c r="J156" s="64">
        <v>8.1747569999999996</v>
      </c>
      <c r="K156" s="64">
        <v>100.249465</v>
      </c>
      <c r="L156" s="65" t="s">
        <v>108</v>
      </c>
      <c r="M156" s="65" t="s">
        <v>108</v>
      </c>
      <c r="N156" s="62" t="str">
        <f t="shared" ref="N156:N162" si="29">IF(M156&lt;&gt;"", "Complete", IF(L156&lt;&gt;"", "In progress", ""))</f>
        <v>Complete</v>
      </c>
      <c r="O156" s="62" t="s">
        <v>124</v>
      </c>
      <c r="P156" s="65" t="s">
        <v>380</v>
      </c>
      <c r="Q156" s="65" t="s">
        <v>380</v>
      </c>
      <c r="R156" s="65" t="str">
        <f t="shared" si="16"/>
        <v>Complete</v>
      </c>
      <c r="S156" s="51" t="s">
        <v>448</v>
      </c>
      <c r="T156" s="65" t="s">
        <v>413</v>
      </c>
      <c r="U156" s="65"/>
      <c r="V156" s="62" t="str">
        <f t="shared" ref="V156:V162" si="30">IF(U156&lt;&gt;"", "Complete", IF(T156&lt;&gt;"", "In progress", ""))</f>
        <v>In progress</v>
      </c>
      <c r="W156" s="62"/>
      <c r="X156" s="62"/>
      <c r="Y156" s="65" t="s">
        <v>110</v>
      </c>
      <c r="Z156" s="73">
        <v>244145</v>
      </c>
      <c r="AA156" s="65" t="str">
        <f t="shared" ref="AA156:AA162" si="31">IF(Z156&lt;&gt;"", "Complete", IF(Y156&lt;&gt;"", "In progress", ""))</f>
        <v>Complete</v>
      </c>
      <c r="AB156" s="73">
        <v>244206</v>
      </c>
      <c r="AC156" s="73" t="s">
        <v>399</v>
      </c>
      <c r="AD156" s="62" t="str">
        <f t="shared" ref="AD156:AD162" si="32">IF(AC156&lt;&gt;"", "Complete", IF(AB156&lt;&gt;"", "In progress", ""))</f>
        <v>Complete</v>
      </c>
      <c r="AE156" s="62" t="s">
        <v>469</v>
      </c>
      <c r="AF156" s="62"/>
      <c r="AG156" s="62" t="str">
        <f t="shared" ref="AG156:AG162" si="33">IF(AF156&lt;&gt;"", "Complete", IF(AE156&lt;&gt;"", "In progress", ""))</f>
        <v>In progress</v>
      </c>
      <c r="AH156" s="62"/>
      <c r="AI156" s="62"/>
      <c r="AJ156" s="62"/>
      <c r="AK156" s="62"/>
      <c r="AL156" s="62"/>
      <c r="AM156" s="62"/>
      <c r="AN156" s="62"/>
      <c r="AO156" s="62" t="str">
        <f t="shared" ref="AO156:AO162" si="34">IF(AL156&lt;&gt;"", "Complete", IF(AK156&lt;&gt;"", "In progress", ""))</f>
        <v/>
      </c>
    </row>
    <row r="157" spans="1:41" s="18" customFormat="1" ht="32.450000000000003" customHeight="1" x14ac:dyDescent="0.4">
      <c r="A157" s="62">
        <v>150</v>
      </c>
      <c r="B157" s="108" t="s">
        <v>234</v>
      </c>
      <c r="C157" s="108" t="s">
        <v>61</v>
      </c>
      <c r="D157" s="60" t="s">
        <v>60</v>
      </c>
      <c r="E157" s="60" t="s">
        <v>54</v>
      </c>
      <c r="F157" s="60" t="s">
        <v>107</v>
      </c>
      <c r="G157" s="108" t="s">
        <v>302</v>
      </c>
      <c r="H157" s="59">
        <v>9</v>
      </c>
      <c r="I157" s="63">
        <v>4</v>
      </c>
      <c r="J157" s="64">
        <v>8.144342</v>
      </c>
      <c r="K157" s="64">
        <v>100.268788</v>
      </c>
      <c r="L157" s="65" t="s">
        <v>108</v>
      </c>
      <c r="M157" s="65" t="s">
        <v>108</v>
      </c>
      <c r="N157" s="62" t="str">
        <f t="shared" si="29"/>
        <v>Complete</v>
      </c>
      <c r="O157" s="62" t="s">
        <v>124</v>
      </c>
      <c r="P157" s="65" t="s">
        <v>380</v>
      </c>
      <c r="Q157" s="65" t="s">
        <v>380</v>
      </c>
      <c r="R157" s="65" t="str">
        <f t="shared" si="16"/>
        <v>Complete</v>
      </c>
      <c r="S157" s="51" t="s">
        <v>448</v>
      </c>
      <c r="T157" s="65" t="s">
        <v>413</v>
      </c>
      <c r="U157" s="65"/>
      <c r="V157" s="62" t="str">
        <f t="shared" si="30"/>
        <v>In progress</v>
      </c>
      <c r="W157" s="62"/>
      <c r="X157" s="62"/>
      <c r="Y157" s="65" t="s">
        <v>110</v>
      </c>
      <c r="Z157" s="73">
        <v>244145</v>
      </c>
      <c r="AA157" s="65" t="str">
        <f t="shared" si="31"/>
        <v>Complete</v>
      </c>
      <c r="AB157" s="73">
        <v>244206</v>
      </c>
      <c r="AC157" s="73" t="s">
        <v>399</v>
      </c>
      <c r="AD157" s="62" t="str">
        <f t="shared" si="32"/>
        <v>Complete</v>
      </c>
      <c r="AE157" s="62" t="s">
        <v>469</v>
      </c>
      <c r="AF157" s="62"/>
      <c r="AG157" s="62" t="str">
        <f t="shared" si="33"/>
        <v>In progress</v>
      </c>
      <c r="AH157" s="62"/>
      <c r="AI157" s="62"/>
      <c r="AJ157" s="62"/>
      <c r="AK157" s="62"/>
      <c r="AL157" s="62"/>
      <c r="AM157" s="62"/>
      <c r="AN157" s="62"/>
      <c r="AO157" s="62" t="str">
        <f t="shared" si="34"/>
        <v/>
      </c>
    </row>
    <row r="158" spans="1:41" s="18" customFormat="1" ht="32.450000000000003" customHeight="1" x14ac:dyDescent="0.4">
      <c r="A158" s="59">
        <v>151</v>
      </c>
      <c r="B158" s="108" t="s">
        <v>158</v>
      </c>
      <c r="C158" s="108" t="s">
        <v>62</v>
      </c>
      <c r="D158" s="60" t="s">
        <v>63</v>
      </c>
      <c r="E158" s="60" t="s">
        <v>64</v>
      </c>
      <c r="F158" s="68" t="s">
        <v>103</v>
      </c>
      <c r="G158" s="60" t="s">
        <v>512</v>
      </c>
      <c r="H158" s="59">
        <v>9</v>
      </c>
      <c r="I158" s="63">
        <v>51</v>
      </c>
      <c r="J158" s="64">
        <v>15.972099999999999</v>
      </c>
      <c r="K158" s="64">
        <v>100.708423</v>
      </c>
      <c r="L158" s="65" t="s">
        <v>110</v>
      </c>
      <c r="M158" s="65" t="s">
        <v>111</v>
      </c>
      <c r="N158" s="62" t="str">
        <f t="shared" si="29"/>
        <v>Complete</v>
      </c>
      <c r="O158" s="62" t="s">
        <v>124</v>
      </c>
      <c r="P158" s="65" t="s">
        <v>380</v>
      </c>
      <c r="Q158" s="65" t="s">
        <v>380</v>
      </c>
      <c r="R158" s="65" t="str">
        <f t="shared" si="16"/>
        <v>Complete</v>
      </c>
      <c r="S158" s="51" t="s">
        <v>448</v>
      </c>
      <c r="T158" s="65" t="s">
        <v>417</v>
      </c>
      <c r="U158" s="65"/>
      <c r="V158" s="62" t="str">
        <f t="shared" si="30"/>
        <v>In progress</v>
      </c>
      <c r="W158" s="62"/>
      <c r="X158" s="62"/>
      <c r="Y158" s="65" t="s">
        <v>110</v>
      </c>
      <c r="Z158" s="73">
        <v>244145</v>
      </c>
      <c r="AA158" s="65" t="str">
        <f t="shared" si="31"/>
        <v>Complete</v>
      </c>
      <c r="AB158" s="73">
        <v>244206</v>
      </c>
      <c r="AC158" s="73" t="s">
        <v>399</v>
      </c>
      <c r="AD158" s="62" t="str">
        <f t="shared" si="32"/>
        <v>Complete</v>
      </c>
      <c r="AE158" s="62" t="s">
        <v>469</v>
      </c>
      <c r="AF158" s="62"/>
      <c r="AG158" s="62" t="str">
        <f t="shared" si="33"/>
        <v>In progress</v>
      </c>
      <c r="AH158" s="62"/>
      <c r="AI158" s="62"/>
      <c r="AJ158" s="62"/>
      <c r="AK158" s="62"/>
      <c r="AL158" s="62"/>
      <c r="AM158" s="62"/>
      <c r="AN158" s="62"/>
      <c r="AO158" s="62" t="str">
        <f t="shared" si="34"/>
        <v/>
      </c>
    </row>
    <row r="159" spans="1:41" s="18" customFormat="1" ht="32.450000000000003" customHeight="1" x14ac:dyDescent="0.4">
      <c r="A159" s="59">
        <v>152</v>
      </c>
      <c r="B159" s="108" t="s">
        <v>159</v>
      </c>
      <c r="C159" s="108" t="s">
        <v>62</v>
      </c>
      <c r="D159" s="60" t="s">
        <v>63</v>
      </c>
      <c r="E159" s="60" t="s">
        <v>64</v>
      </c>
      <c r="F159" s="68" t="s">
        <v>103</v>
      </c>
      <c r="G159" s="60" t="s">
        <v>512</v>
      </c>
      <c r="H159" s="59">
        <v>9</v>
      </c>
      <c r="I159" s="63">
        <v>34</v>
      </c>
      <c r="J159" s="64">
        <v>15.9718</v>
      </c>
      <c r="K159" s="64">
        <v>100.6823</v>
      </c>
      <c r="L159" s="65" t="s">
        <v>110</v>
      </c>
      <c r="M159" s="65" t="s">
        <v>111</v>
      </c>
      <c r="N159" s="62" t="str">
        <f t="shared" si="29"/>
        <v>Complete</v>
      </c>
      <c r="O159" s="62" t="s">
        <v>124</v>
      </c>
      <c r="P159" s="65" t="s">
        <v>380</v>
      </c>
      <c r="Q159" s="65" t="s">
        <v>380</v>
      </c>
      <c r="R159" s="65" t="str">
        <f t="shared" si="16"/>
        <v>Complete</v>
      </c>
      <c r="S159" s="51" t="s">
        <v>448</v>
      </c>
      <c r="T159" s="65" t="s">
        <v>417</v>
      </c>
      <c r="U159" s="65"/>
      <c r="V159" s="62" t="str">
        <f t="shared" si="30"/>
        <v>In progress</v>
      </c>
      <c r="W159" s="62"/>
      <c r="X159" s="62"/>
      <c r="Y159" s="65" t="s">
        <v>110</v>
      </c>
      <c r="Z159" s="73">
        <v>244145</v>
      </c>
      <c r="AA159" s="65" t="str">
        <f t="shared" si="31"/>
        <v>Complete</v>
      </c>
      <c r="AB159" s="73">
        <v>244206</v>
      </c>
      <c r="AC159" s="73" t="s">
        <v>399</v>
      </c>
      <c r="AD159" s="62" t="str">
        <f t="shared" si="32"/>
        <v>Complete</v>
      </c>
      <c r="AE159" s="62" t="s">
        <v>469</v>
      </c>
      <c r="AF159" s="62"/>
      <c r="AG159" s="62" t="str">
        <f t="shared" si="33"/>
        <v>In progress</v>
      </c>
      <c r="AH159" s="62"/>
      <c r="AI159" s="62"/>
      <c r="AJ159" s="62"/>
      <c r="AK159" s="62"/>
      <c r="AL159" s="62"/>
      <c r="AM159" s="62"/>
      <c r="AN159" s="62"/>
      <c r="AO159" s="62" t="str">
        <f t="shared" si="34"/>
        <v/>
      </c>
    </row>
    <row r="160" spans="1:41" s="18" customFormat="1" ht="32.450000000000003" customHeight="1" x14ac:dyDescent="0.4">
      <c r="A160" s="59">
        <v>153</v>
      </c>
      <c r="B160" s="108" t="s">
        <v>199</v>
      </c>
      <c r="C160" s="108" t="s">
        <v>62</v>
      </c>
      <c r="D160" s="60" t="s">
        <v>63</v>
      </c>
      <c r="E160" s="60" t="s">
        <v>64</v>
      </c>
      <c r="F160" s="68" t="s">
        <v>103</v>
      </c>
      <c r="G160" s="60" t="s">
        <v>512</v>
      </c>
      <c r="H160" s="59">
        <v>9</v>
      </c>
      <c r="I160" s="63">
        <v>36</v>
      </c>
      <c r="J160" s="64">
        <v>15.987209999999999</v>
      </c>
      <c r="K160" s="64">
        <v>100.69482000000001</v>
      </c>
      <c r="L160" s="65" t="s">
        <v>110</v>
      </c>
      <c r="M160" s="65" t="s">
        <v>111</v>
      </c>
      <c r="N160" s="62" t="str">
        <f t="shared" si="29"/>
        <v>Complete</v>
      </c>
      <c r="O160" s="62" t="s">
        <v>124</v>
      </c>
      <c r="P160" s="65" t="s">
        <v>380</v>
      </c>
      <c r="Q160" s="65" t="s">
        <v>380</v>
      </c>
      <c r="R160" s="65" t="str">
        <f t="shared" si="16"/>
        <v>Complete</v>
      </c>
      <c r="S160" s="51" t="s">
        <v>448</v>
      </c>
      <c r="T160" s="65" t="s">
        <v>417</v>
      </c>
      <c r="U160" s="65"/>
      <c r="V160" s="62" t="str">
        <f t="shared" si="30"/>
        <v>In progress</v>
      </c>
      <c r="W160" s="62"/>
      <c r="X160" s="62"/>
      <c r="Y160" s="65" t="s">
        <v>110</v>
      </c>
      <c r="Z160" s="73">
        <v>244145</v>
      </c>
      <c r="AA160" s="65" t="str">
        <f t="shared" si="31"/>
        <v>Complete</v>
      </c>
      <c r="AB160" s="73">
        <v>244206</v>
      </c>
      <c r="AC160" s="73" t="s">
        <v>399</v>
      </c>
      <c r="AD160" s="62" t="str">
        <f t="shared" si="32"/>
        <v>Complete</v>
      </c>
      <c r="AE160" s="62" t="s">
        <v>469</v>
      </c>
      <c r="AF160" s="62"/>
      <c r="AG160" s="62" t="str">
        <f t="shared" si="33"/>
        <v>In progress</v>
      </c>
      <c r="AH160" s="62"/>
      <c r="AI160" s="62"/>
      <c r="AJ160" s="62"/>
      <c r="AK160" s="62"/>
      <c r="AL160" s="62"/>
      <c r="AM160" s="62"/>
      <c r="AN160" s="62"/>
      <c r="AO160" s="62" t="str">
        <f t="shared" si="34"/>
        <v/>
      </c>
    </row>
    <row r="161" spans="1:41" s="18" customFormat="1" ht="32.450000000000003" customHeight="1" x14ac:dyDescent="0.4">
      <c r="A161" s="62">
        <v>154</v>
      </c>
      <c r="B161" s="108" t="s">
        <v>221</v>
      </c>
      <c r="C161" s="108" t="s">
        <v>62</v>
      </c>
      <c r="D161" s="60" t="s">
        <v>63</v>
      </c>
      <c r="E161" s="60" t="s">
        <v>64</v>
      </c>
      <c r="F161" s="68" t="s">
        <v>103</v>
      </c>
      <c r="G161" s="60" t="s">
        <v>512</v>
      </c>
      <c r="H161" s="59">
        <v>9</v>
      </c>
      <c r="I161" s="63">
        <v>60</v>
      </c>
      <c r="J161" s="64">
        <v>15.96167</v>
      </c>
      <c r="K161" s="64">
        <v>100.74643</v>
      </c>
      <c r="L161" s="65" t="s">
        <v>110</v>
      </c>
      <c r="M161" s="65" t="s">
        <v>111</v>
      </c>
      <c r="N161" s="62" t="str">
        <f t="shared" si="29"/>
        <v>Complete</v>
      </c>
      <c r="O161" s="62" t="s">
        <v>124</v>
      </c>
      <c r="P161" s="65" t="s">
        <v>380</v>
      </c>
      <c r="Q161" s="65" t="s">
        <v>380</v>
      </c>
      <c r="R161" s="65" t="str">
        <f t="shared" si="16"/>
        <v>Complete</v>
      </c>
      <c r="S161" s="51" t="s">
        <v>448</v>
      </c>
      <c r="T161" s="65" t="s">
        <v>417</v>
      </c>
      <c r="U161" s="65"/>
      <c r="V161" s="62" t="str">
        <f t="shared" si="30"/>
        <v>In progress</v>
      </c>
      <c r="W161" s="62"/>
      <c r="X161" s="62"/>
      <c r="Y161" s="65" t="s">
        <v>110</v>
      </c>
      <c r="Z161" s="73">
        <v>244145</v>
      </c>
      <c r="AA161" s="65" t="str">
        <f t="shared" si="31"/>
        <v>Complete</v>
      </c>
      <c r="AB161" s="73">
        <v>244206</v>
      </c>
      <c r="AC161" s="73" t="s">
        <v>399</v>
      </c>
      <c r="AD161" s="62" t="str">
        <f t="shared" si="32"/>
        <v>Complete</v>
      </c>
      <c r="AE161" s="62" t="s">
        <v>469</v>
      </c>
      <c r="AF161" s="62"/>
      <c r="AG161" s="62" t="str">
        <f t="shared" si="33"/>
        <v>In progress</v>
      </c>
      <c r="AH161" s="62"/>
      <c r="AI161" s="62"/>
      <c r="AJ161" s="62"/>
      <c r="AK161" s="62"/>
      <c r="AL161" s="62"/>
      <c r="AM161" s="62"/>
      <c r="AN161" s="62"/>
      <c r="AO161" s="62" t="str">
        <f t="shared" si="34"/>
        <v/>
      </c>
    </row>
    <row r="162" spans="1:41" s="18" customFormat="1" ht="32.450000000000003" customHeight="1" x14ac:dyDescent="0.4">
      <c r="A162" s="62">
        <v>155</v>
      </c>
      <c r="B162" s="108" t="s">
        <v>200</v>
      </c>
      <c r="C162" s="108" t="s">
        <v>62</v>
      </c>
      <c r="D162" s="60" t="s">
        <v>63</v>
      </c>
      <c r="E162" s="60" t="s">
        <v>64</v>
      </c>
      <c r="F162" s="68" t="s">
        <v>103</v>
      </c>
      <c r="G162" s="60" t="s">
        <v>512</v>
      </c>
      <c r="H162" s="59">
        <v>9</v>
      </c>
      <c r="I162" s="63">
        <v>44</v>
      </c>
      <c r="J162" s="64">
        <v>15.9903</v>
      </c>
      <c r="K162" s="64">
        <v>100.72969999999999</v>
      </c>
      <c r="L162" s="65" t="s">
        <v>110</v>
      </c>
      <c r="M162" s="65" t="s">
        <v>111</v>
      </c>
      <c r="N162" s="62" t="str">
        <f t="shared" si="29"/>
        <v>Complete</v>
      </c>
      <c r="O162" s="62" t="s">
        <v>124</v>
      </c>
      <c r="P162" s="65" t="s">
        <v>380</v>
      </c>
      <c r="Q162" s="65" t="s">
        <v>380</v>
      </c>
      <c r="R162" s="65" t="str">
        <f t="shared" si="16"/>
        <v>Complete</v>
      </c>
      <c r="S162" s="51" t="s">
        <v>448</v>
      </c>
      <c r="T162" s="65" t="s">
        <v>417</v>
      </c>
      <c r="U162" s="65"/>
      <c r="V162" s="62" t="str">
        <f t="shared" si="30"/>
        <v>In progress</v>
      </c>
      <c r="W162" s="62"/>
      <c r="X162" s="62"/>
      <c r="Y162" s="65" t="s">
        <v>110</v>
      </c>
      <c r="Z162" s="73">
        <v>244145</v>
      </c>
      <c r="AA162" s="65" t="str">
        <f t="shared" si="31"/>
        <v>Complete</v>
      </c>
      <c r="AB162" s="73">
        <v>244206</v>
      </c>
      <c r="AC162" s="73" t="s">
        <v>399</v>
      </c>
      <c r="AD162" s="62" t="str">
        <f t="shared" si="32"/>
        <v>Complete</v>
      </c>
      <c r="AE162" s="62" t="s">
        <v>469</v>
      </c>
      <c r="AF162" s="62"/>
      <c r="AG162" s="62" t="str">
        <f t="shared" si="33"/>
        <v>In progress</v>
      </c>
      <c r="AH162" s="62"/>
      <c r="AI162" s="62"/>
      <c r="AJ162" s="62"/>
      <c r="AK162" s="62"/>
      <c r="AL162" s="62"/>
      <c r="AM162" s="62"/>
      <c r="AN162" s="62"/>
      <c r="AO162" s="62" t="str">
        <f t="shared" si="34"/>
        <v/>
      </c>
    </row>
    <row r="163" spans="1:41" s="18" customFormat="1" ht="32.450000000000003" customHeight="1" x14ac:dyDescent="0.4">
      <c r="A163" s="59">
        <v>156</v>
      </c>
      <c r="B163" s="108" t="s">
        <v>433</v>
      </c>
      <c r="C163" s="108" t="s">
        <v>65</v>
      </c>
      <c r="D163" s="60" t="s">
        <v>66</v>
      </c>
      <c r="E163" s="60" t="s">
        <v>67</v>
      </c>
      <c r="F163" s="68" t="s">
        <v>103</v>
      </c>
      <c r="G163" s="60" t="s">
        <v>513</v>
      </c>
      <c r="H163" s="59">
        <v>9</v>
      </c>
      <c r="I163" s="63">
        <v>56</v>
      </c>
      <c r="J163" s="64">
        <v>16.038830999999998</v>
      </c>
      <c r="K163" s="64">
        <v>100.626155</v>
      </c>
      <c r="L163" s="65" t="s">
        <v>110</v>
      </c>
      <c r="M163" s="65" t="s">
        <v>108</v>
      </c>
      <c r="N163" s="62" t="str">
        <f t="shared" si="17"/>
        <v>Complete</v>
      </c>
      <c r="O163" s="62" t="s">
        <v>124</v>
      </c>
      <c r="P163" s="65" t="s">
        <v>380</v>
      </c>
      <c r="Q163" s="65" t="s">
        <v>380</v>
      </c>
      <c r="R163" s="65" t="str">
        <f t="shared" si="16"/>
        <v>Complete</v>
      </c>
      <c r="S163" s="51" t="s">
        <v>448</v>
      </c>
      <c r="T163" s="65" t="s">
        <v>413</v>
      </c>
      <c r="U163" s="65"/>
      <c r="V163" s="62" t="str">
        <f t="shared" si="18"/>
        <v>In progress</v>
      </c>
      <c r="W163" s="62"/>
      <c r="X163" s="62"/>
      <c r="Y163" s="65" t="s">
        <v>110</v>
      </c>
      <c r="Z163" s="73">
        <v>244145</v>
      </c>
      <c r="AA163" s="65" t="str">
        <f t="shared" si="19"/>
        <v>Complete</v>
      </c>
      <c r="AB163" s="73">
        <v>244206</v>
      </c>
      <c r="AC163" s="73" t="s">
        <v>399</v>
      </c>
      <c r="AD163" s="62" t="str">
        <f t="shared" si="20"/>
        <v>Complete</v>
      </c>
      <c r="AE163" s="62" t="s">
        <v>469</v>
      </c>
      <c r="AF163" s="62"/>
      <c r="AG163" s="62" t="str">
        <f t="shared" si="21"/>
        <v>In progress</v>
      </c>
      <c r="AH163" s="62"/>
      <c r="AI163" s="62"/>
      <c r="AJ163" s="62"/>
      <c r="AK163" s="62"/>
      <c r="AL163" s="62"/>
      <c r="AM163" s="62"/>
      <c r="AN163" s="62"/>
      <c r="AO163" s="62" t="str">
        <f t="shared" si="22"/>
        <v/>
      </c>
    </row>
    <row r="164" spans="1:41" s="18" customFormat="1" ht="32.450000000000003" customHeight="1" x14ac:dyDescent="0.4">
      <c r="A164" s="59">
        <v>157</v>
      </c>
      <c r="B164" s="108" t="s">
        <v>434</v>
      </c>
      <c r="C164" s="108" t="s">
        <v>65</v>
      </c>
      <c r="D164" s="60" t="s">
        <v>66</v>
      </c>
      <c r="E164" s="60" t="s">
        <v>67</v>
      </c>
      <c r="F164" s="68" t="s">
        <v>103</v>
      </c>
      <c r="G164" s="68" t="s">
        <v>304</v>
      </c>
      <c r="H164" s="59">
        <v>9</v>
      </c>
      <c r="I164" s="63">
        <v>61</v>
      </c>
      <c r="J164" s="64">
        <v>16.030031000000001</v>
      </c>
      <c r="K164" s="64">
        <v>100.666606</v>
      </c>
      <c r="L164" s="65" t="s">
        <v>110</v>
      </c>
      <c r="M164" s="65" t="s">
        <v>108</v>
      </c>
      <c r="N164" s="62" t="str">
        <f t="shared" si="17"/>
        <v>Complete</v>
      </c>
      <c r="O164" s="62" t="s">
        <v>124</v>
      </c>
      <c r="P164" s="65" t="s">
        <v>380</v>
      </c>
      <c r="Q164" s="65" t="s">
        <v>380</v>
      </c>
      <c r="R164" s="65" t="str">
        <f t="shared" si="16"/>
        <v>Complete</v>
      </c>
      <c r="S164" s="51" t="s">
        <v>448</v>
      </c>
      <c r="T164" s="65" t="s">
        <v>413</v>
      </c>
      <c r="U164" s="65"/>
      <c r="V164" s="62" t="str">
        <f t="shared" si="18"/>
        <v>In progress</v>
      </c>
      <c r="W164" s="62"/>
      <c r="X164" s="62"/>
      <c r="Y164" s="65" t="s">
        <v>110</v>
      </c>
      <c r="Z164" s="73">
        <v>244145</v>
      </c>
      <c r="AA164" s="65" t="str">
        <f t="shared" si="19"/>
        <v>Complete</v>
      </c>
      <c r="AB164" s="73">
        <v>244206</v>
      </c>
      <c r="AC164" s="73" t="s">
        <v>399</v>
      </c>
      <c r="AD164" s="62" t="str">
        <f t="shared" si="20"/>
        <v>Complete</v>
      </c>
      <c r="AE164" s="62" t="s">
        <v>469</v>
      </c>
      <c r="AF164" s="62"/>
      <c r="AG164" s="62" t="str">
        <f t="shared" si="21"/>
        <v>In progress</v>
      </c>
      <c r="AH164" s="62"/>
      <c r="AI164" s="62"/>
      <c r="AJ164" s="62"/>
      <c r="AK164" s="62"/>
      <c r="AL164" s="62"/>
      <c r="AM164" s="62"/>
      <c r="AN164" s="62"/>
      <c r="AO164" s="62" t="str">
        <f t="shared" si="22"/>
        <v/>
      </c>
    </row>
    <row r="165" spans="1:41" s="18" customFormat="1" ht="32.450000000000003" customHeight="1" x14ac:dyDescent="0.4">
      <c r="A165" s="59">
        <v>158</v>
      </c>
      <c r="B165" s="108" t="s">
        <v>438</v>
      </c>
      <c r="C165" s="108" t="s">
        <v>65</v>
      </c>
      <c r="D165" s="60" t="s">
        <v>66</v>
      </c>
      <c r="E165" s="60" t="s">
        <v>67</v>
      </c>
      <c r="F165" s="68" t="s">
        <v>103</v>
      </c>
      <c r="G165" s="60" t="s">
        <v>513</v>
      </c>
      <c r="H165" s="59">
        <v>9</v>
      </c>
      <c r="I165" s="63">
        <v>66</v>
      </c>
      <c r="J165" s="64">
        <v>16.024733000000001</v>
      </c>
      <c r="K165" s="64">
        <v>100.686663</v>
      </c>
      <c r="L165" s="65" t="s">
        <v>110</v>
      </c>
      <c r="M165" s="65" t="s">
        <v>109</v>
      </c>
      <c r="N165" s="62" t="str">
        <f t="shared" si="17"/>
        <v>Complete</v>
      </c>
      <c r="O165" s="62" t="s">
        <v>124</v>
      </c>
      <c r="P165" s="65" t="s">
        <v>380</v>
      </c>
      <c r="Q165" s="65" t="s">
        <v>380</v>
      </c>
      <c r="R165" s="65" t="str">
        <f t="shared" si="16"/>
        <v>Complete</v>
      </c>
      <c r="S165" s="51" t="s">
        <v>448</v>
      </c>
      <c r="T165" s="65" t="s">
        <v>414</v>
      </c>
      <c r="U165" s="65"/>
      <c r="V165" s="62" t="str">
        <f t="shared" si="18"/>
        <v>In progress</v>
      </c>
      <c r="W165" s="62"/>
      <c r="X165" s="62"/>
      <c r="Y165" s="65" t="s">
        <v>110</v>
      </c>
      <c r="Z165" s="73">
        <v>244145</v>
      </c>
      <c r="AA165" s="65" t="str">
        <f t="shared" si="19"/>
        <v>Complete</v>
      </c>
      <c r="AB165" s="73">
        <v>244206</v>
      </c>
      <c r="AC165" s="73" t="s">
        <v>399</v>
      </c>
      <c r="AD165" s="62" t="str">
        <f t="shared" si="20"/>
        <v>Complete</v>
      </c>
      <c r="AE165" s="62" t="s">
        <v>469</v>
      </c>
      <c r="AF165" s="62"/>
      <c r="AG165" s="62" t="str">
        <f t="shared" si="21"/>
        <v>In progress</v>
      </c>
      <c r="AH165" s="62"/>
      <c r="AI165" s="62"/>
      <c r="AJ165" s="62"/>
      <c r="AK165" s="62"/>
      <c r="AL165" s="62"/>
      <c r="AM165" s="62"/>
      <c r="AN165" s="62"/>
      <c r="AO165" s="62" t="str">
        <f t="shared" si="22"/>
        <v/>
      </c>
    </row>
    <row r="166" spans="1:41" s="18" customFormat="1" ht="32.450000000000003" customHeight="1" x14ac:dyDescent="0.4">
      <c r="A166" s="62">
        <v>159</v>
      </c>
      <c r="B166" s="108" t="s">
        <v>439</v>
      </c>
      <c r="C166" s="108" t="s">
        <v>65</v>
      </c>
      <c r="D166" s="60" t="s">
        <v>66</v>
      </c>
      <c r="E166" s="60" t="s">
        <v>67</v>
      </c>
      <c r="F166" s="68" t="s">
        <v>103</v>
      </c>
      <c r="G166" s="60" t="s">
        <v>512</v>
      </c>
      <c r="H166" s="59">
        <v>9</v>
      </c>
      <c r="I166" s="63">
        <v>61</v>
      </c>
      <c r="J166" s="64">
        <v>16.030507</v>
      </c>
      <c r="K166" s="64">
        <v>100.65596600000001</v>
      </c>
      <c r="L166" s="65" t="s">
        <v>110</v>
      </c>
      <c r="M166" s="65" t="s">
        <v>109</v>
      </c>
      <c r="N166" s="62" t="str">
        <f t="shared" si="17"/>
        <v>Complete</v>
      </c>
      <c r="O166" s="62" t="s">
        <v>124</v>
      </c>
      <c r="P166" s="65" t="s">
        <v>380</v>
      </c>
      <c r="Q166" s="65" t="s">
        <v>380</v>
      </c>
      <c r="R166" s="65" t="str">
        <f t="shared" si="16"/>
        <v>Complete</v>
      </c>
      <c r="S166" s="51" t="s">
        <v>448</v>
      </c>
      <c r="T166" s="65" t="s">
        <v>414</v>
      </c>
      <c r="U166" s="65"/>
      <c r="V166" s="62" t="str">
        <f t="shared" si="18"/>
        <v>In progress</v>
      </c>
      <c r="W166" s="62"/>
      <c r="X166" s="62"/>
      <c r="Y166" s="65" t="s">
        <v>110</v>
      </c>
      <c r="Z166" s="73">
        <v>244145</v>
      </c>
      <c r="AA166" s="65" t="str">
        <f t="shared" si="19"/>
        <v>Complete</v>
      </c>
      <c r="AB166" s="73">
        <v>244206</v>
      </c>
      <c r="AC166" s="73" t="s">
        <v>399</v>
      </c>
      <c r="AD166" s="62" t="str">
        <f t="shared" si="20"/>
        <v>Complete</v>
      </c>
      <c r="AE166" s="62" t="s">
        <v>469</v>
      </c>
      <c r="AF166" s="62"/>
      <c r="AG166" s="62" t="str">
        <f t="shared" si="21"/>
        <v>In progress</v>
      </c>
      <c r="AH166" s="62"/>
      <c r="AI166" s="62"/>
      <c r="AJ166" s="62"/>
      <c r="AK166" s="62"/>
      <c r="AL166" s="62"/>
      <c r="AM166" s="62"/>
      <c r="AN166" s="62"/>
      <c r="AO166" s="62" t="str">
        <f t="shared" si="22"/>
        <v/>
      </c>
    </row>
    <row r="167" spans="1:41" s="18" customFormat="1" ht="32.450000000000003" customHeight="1" x14ac:dyDescent="0.4">
      <c r="A167" s="62">
        <v>160</v>
      </c>
      <c r="B167" s="108" t="s">
        <v>235</v>
      </c>
      <c r="C167" s="108" t="s">
        <v>68</v>
      </c>
      <c r="D167" s="60" t="s">
        <v>69</v>
      </c>
      <c r="E167" s="60" t="s">
        <v>70</v>
      </c>
      <c r="F167" s="68" t="s">
        <v>103</v>
      </c>
      <c r="G167" s="68" t="s">
        <v>411</v>
      </c>
      <c r="H167" s="59">
        <v>9</v>
      </c>
      <c r="I167" s="63">
        <v>117</v>
      </c>
      <c r="J167" s="64">
        <v>16.024311999999998</v>
      </c>
      <c r="K167" s="64">
        <v>100.884216</v>
      </c>
      <c r="L167" s="65" t="s">
        <v>110</v>
      </c>
      <c r="M167" s="65" t="s">
        <v>377</v>
      </c>
      <c r="N167" s="62" t="str">
        <f t="shared" si="17"/>
        <v>Complete</v>
      </c>
      <c r="O167" s="62" t="s">
        <v>124</v>
      </c>
      <c r="P167" s="65" t="s">
        <v>380</v>
      </c>
      <c r="Q167" s="65" t="s">
        <v>380</v>
      </c>
      <c r="R167" s="65" t="str">
        <f t="shared" si="16"/>
        <v>Complete</v>
      </c>
      <c r="S167" s="51" t="s">
        <v>448</v>
      </c>
      <c r="T167" s="65" t="s">
        <v>415</v>
      </c>
      <c r="U167" s="65"/>
      <c r="V167" s="62" t="str">
        <f t="shared" si="18"/>
        <v>In progress</v>
      </c>
      <c r="W167" s="62"/>
      <c r="X167" s="62"/>
      <c r="Y167" s="65" t="s">
        <v>110</v>
      </c>
      <c r="Z167" s="73">
        <v>244145</v>
      </c>
      <c r="AA167" s="65" t="str">
        <f t="shared" si="19"/>
        <v>Complete</v>
      </c>
      <c r="AB167" s="73">
        <v>244206</v>
      </c>
      <c r="AC167" s="73" t="s">
        <v>399</v>
      </c>
      <c r="AD167" s="62" t="str">
        <f t="shared" si="20"/>
        <v>Complete</v>
      </c>
      <c r="AE167" s="62" t="s">
        <v>469</v>
      </c>
      <c r="AF167" s="62"/>
      <c r="AG167" s="62" t="str">
        <f t="shared" si="21"/>
        <v>In progress</v>
      </c>
      <c r="AH167" s="62"/>
      <c r="AI167" s="62"/>
      <c r="AJ167" s="62"/>
      <c r="AK167" s="62"/>
      <c r="AL167" s="62"/>
      <c r="AM167" s="62"/>
      <c r="AN167" s="62"/>
      <c r="AO167" s="62" t="str">
        <f t="shared" si="22"/>
        <v/>
      </c>
    </row>
    <row r="168" spans="1:41" s="18" customFormat="1" ht="32.450000000000003" customHeight="1" x14ac:dyDescent="0.4">
      <c r="A168" s="124">
        <v>161</v>
      </c>
      <c r="B168" s="108" t="s">
        <v>201</v>
      </c>
      <c r="C168" s="108" t="s">
        <v>71</v>
      </c>
      <c r="D168" s="60" t="s">
        <v>69</v>
      </c>
      <c r="E168" s="60" t="s">
        <v>70</v>
      </c>
      <c r="F168" s="68" t="s">
        <v>103</v>
      </c>
      <c r="G168" s="123" t="s">
        <v>304</v>
      </c>
      <c r="H168" s="59">
        <v>9</v>
      </c>
      <c r="I168" s="63">
        <v>58</v>
      </c>
      <c r="J168" s="64">
        <v>16.012896000000001</v>
      </c>
      <c r="K168" s="64">
        <v>100.774365</v>
      </c>
      <c r="L168" s="65" t="s">
        <v>110</v>
      </c>
      <c r="M168" s="65" t="s">
        <v>135</v>
      </c>
      <c r="N168" s="62" t="str">
        <f t="shared" si="17"/>
        <v>Complete</v>
      </c>
      <c r="O168" s="62" t="s">
        <v>124</v>
      </c>
      <c r="P168" s="65" t="s">
        <v>380</v>
      </c>
      <c r="Q168" s="65" t="s">
        <v>380</v>
      </c>
      <c r="R168" s="65" t="str">
        <f t="shared" ref="R168:R188" si="35">IF(
  AND(
     OR(H168=9,H168=18,H168=30),
     OR(F168="ภาคเหนือ",F168="ภาคใต้",F168="ภาคตะวันออก",F168="ภาคตะวันตก",F168="ภาคตะวันออกเฉียงเหนือ")
  ),
  IF(Q168&lt;&gt;"","Complete",IF(P168&lt;&gt;"","In progress","")),
  "-"
)</f>
        <v>Complete</v>
      </c>
      <c r="S168" s="51" t="s">
        <v>448</v>
      </c>
      <c r="T168" s="65" t="s">
        <v>416</v>
      </c>
      <c r="U168" s="65"/>
      <c r="V168" s="62" t="str">
        <f t="shared" si="18"/>
        <v>In progress</v>
      </c>
      <c r="W168" s="62"/>
      <c r="X168" s="62"/>
      <c r="Y168" s="65" t="s">
        <v>110</v>
      </c>
      <c r="Z168" s="73">
        <v>244145</v>
      </c>
      <c r="AA168" s="65" t="str">
        <f t="shared" si="19"/>
        <v>Complete</v>
      </c>
      <c r="AB168" s="73">
        <v>244206</v>
      </c>
      <c r="AC168" s="73" t="s">
        <v>399</v>
      </c>
      <c r="AD168" s="62" t="str">
        <f t="shared" si="20"/>
        <v>Complete</v>
      </c>
      <c r="AE168" s="62" t="s">
        <v>469</v>
      </c>
      <c r="AF168" s="62"/>
      <c r="AG168" s="62" t="str">
        <f t="shared" si="21"/>
        <v>In progress</v>
      </c>
      <c r="AH168" s="62"/>
      <c r="AI168" s="62"/>
      <c r="AJ168" s="62"/>
      <c r="AK168" s="62"/>
      <c r="AL168" s="62"/>
      <c r="AM168" s="62"/>
      <c r="AN168" s="62"/>
      <c r="AO168" s="62" t="str">
        <f t="shared" si="22"/>
        <v/>
      </c>
    </row>
    <row r="169" spans="1:41" s="18" customFormat="1" ht="32.450000000000003" customHeight="1" x14ac:dyDescent="0.4">
      <c r="A169" s="59">
        <v>162</v>
      </c>
      <c r="B169" s="108" t="s">
        <v>202</v>
      </c>
      <c r="C169" s="108" t="s">
        <v>71</v>
      </c>
      <c r="D169" s="60" t="s">
        <v>69</v>
      </c>
      <c r="E169" s="60" t="s">
        <v>70</v>
      </c>
      <c r="F169" s="68" t="s">
        <v>103</v>
      </c>
      <c r="G169" s="60" t="s">
        <v>512</v>
      </c>
      <c r="H169" s="59">
        <v>9</v>
      </c>
      <c r="I169" s="63">
        <v>78</v>
      </c>
      <c r="J169" s="64">
        <v>16.001085</v>
      </c>
      <c r="K169" s="64">
        <v>100.778578</v>
      </c>
      <c r="L169" s="65" t="s">
        <v>110</v>
      </c>
      <c r="M169" s="65" t="s">
        <v>135</v>
      </c>
      <c r="N169" s="62" t="str">
        <f t="shared" si="17"/>
        <v>Complete</v>
      </c>
      <c r="O169" s="62" t="s">
        <v>124</v>
      </c>
      <c r="P169" s="65" t="s">
        <v>380</v>
      </c>
      <c r="Q169" s="65" t="s">
        <v>380</v>
      </c>
      <c r="R169" s="65" t="str">
        <f t="shared" si="35"/>
        <v>Complete</v>
      </c>
      <c r="S169" s="51" t="s">
        <v>448</v>
      </c>
      <c r="T169" s="65" t="s">
        <v>416</v>
      </c>
      <c r="U169" s="65"/>
      <c r="V169" s="62" t="str">
        <f t="shared" si="18"/>
        <v>In progress</v>
      </c>
      <c r="W169" s="62"/>
      <c r="X169" s="62"/>
      <c r="Y169" s="65" t="s">
        <v>110</v>
      </c>
      <c r="Z169" s="73">
        <v>244145</v>
      </c>
      <c r="AA169" s="65" t="str">
        <f t="shared" si="19"/>
        <v>Complete</v>
      </c>
      <c r="AB169" s="73">
        <v>244206</v>
      </c>
      <c r="AC169" s="73" t="s">
        <v>399</v>
      </c>
      <c r="AD169" s="62" t="str">
        <f t="shared" si="20"/>
        <v>Complete</v>
      </c>
      <c r="AE169" s="62" t="s">
        <v>469</v>
      </c>
      <c r="AF169" s="62"/>
      <c r="AG169" s="62" t="str">
        <f t="shared" si="21"/>
        <v>In progress</v>
      </c>
      <c r="AH169" s="62"/>
      <c r="AI169" s="62"/>
      <c r="AJ169" s="62"/>
      <c r="AK169" s="62"/>
      <c r="AL169" s="62"/>
      <c r="AM169" s="62"/>
      <c r="AN169" s="62"/>
      <c r="AO169" s="62" t="str">
        <f t="shared" si="22"/>
        <v/>
      </c>
    </row>
    <row r="170" spans="1:41" s="18" customFormat="1" ht="32.450000000000003" customHeight="1" x14ac:dyDescent="0.4">
      <c r="A170" s="59">
        <v>163</v>
      </c>
      <c r="B170" s="108" t="s">
        <v>422</v>
      </c>
      <c r="C170" s="108" t="s">
        <v>72</v>
      </c>
      <c r="D170" s="60" t="s">
        <v>69</v>
      </c>
      <c r="E170" s="60" t="s">
        <v>70</v>
      </c>
      <c r="F170" s="68" t="s">
        <v>103</v>
      </c>
      <c r="G170" s="60" t="s">
        <v>512</v>
      </c>
      <c r="H170" s="59">
        <v>9</v>
      </c>
      <c r="I170" s="63">
        <v>103</v>
      </c>
      <c r="J170" s="64">
        <v>16.035798</v>
      </c>
      <c r="K170" s="64">
        <v>100.825433</v>
      </c>
      <c r="L170" s="65" t="s">
        <v>110</v>
      </c>
      <c r="M170" s="65" t="s">
        <v>377</v>
      </c>
      <c r="N170" s="62" t="str">
        <f t="shared" si="17"/>
        <v>Complete</v>
      </c>
      <c r="O170" s="62" t="s">
        <v>124</v>
      </c>
      <c r="P170" s="65" t="s">
        <v>380</v>
      </c>
      <c r="Q170" s="65" t="s">
        <v>380</v>
      </c>
      <c r="R170" s="65" t="str">
        <f t="shared" si="35"/>
        <v>Complete</v>
      </c>
      <c r="S170" s="51" t="s">
        <v>448</v>
      </c>
      <c r="T170" s="65" t="s">
        <v>415</v>
      </c>
      <c r="U170" s="65"/>
      <c r="V170" s="62" t="str">
        <f t="shared" si="18"/>
        <v>In progress</v>
      </c>
      <c r="W170" s="62"/>
      <c r="X170" s="62"/>
      <c r="Y170" s="65" t="s">
        <v>110</v>
      </c>
      <c r="Z170" s="73">
        <v>244145</v>
      </c>
      <c r="AA170" s="65" t="str">
        <f t="shared" si="19"/>
        <v>Complete</v>
      </c>
      <c r="AB170" s="73">
        <v>244206</v>
      </c>
      <c r="AC170" s="73" t="s">
        <v>399</v>
      </c>
      <c r="AD170" s="62" t="str">
        <f t="shared" si="20"/>
        <v>Complete</v>
      </c>
      <c r="AE170" s="62" t="s">
        <v>469</v>
      </c>
      <c r="AF170" s="62"/>
      <c r="AG170" s="62" t="str">
        <f t="shared" si="21"/>
        <v>In progress</v>
      </c>
      <c r="AH170" s="62"/>
      <c r="AI170" s="62"/>
      <c r="AJ170" s="62"/>
      <c r="AK170" s="62"/>
      <c r="AL170" s="62"/>
      <c r="AM170" s="62"/>
      <c r="AN170" s="62"/>
      <c r="AO170" s="62" t="str">
        <f t="shared" si="22"/>
        <v/>
      </c>
    </row>
    <row r="171" spans="1:41" s="18" customFormat="1" ht="32.450000000000003" customHeight="1" x14ac:dyDescent="0.4">
      <c r="A171" s="62">
        <v>164</v>
      </c>
      <c r="B171" s="108" t="s">
        <v>299</v>
      </c>
      <c r="C171" s="108" t="s">
        <v>72</v>
      </c>
      <c r="D171" s="60" t="s">
        <v>69</v>
      </c>
      <c r="E171" s="60" t="s">
        <v>70</v>
      </c>
      <c r="F171" s="68" t="s">
        <v>103</v>
      </c>
      <c r="G171" s="60" t="s">
        <v>512</v>
      </c>
      <c r="H171" s="59">
        <v>9</v>
      </c>
      <c r="I171" s="63">
        <v>91</v>
      </c>
      <c r="J171" s="64">
        <v>15.995167</v>
      </c>
      <c r="K171" s="64">
        <v>100.802454</v>
      </c>
      <c r="L171" s="65" t="s">
        <v>110</v>
      </c>
      <c r="M171" s="65" t="s">
        <v>135</v>
      </c>
      <c r="N171" s="62" t="str">
        <f t="shared" si="17"/>
        <v>Complete</v>
      </c>
      <c r="O171" s="62" t="s">
        <v>124</v>
      </c>
      <c r="P171" s="65" t="s">
        <v>380</v>
      </c>
      <c r="Q171" s="65" t="s">
        <v>380</v>
      </c>
      <c r="R171" s="65" t="str">
        <f t="shared" si="35"/>
        <v>Complete</v>
      </c>
      <c r="S171" s="51" t="s">
        <v>448</v>
      </c>
      <c r="T171" s="65" t="s">
        <v>416</v>
      </c>
      <c r="U171" s="65"/>
      <c r="V171" s="62" t="str">
        <f t="shared" si="18"/>
        <v>In progress</v>
      </c>
      <c r="W171" s="62"/>
      <c r="X171" s="62"/>
      <c r="Y171" s="65" t="s">
        <v>110</v>
      </c>
      <c r="Z171" s="73">
        <v>244145</v>
      </c>
      <c r="AA171" s="65" t="str">
        <f t="shared" si="19"/>
        <v>Complete</v>
      </c>
      <c r="AB171" s="73">
        <v>244206</v>
      </c>
      <c r="AC171" s="73" t="s">
        <v>399</v>
      </c>
      <c r="AD171" s="62" t="str">
        <f t="shared" si="20"/>
        <v>Complete</v>
      </c>
      <c r="AE171" s="62" t="s">
        <v>469</v>
      </c>
      <c r="AF171" s="62"/>
      <c r="AG171" s="62" t="str">
        <f t="shared" si="21"/>
        <v>In progress</v>
      </c>
      <c r="AH171" s="62"/>
      <c r="AI171" s="62"/>
      <c r="AJ171" s="62"/>
      <c r="AK171" s="62"/>
      <c r="AL171" s="62"/>
      <c r="AM171" s="62"/>
      <c r="AN171" s="62"/>
      <c r="AO171" s="62" t="str">
        <f t="shared" si="22"/>
        <v/>
      </c>
    </row>
    <row r="172" spans="1:41" s="18" customFormat="1" ht="32.450000000000003" customHeight="1" x14ac:dyDescent="0.4">
      <c r="A172" s="62">
        <v>165</v>
      </c>
      <c r="B172" s="108" t="s">
        <v>160</v>
      </c>
      <c r="C172" s="108" t="s">
        <v>72</v>
      </c>
      <c r="D172" s="60" t="s">
        <v>69</v>
      </c>
      <c r="E172" s="60" t="s">
        <v>70</v>
      </c>
      <c r="F172" s="68" t="s">
        <v>103</v>
      </c>
      <c r="G172" s="60" t="s">
        <v>512</v>
      </c>
      <c r="H172" s="59">
        <v>9</v>
      </c>
      <c r="I172" s="63">
        <v>109</v>
      </c>
      <c r="J172" s="64">
        <v>15.930781</v>
      </c>
      <c r="K172" s="64">
        <v>100.828569</v>
      </c>
      <c r="L172" s="65" t="s">
        <v>110</v>
      </c>
      <c r="M172" s="65" t="s">
        <v>111</v>
      </c>
      <c r="N172" s="62" t="str">
        <f t="shared" si="17"/>
        <v>Complete</v>
      </c>
      <c r="O172" s="62" t="s">
        <v>124</v>
      </c>
      <c r="P172" s="65" t="s">
        <v>380</v>
      </c>
      <c r="Q172" s="65" t="s">
        <v>380</v>
      </c>
      <c r="R172" s="65" t="str">
        <f t="shared" si="35"/>
        <v>Complete</v>
      </c>
      <c r="S172" s="51" t="s">
        <v>448</v>
      </c>
      <c r="T172" s="65" t="s">
        <v>417</v>
      </c>
      <c r="U172" s="65"/>
      <c r="V172" s="62" t="str">
        <f t="shared" si="18"/>
        <v>In progress</v>
      </c>
      <c r="W172" s="62"/>
      <c r="X172" s="62"/>
      <c r="Y172" s="65" t="s">
        <v>110</v>
      </c>
      <c r="Z172" s="73">
        <v>244145</v>
      </c>
      <c r="AA172" s="65" t="str">
        <f t="shared" si="19"/>
        <v>Complete</v>
      </c>
      <c r="AB172" s="73">
        <v>244206</v>
      </c>
      <c r="AC172" s="73" t="s">
        <v>399</v>
      </c>
      <c r="AD172" s="62" t="str">
        <f t="shared" si="20"/>
        <v>Complete</v>
      </c>
      <c r="AE172" s="62" t="s">
        <v>469</v>
      </c>
      <c r="AF172" s="62"/>
      <c r="AG172" s="62" t="str">
        <f t="shared" si="21"/>
        <v>In progress</v>
      </c>
      <c r="AH172" s="62"/>
      <c r="AI172" s="62"/>
      <c r="AJ172" s="62"/>
      <c r="AK172" s="62"/>
      <c r="AL172" s="62"/>
      <c r="AM172" s="62"/>
      <c r="AN172" s="62"/>
      <c r="AO172" s="62" t="str">
        <f t="shared" si="22"/>
        <v/>
      </c>
    </row>
    <row r="173" spans="1:41" s="18" customFormat="1" ht="32.450000000000003" customHeight="1" x14ac:dyDescent="0.4">
      <c r="A173" s="59">
        <v>166</v>
      </c>
      <c r="B173" s="108" t="s">
        <v>179</v>
      </c>
      <c r="C173" s="108" t="s">
        <v>72</v>
      </c>
      <c r="D173" s="60" t="s">
        <v>69</v>
      </c>
      <c r="E173" s="60" t="s">
        <v>70</v>
      </c>
      <c r="F173" s="68" t="s">
        <v>103</v>
      </c>
      <c r="G173" s="60" t="s">
        <v>512</v>
      </c>
      <c r="H173" s="59">
        <v>9</v>
      </c>
      <c r="I173" s="63">
        <v>129</v>
      </c>
      <c r="J173" s="64">
        <v>15.941622000000001</v>
      </c>
      <c r="K173" s="64">
        <v>100.854821</v>
      </c>
      <c r="L173" s="65" t="s">
        <v>110</v>
      </c>
      <c r="M173" s="65" t="s">
        <v>111</v>
      </c>
      <c r="N173" s="62" t="str">
        <f t="shared" si="17"/>
        <v>Complete</v>
      </c>
      <c r="O173" s="62" t="s">
        <v>124</v>
      </c>
      <c r="P173" s="65" t="s">
        <v>380</v>
      </c>
      <c r="Q173" s="65" t="s">
        <v>380</v>
      </c>
      <c r="R173" s="65" t="str">
        <f t="shared" si="35"/>
        <v>Complete</v>
      </c>
      <c r="S173" s="51" t="s">
        <v>448</v>
      </c>
      <c r="T173" s="65" t="s">
        <v>417</v>
      </c>
      <c r="U173" s="65"/>
      <c r="V173" s="62" t="str">
        <f t="shared" si="18"/>
        <v>In progress</v>
      </c>
      <c r="W173" s="62"/>
      <c r="X173" s="62"/>
      <c r="Y173" s="65" t="s">
        <v>110</v>
      </c>
      <c r="Z173" s="73">
        <v>244145</v>
      </c>
      <c r="AA173" s="65" t="str">
        <f t="shared" si="19"/>
        <v>Complete</v>
      </c>
      <c r="AB173" s="73">
        <v>244206</v>
      </c>
      <c r="AC173" s="73" t="s">
        <v>399</v>
      </c>
      <c r="AD173" s="62" t="str">
        <f t="shared" si="20"/>
        <v>Complete</v>
      </c>
      <c r="AE173" s="62" t="s">
        <v>469</v>
      </c>
      <c r="AF173" s="62"/>
      <c r="AG173" s="62" t="str">
        <f t="shared" si="21"/>
        <v>In progress</v>
      </c>
      <c r="AH173" s="62"/>
      <c r="AI173" s="62"/>
      <c r="AJ173" s="62"/>
      <c r="AK173" s="62"/>
      <c r="AL173" s="62"/>
      <c r="AM173" s="62"/>
      <c r="AN173" s="62"/>
      <c r="AO173" s="62" t="str">
        <f t="shared" si="22"/>
        <v/>
      </c>
    </row>
    <row r="174" spans="1:41" s="18" customFormat="1" ht="32.450000000000003" customHeight="1" x14ac:dyDescent="0.4">
      <c r="A174" s="59">
        <v>167</v>
      </c>
      <c r="B174" s="108" t="s">
        <v>423</v>
      </c>
      <c r="C174" s="108" t="s">
        <v>72</v>
      </c>
      <c r="D174" s="60" t="s">
        <v>69</v>
      </c>
      <c r="E174" s="60" t="s">
        <v>70</v>
      </c>
      <c r="F174" s="68" t="s">
        <v>103</v>
      </c>
      <c r="G174" s="60" t="s">
        <v>512</v>
      </c>
      <c r="H174" s="59">
        <v>9</v>
      </c>
      <c r="I174" s="63">
        <v>120</v>
      </c>
      <c r="J174" s="64">
        <v>15.961283</v>
      </c>
      <c r="K174" s="64">
        <v>100.85166100000001</v>
      </c>
      <c r="L174" s="65" t="s">
        <v>110</v>
      </c>
      <c r="M174" s="65" t="s">
        <v>111</v>
      </c>
      <c r="N174" s="62" t="str">
        <f t="shared" si="17"/>
        <v>Complete</v>
      </c>
      <c r="O174" s="62" t="s">
        <v>124</v>
      </c>
      <c r="P174" s="65" t="s">
        <v>380</v>
      </c>
      <c r="Q174" s="65" t="s">
        <v>380</v>
      </c>
      <c r="R174" s="65" t="str">
        <f t="shared" si="35"/>
        <v>Complete</v>
      </c>
      <c r="S174" s="51" t="s">
        <v>448</v>
      </c>
      <c r="T174" s="65" t="s">
        <v>417</v>
      </c>
      <c r="U174" s="65"/>
      <c r="V174" s="62" t="str">
        <f t="shared" si="18"/>
        <v>In progress</v>
      </c>
      <c r="W174" s="62"/>
      <c r="X174" s="62"/>
      <c r="Y174" s="65" t="s">
        <v>110</v>
      </c>
      <c r="Z174" s="73">
        <v>244145</v>
      </c>
      <c r="AA174" s="65" t="str">
        <f t="shared" si="19"/>
        <v>Complete</v>
      </c>
      <c r="AB174" s="73">
        <v>244206</v>
      </c>
      <c r="AC174" s="73" t="s">
        <v>399</v>
      </c>
      <c r="AD174" s="62" t="str">
        <f t="shared" si="20"/>
        <v>Complete</v>
      </c>
      <c r="AE174" s="62" t="s">
        <v>469</v>
      </c>
      <c r="AF174" s="62"/>
      <c r="AG174" s="62" t="str">
        <f t="shared" si="21"/>
        <v>In progress</v>
      </c>
      <c r="AH174" s="62"/>
      <c r="AI174" s="62"/>
      <c r="AJ174" s="62"/>
      <c r="AK174" s="62"/>
      <c r="AL174" s="62"/>
      <c r="AM174" s="62"/>
      <c r="AN174" s="62"/>
      <c r="AO174" s="62" t="str">
        <f t="shared" si="22"/>
        <v/>
      </c>
    </row>
    <row r="175" spans="1:41" s="18" customFormat="1" ht="32.450000000000003" customHeight="1" x14ac:dyDescent="0.4">
      <c r="A175" s="59">
        <v>168</v>
      </c>
      <c r="B175" s="108" t="s">
        <v>424</v>
      </c>
      <c r="C175" s="108" t="s">
        <v>72</v>
      </c>
      <c r="D175" s="60" t="s">
        <v>69</v>
      </c>
      <c r="E175" s="60" t="s">
        <v>70</v>
      </c>
      <c r="F175" s="68" t="s">
        <v>103</v>
      </c>
      <c r="G175" s="60" t="s">
        <v>512</v>
      </c>
      <c r="H175" s="59">
        <v>9</v>
      </c>
      <c r="I175" s="63">
        <v>118</v>
      </c>
      <c r="J175" s="64">
        <v>15.930459000000001</v>
      </c>
      <c r="K175" s="64">
        <v>100.842</v>
      </c>
      <c r="L175" s="65" t="s">
        <v>110</v>
      </c>
      <c r="M175" s="65" t="s">
        <v>111</v>
      </c>
      <c r="N175" s="62" t="str">
        <f t="shared" si="17"/>
        <v>Complete</v>
      </c>
      <c r="O175" s="62" t="s">
        <v>124</v>
      </c>
      <c r="P175" s="65" t="s">
        <v>380</v>
      </c>
      <c r="Q175" s="65" t="s">
        <v>380</v>
      </c>
      <c r="R175" s="65" t="str">
        <f t="shared" si="35"/>
        <v>Complete</v>
      </c>
      <c r="S175" s="51" t="s">
        <v>448</v>
      </c>
      <c r="T175" s="65" t="s">
        <v>417</v>
      </c>
      <c r="U175" s="65"/>
      <c r="V175" s="62" t="str">
        <f t="shared" si="18"/>
        <v>In progress</v>
      </c>
      <c r="W175" s="62"/>
      <c r="X175" s="62"/>
      <c r="Y175" s="65" t="s">
        <v>110</v>
      </c>
      <c r="Z175" s="73">
        <v>244145</v>
      </c>
      <c r="AA175" s="65" t="str">
        <f t="shared" si="19"/>
        <v>Complete</v>
      </c>
      <c r="AB175" s="73">
        <v>244206</v>
      </c>
      <c r="AC175" s="73" t="s">
        <v>399</v>
      </c>
      <c r="AD175" s="62" t="str">
        <f t="shared" si="20"/>
        <v>Complete</v>
      </c>
      <c r="AE175" s="62" t="s">
        <v>469</v>
      </c>
      <c r="AF175" s="62"/>
      <c r="AG175" s="62" t="str">
        <f t="shared" si="21"/>
        <v>In progress</v>
      </c>
      <c r="AH175" s="62"/>
      <c r="AI175" s="62"/>
      <c r="AJ175" s="62"/>
      <c r="AK175" s="62"/>
      <c r="AL175" s="62"/>
      <c r="AM175" s="62"/>
      <c r="AN175" s="62"/>
      <c r="AO175" s="62" t="str">
        <f t="shared" si="22"/>
        <v/>
      </c>
    </row>
    <row r="176" spans="1:41" s="18" customFormat="1" ht="32.450000000000003" customHeight="1" x14ac:dyDescent="0.4">
      <c r="A176" s="62">
        <v>169</v>
      </c>
      <c r="B176" s="108" t="s">
        <v>425</v>
      </c>
      <c r="C176" s="108" t="s">
        <v>72</v>
      </c>
      <c r="D176" s="60" t="s">
        <v>69</v>
      </c>
      <c r="E176" s="60" t="s">
        <v>70</v>
      </c>
      <c r="F176" s="68" t="s">
        <v>103</v>
      </c>
      <c r="G176" s="60" t="s">
        <v>512</v>
      </c>
      <c r="H176" s="59">
        <v>9</v>
      </c>
      <c r="I176" s="63">
        <v>92</v>
      </c>
      <c r="J176" s="64">
        <v>15.960767000000001</v>
      </c>
      <c r="K176" s="64">
        <v>100.78924600000001</v>
      </c>
      <c r="L176" s="65" t="s">
        <v>110</v>
      </c>
      <c r="M176" s="65" t="s">
        <v>135</v>
      </c>
      <c r="N176" s="62" t="str">
        <f t="shared" si="17"/>
        <v>Complete</v>
      </c>
      <c r="O176" s="62" t="s">
        <v>124</v>
      </c>
      <c r="P176" s="65" t="s">
        <v>380</v>
      </c>
      <c r="Q176" s="65" t="s">
        <v>380</v>
      </c>
      <c r="R176" s="65" t="str">
        <f t="shared" si="35"/>
        <v>Complete</v>
      </c>
      <c r="S176" s="51" t="s">
        <v>448</v>
      </c>
      <c r="T176" s="65" t="s">
        <v>416</v>
      </c>
      <c r="U176" s="65"/>
      <c r="V176" s="62" t="str">
        <f t="shared" si="18"/>
        <v>In progress</v>
      </c>
      <c r="W176" s="62"/>
      <c r="X176" s="62"/>
      <c r="Y176" s="65" t="s">
        <v>110</v>
      </c>
      <c r="Z176" s="73">
        <v>244145</v>
      </c>
      <c r="AA176" s="65" t="str">
        <f t="shared" si="19"/>
        <v>Complete</v>
      </c>
      <c r="AB176" s="73">
        <v>244206</v>
      </c>
      <c r="AC176" s="73" t="s">
        <v>399</v>
      </c>
      <c r="AD176" s="62" t="str">
        <f t="shared" si="20"/>
        <v>Complete</v>
      </c>
      <c r="AE176" s="62" t="s">
        <v>469</v>
      </c>
      <c r="AF176" s="62"/>
      <c r="AG176" s="62" t="str">
        <f t="shared" si="21"/>
        <v>In progress</v>
      </c>
      <c r="AH176" s="62"/>
      <c r="AI176" s="62"/>
      <c r="AJ176" s="62"/>
      <c r="AK176" s="62"/>
      <c r="AL176" s="62"/>
      <c r="AM176" s="62"/>
      <c r="AN176" s="62"/>
      <c r="AO176" s="62" t="str">
        <f t="shared" si="22"/>
        <v/>
      </c>
    </row>
    <row r="177" spans="1:41" s="18" customFormat="1" ht="32.450000000000003" customHeight="1" x14ac:dyDescent="0.4">
      <c r="A177" s="62">
        <v>170</v>
      </c>
      <c r="B177" s="108" t="s">
        <v>426</v>
      </c>
      <c r="C177" s="108" t="s">
        <v>72</v>
      </c>
      <c r="D177" s="60" t="s">
        <v>69</v>
      </c>
      <c r="E177" s="60" t="s">
        <v>70</v>
      </c>
      <c r="F177" s="68" t="s">
        <v>103</v>
      </c>
      <c r="G177" s="60" t="s">
        <v>512</v>
      </c>
      <c r="H177" s="59">
        <v>9</v>
      </c>
      <c r="I177" s="63">
        <v>107</v>
      </c>
      <c r="J177" s="64">
        <v>16.018118000000001</v>
      </c>
      <c r="K177" s="64">
        <v>100.85587</v>
      </c>
      <c r="L177" s="65" t="s">
        <v>110</v>
      </c>
      <c r="M177" s="65" t="s">
        <v>377</v>
      </c>
      <c r="N177" s="62" t="str">
        <f t="shared" si="17"/>
        <v>Complete</v>
      </c>
      <c r="O177" s="62" t="s">
        <v>124</v>
      </c>
      <c r="P177" s="65" t="s">
        <v>380</v>
      </c>
      <c r="Q177" s="65" t="s">
        <v>380</v>
      </c>
      <c r="R177" s="65" t="str">
        <f t="shared" si="35"/>
        <v>Complete</v>
      </c>
      <c r="S177" s="51" t="s">
        <v>448</v>
      </c>
      <c r="T177" s="65" t="s">
        <v>415</v>
      </c>
      <c r="U177" s="65"/>
      <c r="V177" s="62" t="str">
        <f t="shared" si="18"/>
        <v>In progress</v>
      </c>
      <c r="W177" s="62"/>
      <c r="X177" s="62"/>
      <c r="Y177" s="65" t="s">
        <v>110</v>
      </c>
      <c r="Z177" s="73">
        <v>244145</v>
      </c>
      <c r="AA177" s="65" t="str">
        <f t="shared" si="19"/>
        <v>Complete</v>
      </c>
      <c r="AB177" s="73">
        <v>244206</v>
      </c>
      <c r="AC177" s="73" t="s">
        <v>399</v>
      </c>
      <c r="AD177" s="62" t="str">
        <f t="shared" si="20"/>
        <v>Complete</v>
      </c>
      <c r="AE177" s="62" t="s">
        <v>469</v>
      </c>
      <c r="AF177" s="62"/>
      <c r="AG177" s="62" t="str">
        <f t="shared" si="21"/>
        <v>In progress</v>
      </c>
      <c r="AH177" s="62"/>
      <c r="AI177" s="62"/>
      <c r="AJ177" s="62"/>
      <c r="AK177" s="62"/>
      <c r="AL177" s="62"/>
      <c r="AM177" s="62"/>
      <c r="AN177" s="62"/>
      <c r="AO177" s="62" t="str">
        <f t="shared" si="22"/>
        <v/>
      </c>
    </row>
    <row r="178" spans="1:41" s="18" customFormat="1" ht="32.450000000000003" customHeight="1" x14ac:dyDescent="0.4">
      <c r="A178" s="59">
        <v>171</v>
      </c>
      <c r="B178" s="108" t="s">
        <v>275</v>
      </c>
      <c r="C178" s="108" t="s">
        <v>72</v>
      </c>
      <c r="D178" s="60" t="s">
        <v>69</v>
      </c>
      <c r="E178" s="60" t="s">
        <v>70</v>
      </c>
      <c r="F178" s="68" t="s">
        <v>103</v>
      </c>
      <c r="G178" s="60" t="s">
        <v>512</v>
      </c>
      <c r="H178" s="59">
        <v>9</v>
      </c>
      <c r="I178" s="63">
        <v>101</v>
      </c>
      <c r="J178" s="64">
        <v>15.962597000000001</v>
      </c>
      <c r="K178" s="64">
        <v>100.823078</v>
      </c>
      <c r="L178" s="65" t="s">
        <v>110</v>
      </c>
      <c r="M178" s="65" t="s">
        <v>111</v>
      </c>
      <c r="N178" s="62" t="str">
        <f t="shared" si="17"/>
        <v>Complete</v>
      </c>
      <c r="O178" s="62" t="s">
        <v>124</v>
      </c>
      <c r="P178" s="65" t="s">
        <v>380</v>
      </c>
      <c r="Q178" s="65" t="s">
        <v>380</v>
      </c>
      <c r="R178" s="65" t="str">
        <f t="shared" si="35"/>
        <v>Complete</v>
      </c>
      <c r="S178" s="51" t="s">
        <v>448</v>
      </c>
      <c r="T178" s="65" t="s">
        <v>417</v>
      </c>
      <c r="U178" s="65"/>
      <c r="V178" s="62" t="str">
        <f t="shared" si="18"/>
        <v>In progress</v>
      </c>
      <c r="W178" s="62"/>
      <c r="X178" s="62"/>
      <c r="Y178" s="65" t="s">
        <v>110</v>
      </c>
      <c r="Z178" s="73">
        <v>244145</v>
      </c>
      <c r="AA178" s="65" t="str">
        <f t="shared" si="19"/>
        <v>Complete</v>
      </c>
      <c r="AB178" s="73">
        <v>244206</v>
      </c>
      <c r="AC178" s="73" t="s">
        <v>399</v>
      </c>
      <c r="AD178" s="62" t="str">
        <f t="shared" si="20"/>
        <v>Complete</v>
      </c>
      <c r="AE178" s="62" t="s">
        <v>469</v>
      </c>
      <c r="AF178" s="62"/>
      <c r="AG178" s="62" t="str">
        <f t="shared" si="21"/>
        <v>In progress</v>
      </c>
      <c r="AH178" s="62"/>
      <c r="AI178" s="62"/>
      <c r="AJ178" s="62"/>
      <c r="AK178" s="62"/>
      <c r="AL178" s="62"/>
      <c r="AM178" s="62"/>
      <c r="AN178" s="62"/>
      <c r="AO178" s="62" t="str">
        <f t="shared" si="22"/>
        <v/>
      </c>
    </row>
    <row r="179" spans="1:41" s="18" customFormat="1" ht="32.450000000000003" customHeight="1" x14ac:dyDescent="0.4">
      <c r="A179" s="59">
        <v>172</v>
      </c>
      <c r="B179" s="108" t="s">
        <v>287</v>
      </c>
      <c r="C179" s="108" t="s">
        <v>72</v>
      </c>
      <c r="D179" s="60" t="s">
        <v>69</v>
      </c>
      <c r="E179" s="60" t="s">
        <v>70</v>
      </c>
      <c r="F179" s="68" t="s">
        <v>103</v>
      </c>
      <c r="G179" s="68" t="s">
        <v>304</v>
      </c>
      <c r="H179" s="59">
        <v>9</v>
      </c>
      <c r="I179" s="71">
        <v>97</v>
      </c>
      <c r="J179" s="64">
        <v>16.00854</v>
      </c>
      <c r="K179" s="64">
        <v>100.821383</v>
      </c>
      <c r="L179" s="65" t="s">
        <v>110</v>
      </c>
      <c r="M179" s="65" t="s">
        <v>111</v>
      </c>
      <c r="N179" s="62" t="str">
        <f t="shared" si="17"/>
        <v>Complete</v>
      </c>
      <c r="O179" s="62" t="s">
        <v>124</v>
      </c>
      <c r="P179" s="65" t="s">
        <v>380</v>
      </c>
      <c r="Q179" s="65" t="s">
        <v>380</v>
      </c>
      <c r="R179" s="65" t="str">
        <f t="shared" si="35"/>
        <v>Complete</v>
      </c>
      <c r="S179" s="51" t="s">
        <v>448</v>
      </c>
      <c r="T179" s="65" t="s">
        <v>417</v>
      </c>
      <c r="U179" s="65"/>
      <c r="V179" s="62" t="str">
        <f t="shared" si="18"/>
        <v>In progress</v>
      </c>
      <c r="W179" s="62"/>
      <c r="X179" s="62"/>
      <c r="Y179" s="65" t="s">
        <v>110</v>
      </c>
      <c r="Z179" s="73">
        <v>244145</v>
      </c>
      <c r="AA179" s="65" t="str">
        <f t="shared" si="19"/>
        <v>Complete</v>
      </c>
      <c r="AB179" s="73">
        <v>244206</v>
      </c>
      <c r="AC179" s="73" t="s">
        <v>399</v>
      </c>
      <c r="AD179" s="62" t="str">
        <f t="shared" si="20"/>
        <v>Complete</v>
      </c>
      <c r="AE179" s="62" t="s">
        <v>469</v>
      </c>
      <c r="AF179" s="62"/>
      <c r="AG179" s="62" t="str">
        <f t="shared" si="21"/>
        <v>In progress</v>
      </c>
      <c r="AH179" s="62"/>
      <c r="AI179" s="62"/>
      <c r="AJ179" s="62"/>
      <c r="AK179" s="62"/>
      <c r="AL179" s="62"/>
      <c r="AM179" s="62"/>
      <c r="AN179" s="62"/>
      <c r="AO179" s="62" t="str">
        <f t="shared" si="22"/>
        <v/>
      </c>
    </row>
    <row r="180" spans="1:41" s="18" customFormat="1" ht="32.450000000000003" customHeight="1" x14ac:dyDescent="0.4">
      <c r="A180" s="59">
        <v>173</v>
      </c>
      <c r="B180" s="108" t="s">
        <v>180</v>
      </c>
      <c r="C180" s="108" t="s">
        <v>72</v>
      </c>
      <c r="D180" s="60" t="s">
        <v>69</v>
      </c>
      <c r="E180" s="60" t="s">
        <v>70</v>
      </c>
      <c r="F180" s="68" t="s">
        <v>103</v>
      </c>
      <c r="G180" s="60" t="s">
        <v>512</v>
      </c>
      <c r="H180" s="59">
        <v>9</v>
      </c>
      <c r="I180" s="63">
        <v>103</v>
      </c>
      <c r="J180" s="64">
        <v>15.952840999999999</v>
      </c>
      <c r="K180" s="64">
        <v>100.813614</v>
      </c>
      <c r="L180" s="65" t="s">
        <v>110</v>
      </c>
      <c r="M180" s="65" t="s">
        <v>111</v>
      </c>
      <c r="N180" s="62" t="str">
        <f t="shared" si="17"/>
        <v>Complete</v>
      </c>
      <c r="O180" s="62" t="s">
        <v>124</v>
      </c>
      <c r="P180" s="65" t="s">
        <v>380</v>
      </c>
      <c r="Q180" s="65" t="s">
        <v>380</v>
      </c>
      <c r="R180" s="65" t="str">
        <f t="shared" si="35"/>
        <v>Complete</v>
      </c>
      <c r="S180" s="51" t="s">
        <v>448</v>
      </c>
      <c r="T180" s="65" t="s">
        <v>417</v>
      </c>
      <c r="U180" s="65"/>
      <c r="V180" s="62" t="str">
        <f t="shared" si="18"/>
        <v>In progress</v>
      </c>
      <c r="W180" s="62"/>
      <c r="X180" s="62"/>
      <c r="Y180" s="65" t="s">
        <v>110</v>
      </c>
      <c r="Z180" s="73">
        <v>244145</v>
      </c>
      <c r="AA180" s="65" t="str">
        <f t="shared" si="19"/>
        <v>Complete</v>
      </c>
      <c r="AB180" s="73">
        <v>244206</v>
      </c>
      <c r="AC180" s="73" t="s">
        <v>399</v>
      </c>
      <c r="AD180" s="62" t="str">
        <f t="shared" si="20"/>
        <v>Complete</v>
      </c>
      <c r="AE180" s="62" t="s">
        <v>469</v>
      </c>
      <c r="AF180" s="62"/>
      <c r="AG180" s="62" t="str">
        <f t="shared" si="21"/>
        <v>In progress</v>
      </c>
      <c r="AH180" s="62"/>
      <c r="AI180" s="62"/>
      <c r="AJ180" s="62"/>
      <c r="AK180" s="62"/>
      <c r="AL180" s="62"/>
      <c r="AM180" s="62"/>
      <c r="AN180" s="62"/>
      <c r="AO180" s="62" t="str">
        <f t="shared" si="22"/>
        <v/>
      </c>
    </row>
    <row r="181" spans="1:41" s="18" customFormat="1" ht="32.450000000000003" customHeight="1" x14ac:dyDescent="0.4">
      <c r="A181" s="62">
        <v>174</v>
      </c>
      <c r="B181" s="108" t="s">
        <v>427</v>
      </c>
      <c r="C181" s="108" t="s">
        <v>72</v>
      </c>
      <c r="D181" s="60" t="s">
        <v>69</v>
      </c>
      <c r="E181" s="60" t="s">
        <v>70</v>
      </c>
      <c r="F181" s="68" t="s">
        <v>103</v>
      </c>
      <c r="G181" s="60" t="s">
        <v>513</v>
      </c>
      <c r="H181" s="59">
        <v>9</v>
      </c>
      <c r="I181" s="63">
        <v>107</v>
      </c>
      <c r="J181" s="64">
        <v>15.933692000000001</v>
      </c>
      <c r="K181" s="64">
        <v>100.823031</v>
      </c>
      <c r="L181" s="65" t="s">
        <v>110</v>
      </c>
      <c r="M181" s="65" t="s">
        <v>111</v>
      </c>
      <c r="N181" s="62" t="str">
        <f t="shared" si="17"/>
        <v>Complete</v>
      </c>
      <c r="O181" s="62" t="s">
        <v>124</v>
      </c>
      <c r="P181" s="65" t="s">
        <v>380</v>
      </c>
      <c r="Q181" s="65" t="s">
        <v>380</v>
      </c>
      <c r="R181" s="65" t="str">
        <f t="shared" si="35"/>
        <v>Complete</v>
      </c>
      <c r="S181" s="51" t="s">
        <v>448</v>
      </c>
      <c r="T181" s="65" t="s">
        <v>417</v>
      </c>
      <c r="U181" s="65"/>
      <c r="V181" s="62" t="str">
        <f t="shared" si="18"/>
        <v>In progress</v>
      </c>
      <c r="W181" s="62"/>
      <c r="X181" s="62"/>
      <c r="Y181" s="65" t="s">
        <v>110</v>
      </c>
      <c r="Z181" s="73">
        <v>244145</v>
      </c>
      <c r="AA181" s="65" t="str">
        <f t="shared" si="19"/>
        <v>Complete</v>
      </c>
      <c r="AB181" s="73">
        <v>244206</v>
      </c>
      <c r="AC181" s="73" t="s">
        <v>399</v>
      </c>
      <c r="AD181" s="62" t="str">
        <f t="shared" si="20"/>
        <v>Complete</v>
      </c>
      <c r="AE181" s="62" t="s">
        <v>469</v>
      </c>
      <c r="AF181" s="62"/>
      <c r="AG181" s="62" t="str">
        <f t="shared" si="21"/>
        <v>In progress</v>
      </c>
      <c r="AH181" s="62"/>
      <c r="AI181" s="62"/>
      <c r="AJ181" s="62"/>
      <c r="AK181" s="62"/>
      <c r="AL181" s="62"/>
      <c r="AM181" s="62"/>
      <c r="AN181" s="62"/>
      <c r="AO181" s="62" t="str">
        <f t="shared" si="22"/>
        <v/>
      </c>
    </row>
    <row r="182" spans="1:41" s="18" customFormat="1" ht="32.450000000000003" customHeight="1" x14ac:dyDescent="0.4">
      <c r="A182" s="62">
        <v>175</v>
      </c>
      <c r="B182" s="108" t="s">
        <v>181</v>
      </c>
      <c r="C182" s="108" t="s">
        <v>72</v>
      </c>
      <c r="D182" s="60" t="s">
        <v>69</v>
      </c>
      <c r="E182" s="60" t="s">
        <v>70</v>
      </c>
      <c r="F182" s="68" t="s">
        <v>103</v>
      </c>
      <c r="G182" s="68" t="s">
        <v>304</v>
      </c>
      <c r="H182" s="59">
        <v>18</v>
      </c>
      <c r="I182" s="63">
        <v>176</v>
      </c>
      <c r="J182" s="64">
        <v>15.974875000000001</v>
      </c>
      <c r="K182" s="64">
        <v>100.871084</v>
      </c>
      <c r="L182" s="65" t="s">
        <v>110</v>
      </c>
      <c r="M182" s="65" t="s">
        <v>111</v>
      </c>
      <c r="N182" s="62" t="str">
        <f t="shared" si="17"/>
        <v>Complete</v>
      </c>
      <c r="O182" s="62" t="s">
        <v>124</v>
      </c>
      <c r="P182" s="65" t="s">
        <v>379</v>
      </c>
      <c r="Q182" s="65" t="s">
        <v>381</v>
      </c>
      <c r="R182" s="65" t="str">
        <f t="shared" si="35"/>
        <v>Complete</v>
      </c>
      <c r="S182" s="51" t="s">
        <v>448</v>
      </c>
      <c r="T182" s="65" t="s">
        <v>417</v>
      </c>
      <c r="U182" s="65"/>
      <c r="V182" s="62" t="str">
        <f t="shared" si="18"/>
        <v>In progress</v>
      </c>
      <c r="W182" s="62"/>
      <c r="X182" s="62"/>
      <c r="Y182" s="65" t="s">
        <v>399</v>
      </c>
      <c r="Z182" s="75" t="s">
        <v>420</v>
      </c>
      <c r="AA182" s="65" t="str">
        <f t="shared" si="19"/>
        <v>Complete</v>
      </c>
      <c r="AB182" s="62" t="s">
        <v>418</v>
      </c>
      <c r="AC182" s="62" t="s">
        <v>447</v>
      </c>
      <c r="AD182" s="62" t="str">
        <f t="shared" si="20"/>
        <v>Complete</v>
      </c>
      <c r="AE182" s="73">
        <v>244470</v>
      </c>
      <c r="AF182" s="73">
        <v>244470</v>
      </c>
      <c r="AG182" s="62" t="str">
        <f t="shared" si="21"/>
        <v>Complete</v>
      </c>
      <c r="AH182" s="62"/>
      <c r="AI182" s="62" t="s">
        <v>450</v>
      </c>
      <c r="AJ182" s="73" t="s">
        <v>453</v>
      </c>
      <c r="AK182" s="62" t="s">
        <v>450</v>
      </c>
      <c r="AL182" s="62"/>
      <c r="AM182" s="62"/>
      <c r="AN182" s="62"/>
      <c r="AO182" s="62" t="str">
        <f t="shared" si="22"/>
        <v>In progress</v>
      </c>
    </row>
    <row r="183" spans="1:41" s="18" customFormat="1" ht="32.450000000000003" customHeight="1" x14ac:dyDescent="0.4">
      <c r="A183" s="59">
        <v>176</v>
      </c>
      <c r="B183" s="108" t="s">
        <v>222</v>
      </c>
      <c r="C183" s="108" t="s">
        <v>72</v>
      </c>
      <c r="D183" s="60" t="s">
        <v>69</v>
      </c>
      <c r="E183" s="60" t="s">
        <v>70</v>
      </c>
      <c r="F183" s="68" t="s">
        <v>103</v>
      </c>
      <c r="G183" s="60" t="s">
        <v>512</v>
      </c>
      <c r="H183" s="59">
        <v>9</v>
      </c>
      <c r="I183" s="63">
        <v>95</v>
      </c>
      <c r="J183" s="64">
        <v>15.967283</v>
      </c>
      <c r="K183" s="64">
        <v>100.814234</v>
      </c>
      <c r="L183" s="65" t="s">
        <v>110</v>
      </c>
      <c r="M183" s="65" t="s">
        <v>135</v>
      </c>
      <c r="N183" s="62" t="str">
        <f t="shared" si="17"/>
        <v>Complete</v>
      </c>
      <c r="O183" s="62" t="s">
        <v>124</v>
      </c>
      <c r="P183" s="65" t="s">
        <v>380</v>
      </c>
      <c r="Q183" s="65" t="s">
        <v>380</v>
      </c>
      <c r="R183" s="65" t="str">
        <f t="shared" si="35"/>
        <v>Complete</v>
      </c>
      <c r="S183" s="51" t="s">
        <v>448</v>
      </c>
      <c r="T183" s="65" t="s">
        <v>416</v>
      </c>
      <c r="U183" s="65"/>
      <c r="V183" s="62" t="str">
        <f t="shared" si="18"/>
        <v>In progress</v>
      </c>
      <c r="W183" s="62"/>
      <c r="X183" s="62"/>
      <c r="Y183" s="65" t="s">
        <v>110</v>
      </c>
      <c r="Z183" s="73">
        <v>244145</v>
      </c>
      <c r="AA183" s="65" t="str">
        <f t="shared" si="19"/>
        <v>Complete</v>
      </c>
      <c r="AB183" s="73">
        <v>244206</v>
      </c>
      <c r="AC183" s="73" t="s">
        <v>399</v>
      </c>
      <c r="AD183" s="62" t="str">
        <f t="shared" si="20"/>
        <v>Complete</v>
      </c>
      <c r="AE183" s="62" t="s">
        <v>469</v>
      </c>
      <c r="AF183" s="62"/>
      <c r="AG183" s="62" t="str">
        <f t="shared" si="21"/>
        <v>In progress</v>
      </c>
      <c r="AH183" s="62"/>
      <c r="AI183" s="62"/>
      <c r="AJ183" s="62"/>
      <c r="AK183" s="62"/>
      <c r="AL183" s="62"/>
      <c r="AM183" s="62"/>
      <c r="AN183" s="62"/>
      <c r="AO183" s="62" t="str">
        <f t="shared" si="22"/>
        <v/>
      </c>
    </row>
    <row r="184" spans="1:41" s="18" customFormat="1" ht="32.450000000000003" customHeight="1" x14ac:dyDescent="0.4">
      <c r="A184" s="59">
        <v>177</v>
      </c>
      <c r="B184" s="108" t="s">
        <v>250</v>
      </c>
      <c r="C184" s="108" t="s">
        <v>72</v>
      </c>
      <c r="D184" s="60" t="s">
        <v>69</v>
      </c>
      <c r="E184" s="60" t="s">
        <v>70</v>
      </c>
      <c r="F184" s="68" t="s">
        <v>103</v>
      </c>
      <c r="G184" s="60" t="s">
        <v>512</v>
      </c>
      <c r="H184" s="59">
        <v>9</v>
      </c>
      <c r="I184" s="63">
        <v>105</v>
      </c>
      <c r="J184" s="64">
        <v>16.036973</v>
      </c>
      <c r="K184" s="64">
        <v>100.85665</v>
      </c>
      <c r="L184" s="65" t="s">
        <v>110</v>
      </c>
      <c r="M184" s="65" t="s">
        <v>135</v>
      </c>
      <c r="N184" s="62" t="str">
        <f t="shared" si="17"/>
        <v>Complete</v>
      </c>
      <c r="O184" s="62" t="s">
        <v>124</v>
      </c>
      <c r="P184" s="65" t="s">
        <v>380</v>
      </c>
      <c r="Q184" s="65" t="s">
        <v>380</v>
      </c>
      <c r="R184" s="65" t="str">
        <f t="shared" si="35"/>
        <v>Complete</v>
      </c>
      <c r="S184" s="51" t="s">
        <v>448</v>
      </c>
      <c r="T184" s="65" t="s">
        <v>416</v>
      </c>
      <c r="U184" s="65"/>
      <c r="V184" s="62" t="str">
        <f t="shared" si="18"/>
        <v>In progress</v>
      </c>
      <c r="W184" s="62"/>
      <c r="X184" s="62"/>
      <c r="Y184" s="65" t="s">
        <v>110</v>
      </c>
      <c r="Z184" s="73">
        <v>244145</v>
      </c>
      <c r="AA184" s="65" t="str">
        <f t="shared" si="19"/>
        <v>Complete</v>
      </c>
      <c r="AB184" s="73">
        <v>244206</v>
      </c>
      <c r="AC184" s="73" t="s">
        <v>399</v>
      </c>
      <c r="AD184" s="62" t="str">
        <f t="shared" si="20"/>
        <v>Complete</v>
      </c>
      <c r="AE184" s="62" t="s">
        <v>469</v>
      </c>
      <c r="AF184" s="62"/>
      <c r="AG184" s="62" t="str">
        <f t="shared" si="21"/>
        <v>In progress</v>
      </c>
      <c r="AH184" s="62"/>
      <c r="AI184" s="62"/>
      <c r="AJ184" s="62"/>
      <c r="AK184" s="62"/>
      <c r="AL184" s="62"/>
      <c r="AM184" s="62"/>
      <c r="AN184" s="62"/>
      <c r="AO184" s="62" t="str">
        <f t="shared" si="22"/>
        <v/>
      </c>
    </row>
    <row r="185" spans="1:41" s="18" customFormat="1" ht="32.450000000000003" customHeight="1" x14ac:dyDescent="0.4">
      <c r="A185" s="59">
        <v>178</v>
      </c>
      <c r="B185" s="108" t="s">
        <v>265</v>
      </c>
      <c r="C185" s="108" t="s">
        <v>72</v>
      </c>
      <c r="D185" s="60" t="s">
        <v>69</v>
      </c>
      <c r="E185" s="60" t="s">
        <v>70</v>
      </c>
      <c r="F185" s="68" t="s">
        <v>103</v>
      </c>
      <c r="G185" s="68" t="s">
        <v>302</v>
      </c>
      <c r="H185" s="59">
        <v>9</v>
      </c>
      <c r="I185" s="63">
        <v>114</v>
      </c>
      <c r="J185" s="64">
        <v>15.979996999999999</v>
      </c>
      <c r="K185" s="64">
        <v>100.842645</v>
      </c>
      <c r="L185" s="65" t="s">
        <v>110</v>
      </c>
      <c r="M185" s="65" t="s">
        <v>135</v>
      </c>
      <c r="N185" s="62" t="str">
        <f t="shared" si="17"/>
        <v>Complete</v>
      </c>
      <c r="O185" s="62" t="s">
        <v>124</v>
      </c>
      <c r="P185" s="65" t="s">
        <v>380</v>
      </c>
      <c r="Q185" s="65" t="s">
        <v>380</v>
      </c>
      <c r="R185" s="65" t="str">
        <f t="shared" si="35"/>
        <v>Complete</v>
      </c>
      <c r="S185" s="51" t="s">
        <v>448</v>
      </c>
      <c r="T185" s="65" t="s">
        <v>416</v>
      </c>
      <c r="U185" s="65"/>
      <c r="V185" s="62" t="str">
        <f t="shared" si="18"/>
        <v>In progress</v>
      </c>
      <c r="W185" s="62"/>
      <c r="X185" s="62"/>
      <c r="Y185" s="65" t="s">
        <v>110</v>
      </c>
      <c r="Z185" s="73">
        <v>244145</v>
      </c>
      <c r="AA185" s="65" t="str">
        <f t="shared" si="19"/>
        <v>Complete</v>
      </c>
      <c r="AB185" s="73">
        <v>244206</v>
      </c>
      <c r="AC185" s="73" t="s">
        <v>399</v>
      </c>
      <c r="AD185" s="62" t="str">
        <f t="shared" si="20"/>
        <v>Complete</v>
      </c>
      <c r="AE185" s="62" t="s">
        <v>469</v>
      </c>
      <c r="AF185" s="62"/>
      <c r="AG185" s="62" t="str">
        <f t="shared" si="21"/>
        <v>In progress</v>
      </c>
      <c r="AH185" s="62"/>
      <c r="AI185" s="62"/>
      <c r="AJ185" s="62"/>
      <c r="AK185" s="62"/>
      <c r="AL185" s="62"/>
      <c r="AM185" s="62"/>
      <c r="AN185" s="62"/>
      <c r="AO185" s="62" t="str">
        <f t="shared" si="22"/>
        <v/>
      </c>
    </row>
    <row r="186" spans="1:41" s="18" customFormat="1" ht="32.450000000000003" customHeight="1" x14ac:dyDescent="0.4">
      <c r="A186" s="62">
        <v>179</v>
      </c>
      <c r="B186" s="108" t="s">
        <v>276</v>
      </c>
      <c r="C186" s="108" t="s">
        <v>72</v>
      </c>
      <c r="D186" s="60" t="s">
        <v>69</v>
      </c>
      <c r="E186" s="60" t="s">
        <v>70</v>
      </c>
      <c r="F186" s="68" t="s">
        <v>103</v>
      </c>
      <c r="G186" s="60" t="s">
        <v>512</v>
      </c>
      <c r="H186" s="59">
        <v>9</v>
      </c>
      <c r="I186" s="63">
        <v>123</v>
      </c>
      <c r="J186" s="64">
        <v>15.943946</v>
      </c>
      <c r="K186" s="64">
        <v>100.844291</v>
      </c>
      <c r="L186" s="65" t="s">
        <v>110</v>
      </c>
      <c r="M186" s="65" t="s">
        <v>111</v>
      </c>
      <c r="N186" s="62" t="str">
        <f t="shared" si="17"/>
        <v>Complete</v>
      </c>
      <c r="O186" s="62" t="s">
        <v>124</v>
      </c>
      <c r="P186" s="65" t="s">
        <v>380</v>
      </c>
      <c r="Q186" s="65" t="s">
        <v>380</v>
      </c>
      <c r="R186" s="65" t="str">
        <f t="shared" si="35"/>
        <v>Complete</v>
      </c>
      <c r="S186" s="51" t="s">
        <v>448</v>
      </c>
      <c r="T186" s="65" t="s">
        <v>417</v>
      </c>
      <c r="U186" s="65"/>
      <c r="V186" s="62" t="str">
        <f t="shared" si="18"/>
        <v>In progress</v>
      </c>
      <c r="W186" s="62"/>
      <c r="X186" s="62"/>
      <c r="Y186" s="65" t="s">
        <v>110</v>
      </c>
      <c r="Z186" s="73">
        <v>244145</v>
      </c>
      <c r="AA186" s="65" t="str">
        <f t="shared" si="19"/>
        <v>Complete</v>
      </c>
      <c r="AB186" s="73">
        <v>244206</v>
      </c>
      <c r="AC186" s="73" t="s">
        <v>399</v>
      </c>
      <c r="AD186" s="62" t="str">
        <f t="shared" si="20"/>
        <v>Complete</v>
      </c>
      <c r="AE186" s="62" t="s">
        <v>469</v>
      </c>
      <c r="AF186" s="62"/>
      <c r="AG186" s="62" t="str">
        <f t="shared" si="21"/>
        <v>In progress</v>
      </c>
      <c r="AH186" s="62"/>
      <c r="AI186" s="62"/>
      <c r="AJ186" s="62"/>
      <c r="AK186" s="62"/>
      <c r="AL186" s="62"/>
      <c r="AM186" s="62"/>
      <c r="AN186" s="62"/>
      <c r="AO186" s="62" t="str">
        <f t="shared" si="22"/>
        <v/>
      </c>
    </row>
    <row r="187" spans="1:41" s="18" customFormat="1" ht="32.450000000000003" customHeight="1" x14ac:dyDescent="0.4">
      <c r="A187" s="62">
        <v>180</v>
      </c>
      <c r="B187" s="108" t="s">
        <v>428</v>
      </c>
      <c r="C187" s="108" t="s">
        <v>72</v>
      </c>
      <c r="D187" s="60" t="s">
        <v>69</v>
      </c>
      <c r="E187" s="60" t="s">
        <v>70</v>
      </c>
      <c r="F187" s="68" t="s">
        <v>103</v>
      </c>
      <c r="G187" s="60" t="s">
        <v>513</v>
      </c>
      <c r="H187" s="59">
        <v>9</v>
      </c>
      <c r="I187" s="63">
        <v>103</v>
      </c>
      <c r="J187" s="64">
        <v>16.045030000000001</v>
      </c>
      <c r="K187" s="64">
        <v>100.84064499999999</v>
      </c>
      <c r="L187" s="65" t="s">
        <v>110</v>
      </c>
      <c r="M187" s="65" t="s">
        <v>377</v>
      </c>
      <c r="N187" s="62" t="str">
        <f t="shared" si="17"/>
        <v>Complete</v>
      </c>
      <c r="O187" s="62" t="s">
        <v>124</v>
      </c>
      <c r="P187" s="65" t="s">
        <v>380</v>
      </c>
      <c r="Q187" s="65" t="s">
        <v>380</v>
      </c>
      <c r="R187" s="65" t="str">
        <f t="shared" si="35"/>
        <v>Complete</v>
      </c>
      <c r="S187" s="51" t="s">
        <v>448</v>
      </c>
      <c r="T187" s="65" t="s">
        <v>415</v>
      </c>
      <c r="U187" s="65"/>
      <c r="V187" s="62" t="str">
        <f t="shared" si="18"/>
        <v>In progress</v>
      </c>
      <c r="W187" s="62"/>
      <c r="X187" s="62"/>
      <c r="Y187" s="65" t="s">
        <v>110</v>
      </c>
      <c r="Z187" s="73">
        <v>244145</v>
      </c>
      <c r="AA187" s="65" t="str">
        <f t="shared" si="19"/>
        <v>Complete</v>
      </c>
      <c r="AB187" s="73">
        <v>244206</v>
      </c>
      <c r="AC187" s="73" t="s">
        <v>399</v>
      </c>
      <c r="AD187" s="62" t="str">
        <f t="shared" si="20"/>
        <v>Complete</v>
      </c>
      <c r="AE187" s="62" t="s">
        <v>469</v>
      </c>
      <c r="AF187" s="62"/>
      <c r="AG187" s="62" t="str">
        <f t="shared" si="21"/>
        <v>In progress</v>
      </c>
      <c r="AH187" s="62"/>
      <c r="AI187" s="62"/>
      <c r="AJ187" s="62"/>
      <c r="AK187" s="62"/>
      <c r="AL187" s="62"/>
      <c r="AM187" s="62"/>
      <c r="AN187" s="62"/>
      <c r="AO187" s="62" t="str">
        <f t="shared" si="22"/>
        <v/>
      </c>
    </row>
    <row r="188" spans="1:41" s="18" customFormat="1" ht="32.450000000000003" customHeight="1" x14ac:dyDescent="0.4">
      <c r="A188" s="59">
        <v>181</v>
      </c>
      <c r="B188" s="108" t="s">
        <v>277</v>
      </c>
      <c r="C188" s="108" t="s">
        <v>73</v>
      </c>
      <c r="D188" s="60" t="s">
        <v>74</v>
      </c>
      <c r="E188" s="60" t="s">
        <v>70</v>
      </c>
      <c r="F188" s="68" t="s">
        <v>103</v>
      </c>
      <c r="G188" s="60" t="s">
        <v>512</v>
      </c>
      <c r="H188" s="59">
        <v>30</v>
      </c>
      <c r="I188" s="63">
        <v>156</v>
      </c>
      <c r="J188" s="64">
        <v>15.977772</v>
      </c>
      <c r="K188" s="64">
        <v>100.8967</v>
      </c>
      <c r="L188" s="65" t="s">
        <v>110</v>
      </c>
      <c r="M188" s="65" t="s">
        <v>111</v>
      </c>
      <c r="N188" s="62" t="str">
        <f t="shared" si="17"/>
        <v>Complete</v>
      </c>
      <c r="O188" s="62" t="s">
        <v>124</v>
      </c>
      <c r="P188" s="65" t="s">
        <v>381</v>
      </c>
      <c r="Q188" s="65" t="s">
        <v>381</v>
      </c>
      <c r="R188" s="65" t="str">
        <f t="shared" si="35"/>
        <v>Complete</v>
      </c>
      <c r="S188" s="51" t="s">
        <v>448</v>
      </c>
      <c r="T188" s="65" t="s">
        <v>417</v>
      </c>
      <c r="U188" s="65"/>
      <c r="V188" s="62" t="str">
        <f t="shared" si="18"/>
        <v>In progress</v>
      </c>
      <c r="W188" s="62"/>
      <c r="X188" s="62"/>
      <c r="Y188" s="65" t="s">
        <v>399</v>
      </c>
      <c r="Z188" s="75" t="s">
        <v>420</v>
      </c>
      <c r="AA188" s="65" t="str">
        <f t="shared" si="19"/>
        <v>Complete</v>
      </c>
      <c r="AB188" s="62" t="s">
        <v>418</v>
      </c>
      <c r="AC188" s="62" t="s">
        <v>447</v>
      </c>
      <c r="AD188" s="62" t="str">
        <f t="shared" si="20"/>
        <v>Complete</v>
      </c>
      <c r="AE188" s="73">
        <v>244470</v>
      </c>
      <c r="AF188" s="73">
        <v>244470</v>
      </c>
      <c r="AG188" s="62" t="str">
        <f t="shared" si="21"/>
        <v>Complete</v>
      </c>
      <c r="AH188" s="62"/>
      <c r="AI188" s="62" t="s">
        <v>450</v>
      </c>
      <c r="AJ188" s="73" t="s">
        <v>453</v>
      </c>
      <c r="AK188" s="62" t="s">
        <v>450</v>
      </c>
      <c r="AL188" s="62"/>
      <c r="AM188" s="62"/>
      <c r="AN188" s="62"/>
      <c r="AO188" s="62" t="str">
        <f t="shared" si="22"/>
        <v>In progress</v>
      </c>
    </row>
    <row r="189" spans="1:41" x14ac:dyDescent="0.7">
      <c r="B189" s="19"/>
      <c r="C189" s="19"/>
      <c r="D189" s="19"/>
      <c r="E189" s="19"/>
      <c r="J189" s="20"/>
      <c r="K189" s="20"/>
    </row>
    <row r="190" spans="1:41" x14ac:dyDescent="0.7">
      <c r="D190" s="19"/>
      <c r="E190" s="19"/>
      <c r="J190" s="20"/>
      <c r="K190" s="20"/>
    </row>
    <row r="191" spans="1:41" x14ac:dyDescent="0.7">
      <c r="D191" s="19"/>
      <c r="E191" s="19"/>
      <c r="J191" s="20"/>
      <c r="K191" s="20"/>
    </row>
    <row r="192" spans="1:41" x14ac:dyDescent="0.7">
      <c r="B192" s="15"/>
      <c r="C192" s="15"/>
      <c r="D192" s="19"/>
      <c r="E192" s="19"/>
      <c r="J192" s="20"/>
      <c r="K192" s="20"/>
    </row>
    <row r="193" spans="1:62" x14ac:dyDescent="0.7">
      <c r="B193" s="21"/>
      <c r="C193" s="72"/>
      <c r="D193" s="19"/>
      <c r="E193" s="19"/>
      <c r="J193" s="20"/>
      <c r="K193" s="20"/>
    </row>
    <row r="194" spans="1:62" x14ac:dyDescent="0.7">
      <c r="B194" s="21"/>
      <c r="C194" s="72"/>
      <c r="D194" s="19"/>
      <c r="E194" s="19"/>
      <c r="K194" s="20"/>
    </row>
    <row r="195" spans="1:62" s="23" customFormat="1" x14ac:dyDescent="0.2">
      <c r="B195" s="21"/>
      <c r="C195" s="72"/>
      <c r="D195" s="21"/>
      <c r="E195" s="21"/>
      <c r="F195" s="21"/>
      <c r="G195" s="21"/>
      <c r="H195" s="22"/>
      <c r="I195" s="22"/>
      <c r="K195" s="22"/>
      <c r="L195" s="22"/>
      <c r="M195" s="22"/>
      <c r="N195" s="22"/>
      <c r="O195" s="22"/>
      <c r="P195" s="30"/>
      <c r="Q195" s="30"/>
      <c r="R195" s="22"/>
      <c r="S195" s="22"/>
      <c r="T195" s="22"/>
      <c r="U195" s="22"/>
      <c r="V195" s="22"/>
      <c r="W195" s="22"/>
      <c r="X195" s="22"/>
      <c r="Y195" s="30"/>
      <c r="Z195" s="30"/>
      <c r="AA195" s="30"/>
      <c r="AB195" s="30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</row>
    <row r="196" spans="1:62" s="23" customFormat="1" x14ac:dyDescent="0.2">
      <c r="B196" s="24"/>
      <c r="C196" s="24"/>
      <c r="D196" s="21"/>
      <c r="E196" s="21"/>
      <c r="F196" s="21"/>
      <c r="G196" s="21"/>
      <c r="H196" s="22"/>
      <c r="I196" s="22"/>
      <c r="K196" s="22"/>
      <c r="L196" s="22"/>
      <c r="M196" s="22"/>
      <c r="N196" s="22"/>
      <c r="O196" s="22"/>
      <c r="P196" s="30"/>
      <c r="Q196" s="30"/>
      <c r="R196" s="22"/>
      <c r="S196" s="22"/>
      <c r="T196" s="22"/>
      <c r="U196" s="22"/>
      <c r="V196" s="22"/>
      <c r="W196" s="22"/>
      <c r="X196" s="22"/>
      <c r="Y196" s="30"/>
      <c r="Z196" s="30"/>
      <c r="AA196" s="30"/>
      <c r="AB196" s="30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</row>
    <row r="197" spans="1:62" s="23" customFormat="1" x14ac:dyDescent="0.2">
      <c r="B197" s="24"/>
      <c r="C197" s="24"/>
      <c r="D197" s="21"/>
      <c r="E197" s="21"/>
      <c r="F197" s="21"/>
      <c r="G197" s="21"/>
      <c r="H197" s="22"/>
      <c r="I197" s="22"/>
      <c r="K197" s="22"/>
      <c r="L197" s="22"/>
      <c r="M197" s="22"/>
      <c r="N197" s="22"/>
      <c r="O197" s="22"/>
      <c r="P197" s="30"/>
      <c r="Q197" s="30"/>
      <c r="R197" s="22"/>
      <c r="S197" s="22"/>
      <c r="T197" s="22"/>
      <c r="U197" s="22"/>
      <c r="V197" s="22"/>
      <c r="W197" s="22"/>
      <c r="X197" s="22"/>
      <c r="Y197" s="30"/>
      <c r="Z197" s="30"/>
      <c r="AA197" s="30"/>
      <c r="AB197" s="30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</row>
    <row r="198" spans="1:62" s="23" customFormat="1" x14ac:dyDescent="0.2">
      <c r="B198" s="24"/>
      <c r="C198" s="24"/>
      <c r="D198" s="21"/>
      <c r="E198" s="21"/>
      <c r="F198" s="21"/>
      <c r="G198" s="21"/>
      <c r="H198" s="22"/>
      <c r="I198" s="22"/>
      <c r="K198" s="22"/>
      <c r="L198" s="22"/>
      <c r="M198" s="22"/>
      <c r="N198" s="22"/>
      <c r="O198" s="22"/>
      <c r="P198" s="30"/>
      <c r="Q198" s="30"/>
      <c r="R198" s="22"/>
      <c r="S198" s="22"/>
      <c r="T198" s="22"/>
      <c r="U198" s="22"/>
      <c r="V198" s="22"/>
      <c r="W198" s="22"/>
      <c r="X198" s="22"/>
      <c r="Y198" s="30"/>
      <c r="Z198" s="30"/>
      <c r="AA198" s="30"/>
      <c r="AB198" s="30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</row>
    <row r="199" spans="1:62" s="23" customFormat="1" x14ac:dyDescent="0.2">
      <c r="D199" s="21"/>
      <c r="F199" s="21"/>
      <c r="G199" s="21"/>
      <c r="H199" s="22"/>
      <c r="I199" s="22"/>
      <c r="J199" s="22"/>
      <c r="K199" s="22"/>
      <c r="L199" s="22"/>
      <c r="M199" s="22"/>
      <c r="N199" s="22"/>
      <c r="O199" s="22"/>
      <c r="P199" s="30"/>
      <c r="Q199" s="30"/>
      <c r="R199" s="22"/>
      <c r="S199" s="22"/>
      <c r="T199" s="22"/>
      <c r="U199" s="22"/>
      <c r="V199" s="22"/>
      <c r="W199" s="22"/>
      <c r="X199" s="22"/>
      <c r="Y199" s="30"/>
      <c r="Z199" s="30"/>
      <c r="AA199" s="30"/>
      <c r="AB199" s="30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</row>
    <row r="200" spans="1:62" s="23" customFormat="1" x14ac:dyDescent="0.2">
      <c r="D200" s="21"/>
      <c r="F200" s="21"/>
      <c r="G200" s="21"/>
      <c r="H200" s="22"/>
      <c r="I200" s="22"/>
      <c r="J200" s="22"/>
      <c r="K200" s="22"/>
      <c r="L200" s="22"/>
      <c r="M200" s="22"/>
      <c r="N200" s="22"/>
      <c r="O200" s="22"/>
      <c r="P200" s="30"/>
      <c r="Q200" s="30"/>
      <c r="R200" s="22"/>
      <c r="S200" s="22"/>
      <c r="T200" s="22"/>
      <c r="U200" s="22"/>
      <c r="V200" s="22"/>
      <c r="W200" s="22"/>
      <c r="X200" s="22"/>
      <c r="Y200" s="30"/>
      <c r="Z200" s="30"/>
      <c r="AA200" s="30"/>
      <c r="AB200" s="30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</row>
    <row r="201" spans="1:62" s="23" customFormat="1" x14ac:dyDescent="0.2">
      <c r="D201" s="21"/>
      <c r="F201" s="21"/>
      <c r="G201" s="21"/>
      <c r="H201" s="22"/>
      <c r="I201" s="22"/>
      <c r="J201" s="22"/>
      <c r="K201" s="22"/>
      <c r="L201" s="22"/>
      <c r="M201" s="22"/>
      <c r="N201" s="22"/>
      <c r="O201" s="22"/>
      <c r="P201" s="30"/>
      <c r="Q201" s="30"/>
      <c r="R201" s="22"/>
      <c r="S201" s="22"/>
      <c r="T201" s="22"/>
      <c r="U201" s="22"/>
      <c r="V201" s="22"/>
      <c r="W201" s="22"/>
      <c r="X201" s="22"/>
      <c r="Y201" s="30"/>
      <c r="Z201" s="30"/>
      <c r="AA201" s="30"/>
      <c r="AB201" s="30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</row>
    <row r="202" spans="1:62" s="23" customFormat="1" x14ac:dyDescent="0.2">
      <c r="D202" s="21"/>
      <c r="F202" s="21"/>
      <c r="G202" s="21"/>
      <c r="H202" s="22"/>
      <c r="I202" s="22"/>
      <c r="J202" s="22"/>
      <c r="K202" s="22"/>
      <c r="L202" s="22"/>
      <c r="M202" s="22"/>
      <c r="N202" s="22"/>
      <c r="O202" s="22"/>
      <c r="P202" s="30"/>
      <c r="Q202" s="30"/>
      <c r="R202" s="22"/>
      <c r="S202" s="22"/>
      <c r="T202" s="22"/>
      <c r="U202" s="22"/>
      <c r="V202" s="22"/>
      <c r="W202" s="22"/>
      <c r="X202" s="22"/>
      <c r="Y202" s="30"/>
      <c r="Z202" s="30"/>
      <c r="AA202" s="30"/>
      <c r="AB202" s="30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</row>
    <row r="203" spans="1:62" s="23" customFormat="1" x14ac:dyDescent="0.2">
      <c r="D203" s="21"/>
      <c r="F203" s="21"/>
      <c r="G203" s="21"/>
      <c r="H203" s="22"/>
      <c r="I203" s="22"/>
      <c r="J203" s="22"/>
      <c r="K203" s="22"/>
      <c r="L203" s="22"/>
      <c r="M203" s="22"/>
      <c r="N203" s="22"/>
      <c r="O203" s="22"/>
      <c r="P203" s="30"/>
      <c r="Q203" s="30"/>
      <c r="R203" s="22"/>
      <c r="S203" s="22"/>
      <c r="T203" s="22"/>
      <c r="U203" s="22"/>
      <c r="V203" s="22"/>
      <c r="W203" s="22"/>
      <c r="X203" s="22"/>
      <c r="Y203" s="30"/>
      <c r="Z203" s="30"/>
      <c r="AA203" s="30"/>
      <c r="AB203" s="30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</row>
    <row r="204" spans="1:62" s="15" customFormat="1" x14ac:dyDescent="0.7">
      <c r="B204" s="19"/>
      <c r="C204" s="19"/>
      <c r="D204" s="25"/>
      <c r="E204" s="25"/>
      <c r="F204" s="25"/>
      <c r="G204" s="25"/>
      <c r="H204" s="14"/>
      <c r="I204" s="14"/>
      <c r="J204" s="14"/>
      <c r="K204" s="14"/>
      <c r="L204" s="14"/>
      <c r="M204" s="14"/>
      <c r="N204" s="14"/>
      <c r="O204" s="14"/>
      <c r="P204" s="31"/>
      <c r="Q204" s="31"/>
      <c r="R204" s="14"/>
      <c r="S204" s="14"/>
      <c r="T204" s="14"/>
      <c r="U204" s="14"/>
      <c r="V204" s="14"/>
      <c r="W204" s="14"/>
      <c r="X204" s="14"/>
      <c r="Y204" s="31"/>
      <c r="Z204" s="31"/>
      <c r="AA204" s="31"/>
      <c r="AB204" s="31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</row>
    <row r="205" spans="1:62" x14ac:dyDescent="0.7">
      <c r="B205" s="19"/>
      <c r="C205" s="19"/>
      <c r="D205" s="19"/>
      <c r="E205" s="19"/>
      <c r="J205" s="20"/>
      <c r="K205" s="20"/>
    </row>
    <row r="206" spans="1:62" x14ac:dyDescent="0.7">
      <c r="B206" s="19"/>
      <c r="C206" s="19"/>
      <c r="D206" s="19"/>
      <c r="E206" s="19"/>
      <c r="J206" s="20"/>
      <c r="K206" s="20"/>
    </row>
    <row r="207" spans="1:62" s="20" customFormat="1" x14ac:dyDescent="0.7">
      <c r="A207" s="17"/>
      <c r="B207" s="19"/>
      <c r="C207" s="19"/>
      <c r="D207" s="19"/>
      <c r="E207" s="19"/>
      <c r="F207" s="19"/>
      <c r="G207" s="19"/>
      <c r="P207" s="29"/>
      <c r="Q207" s="29"/>
      <c r="Y207" s="29"/>
      <c r="Z207" s="29"/>
      <c r="AA207" s="29"/>
      <c r="AB207" s="29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</row>
    <row r="208" spans="1:62" s="20" customFormat="1" x14ac:dyDescent="0.7">
      <c r="A208" s="17"/>
      <c r="B208" s="19"/>
      <c r="C208" s="19"/>
      <c r="D208" s="19"/>
      <c r="E208" s="19"/>
      <c r="F208" s="19"/>
      <c r="G208" s="19"/>
      <c r="P208" s="29"/>
      <c r="Q208" s="29"/>
      <c r="Y208" s="29"/>
      <c r="Z208" s="29"/>
      <c r="AA208" s="29"/>
      <c r="AB208" s="29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</row>
    <row r="209" spans="1:62" s="20" customFormat="1" x14ac:dyDescent="0.7">
      <c r="A209" s="17"/>
      <c r="B209" s="19"/>
      <c r="C209" s="19"/>
      <c r="D209" s="19"/>
      <c r="E209" s="19"/>
      <c r="F209" s="19"/>
      <c r="G209" s="19"/>
      <c r="P209" s="29"/>
      <c r="Q209" s="29"/>
      <c r="Y209" s="29"/>
      <c r="Z209" s="29"/>
      <c r="AA209" s="29"/>
      <c r="AB209" s="29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</row>
    <row r="210" spans="1:62" s="20" customFormat="1" x14ac:dyDescent="0.7">
      <c r="A210" s="17"/>
      <c r="B210" s="19"/>
      <c r="C210" s="19"/>
      <c r="D210" s="19"/>
      <c r="E210" s="19"/>
      <c r="F210" s="19"/>
      <c r="G210" s="19"/>
      <c r="P210" s="29"/>
      <c r="Q210" s="29"/>
      <c r="Y210" s="29"/>
      <c r="Z210" s="29"/>
      <c r="AA210" s="29"/>
      <c r="AB210" s="29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</row>
    <row r="211" spans="1:62" s="20" customFormat="1" x14ac:dyDescent="0.7">
      <c r="A211" s="17"/>
      <c r="B211" s="19"/>
      <c r="C211" s="19"/>
      <c r="D211" s="19"/>
      <c r="E211" s="19"/>
      <c r="F211" s="19"/>
      <c r="G211" s="19"/>
      <c r="P211" s="29"/>
      <c r="Q211" s="29"/>
      <c r="Y211" s="29"/>
      <c r="Z211" s="29"/>
      <c r="AA211" s="29"/>
      <c r="AB211" s="29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</row>
    <row r="212" spans="1:62" s="20" customFormat="1" x14ac:dyDescent="0.7">
      <c r="A212" s="17"/>
      <c r="B212" s="19"/>
      <c r="C212" s="19"/>
      <c r="D212" s="19"/>
      <c r="E212" s="19"/>
      <c r="F212" s="19"/>
      <c r="G212" s="19"/>
      <c r="P212" s="29"/>
      <c r="Q212" s="29"/>
      <c r="Y212" s="29"/>
      <c r="Z212" s="29"/>
      <c r="AA212" s="29"/>
      <c r="AB212" s="29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</row>
    <row r="213" spans="1:62" s="20" customFormat="1" x14ac:dyDescent="0.7">
      <c r="A213" s="17"/>
      <c r="B213" s="19"/>
      <c r="C213" s="19"/>
      <c r="D213" s="19"/>
      <c r="E213" s="19"/>
      <c r="F213" s="19"/>
      <c r="G213" s="19"/>
      <c r="P213" s="29"/>
      <c r="Q213" s="29"/>
      <c r="Y213" s="29"/>
      <c r="Z213" s="29"/>
      <c r="AA213" s="29"/>
      <c r="AB213" s="29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</row>
    <row r="214" spans="1:62" s="20" customFormat="1" x14ac:dyDescent="0.7">
      <c r="A214" s="17"/>
      <c r="B214" s="19"/>
      <c r="C214" s="19"/>
      <c r="D214" s="19"/>
      <c r="E214" s="19"/>
      <c r="F214" s="19"/>
      <c r="G214" s="19"/>
      <c r="P214" s="29"/>
      <c r="Q214" s="29"/>
      <c r="Y214" s="29"/>
      <c r="Z214" s="29"/>
      <c r="AA214" s="29"/>
      <c r="AB214" s="29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</row>
    <row r="215" spans="1:62" s="20" customFormat="1" x14ac:dyDescent="0.7">
      <c r="A215" s="17"/>
      <c r="B215" s="19"/>
      <c r="C215" s="19"/>
      <c r="D215" s="19"/>
      <c r="E215" s="19"/>
      <c r="F215" s="19"/>
      <c r="G215" s="19"/>
      <c r="P215" s="29"/>
      <c r="Q215" s="29"/>
      <c r="Y215" s="29"/>
      <c r="Z215" s="29"/>
      <c r="AA215" s="29"/>
      <c r="AB215" s="29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</row>
    <row r="216" spans="1:62" s="20" customFormat="1" x14ac:dyDescent="0.7">
      <c r="A216" s="17"/>
      <c r="B216" s="19"/>
      <c r="C216" s="19"/>
      <c r="D216" s="19"/>
      <c r="E216" s="19"/>
      <c r="F216" s="19"/>
      <c r="G216" s="19"/>
      <c r="P216" s="29"/>
      <c r="Q216" s="29"/>
      <c r="Y216" s="29"/>
      <c r="Z216" s="29"/>
      <c r="AA216" s="29"/>
      <c r="AB216" s="29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</row>
    <row r="217" spans="1:62" s="20" customFormat="1" x14ac:dyDescent="0.7">
      <c r="A217" s="17"/>
      <c r="B217" s="19"/>
      <c r="C217" s="19"/>
      <c r="D217" s="19"/>
      <c r="E217" s="19"/>
      <c r="F217" s="19"/>
      <c r="G217" s="19"/>
      <c r="P217" s="29"/>
      <c r="Q217" s="29"/>
      <c r="Y217" s="29"/>
      <c r="Z217" s="29"/>
      <c r="AA217" s="29"/>
      <c r="AB217" s="29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</row>
    <row r="218" spans="1:62" s="20" customFormat="1" x14ac:dyDescent="0.7">
      <c r="A218" s="17"/>
      <c r="B218" s="19"/>
      <c r="C218" s="19"/>
      <c r="D218" s="19"/>
      <c r="E218" s="19"/>
      <c r="F218" s="19"/>
      <c r="G218" s="19"/>
      <c r="P218" s="29"/>
      <c r="Q218" s="29"/>
      <c r="Y218" s="29"/>
      <c r="Z218" s="29"/>
      <c r="AA218" s="29"/>
      <c r="AB218" s="29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</row>
    <row r="219" spans="1:62" s="20" customFormat="1" x14ac:dyDescent="0.7">
      <c r="A219" s="17"/>
      <c r="B219" s="19"/>
      <c r="C219" s="19"/>
      <c r="D219" s="19"/>
      <c r="E219" s="19"/>
      <c r="F219" s="19"/>
      <c r="G219" s="19"/>
      <c r="P219" s="29"/>
      <c r="Q219" s="29"/>
      <c r="Y219" s="29"/>
      <c r="Z219" s="29"/>
      <c r="AA219" s="29"/>
      <c r="AB219" s="29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</row>
    <row r="220" spans="1:62" s="20" customFormat="1" x14ac:dyDescent="0.7">
      <c r="A220" s="17"/>
      <c r="B220" s="19"/>
      <c r="C220" s="19"/>
      <c r="D220" s="19"/>
      <c r="E220" s="19"/>
      <c r="F220" s="19"/>
      <c r="G220" s="19"/>
      <c r="P220" s="29"/>
      <c r="Q220" s="29"/>
      <c r="Y220" s="29"/>
      <c r="Z220" s="29"/>
      <c r="AA220" s="29"/>
      <c r="AB220" s="29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</row>
    <row r="221" spans="1:62" s="20" customFormat="1" x14ac:dyDescent="0.7">
      <c r="A221" s="17"/>
      <c r="B221" s="19"/>
      <c r="C221" s="19"/>
      <c r="D221" s="19"/>
      <c r="E221" s="19"/>
      <c r="F221" s="19"/>
      <c r="G221" s="19"/>
      <c r="P221" s="29"/>
      <c r="Q221" s="29"/>
      <c r="Y221" s="29"/>
      <c r="Z221" s="29"/>
      <c r="AA221" s="29"/>
      <c r="AB221" s="29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</row>
    <row r="222" spans="1:62" s="20" customFormat="1" x14ac:dyDescent="0.7">
      <c r="A222" s="17"/>
      <c r="B222" s="19"/>
      <c r="C222" s="19"/>
      <c r="D222" s="19"/>
      <c r="E222" s="19"/>
      <c r="F222" s="19"/>
      <c r="G222" s="19"/>
      <c r="P222" s="29"/>
      <c r="Q222" s="29"/>
      <c r="Y222" s="29"/>
      <c r="Z222" s="29"/>
      <c r="AA222" s="29"/>
      <c r="AB222" s="29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</row>
    <row r="223" spans="1:62" s="20" customFormat="1" x14ac:dyDescent="0.7">
      <c r="A223" s="17"/>
      <c r="B223" s="19"/>
      <c r="C223" s="19"/>
      <c r="D223" s="19"/>
      <c r="E223" s="19"/>
      <c r="F223" s="19"/>
      <c r="G223" s="19"/>
      <c r="P223" s="29"/>
      <c r="Q223" s="29"/>
      <c r="Y223" s="29"/>
      <c r="Z223" s="29"/>
      <c r="AA223" s="29"/>
      <c r="AB223" s="29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</row>
    <row r="224" spans="1:62" s="20" customFormat="1" x14ac:dyDescent="0.7">
      <c r="A224" s="17"/>
      <c r="B224" s="19"/>
      <c r="C224" s="19"/>
      <c r="D224" s="19"/>
      <c r="E224" s="19"/>
      <c r="F224" s="19"/>
      <c r="G224" s="19"/>
      <c r="P224" s="29"/>
      <c r="Q224" s="29"/>
      <c r="Y224" s="29"/>
      <c r="Z224" s="29"/>
      <c r="AA224" s="29"/>
      <c r="AB224" s="29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</row>
    <row r="225" spans="1:62" s="20" customFormat="1" x14ac:dyDescent="0.7">
      <c r="A225" s="17"/>
      <c r="B225" s="19"/>
      <c r="C225" s="19"/>
      <c r="D225" s="19"/>
      <c r="E225" s="19"/>
      <c r="F225" s="19"/>
      <c r="G225" s="19"/>
      <c r="P225" s="29"/>
      <c r="Q225" s="29"/>
      <c r="Y225" s="29"/>
      <c r="Z225" s="29"/>
      <c r="AA225" s="29"/>
      <c r="AB225" s="29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</row>
    <row r="226" spans="1:62" s="20" customFormat="1" x14ac:dyDescent="0.7">
      <c r="A226" s="17"/>
      <c r="B226" s="19"/>
      <c r="C226" s="19"/>
      <c r="D226" s="19"/>
      <c r="E226" s="19"/>
      <c r="F226" s="19"/>
      <c r="G226" s="19"/>
      <c r="P226" s="29"/>
      <c r="Q226" s="29"/>
      <c r="Y226" s="29"/>
      <c r="Z226" s="29"/>
      <c r="AA226" s="29"/>
      <c r="AB226" s="29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</row>
    <row r="227" spans="1:62" s="20" customFormat="1" x14ac:dyDescent="0.7">
      <c r="A227" s="17"/>
      <c r="B227" s="19"/>
      <c r="C227" s="19"/>
      <c r="D227" s="19"/>
      <c r="E227" s="19"/>
      <c r="F227" s="19"/>
      <c r="G227" s="19"/>
      <c r="P227" s="29"/>
      <c r="Q227" s="29"/>
      <c r="Y227" s="29"/>
      <c r="Z227" s="29"/>
      <c r="AA227" s="29"/>
      <c r="AB227" s="29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</row>
    <row r="228" spans="1:62" s="20" customFormat="1" x14ac:dyDescent="0.7">
      <c r="A228" s="17"/>
      <c r="B228" s="19"/>
      <c r="C228" s="19"/>
      <c r="D228" s="19"/>
      <c r="E228" s="19"/>
      <c r="F228" s="19"/>
      <c r="G228" s="19"/>
      <c r="P228" s="29"/>
      <c r="Q228" s="29"/>
      <c r="Y228" s="29"/>
      <c r="Z228" s="29"/>
      <c r="AA228" s="29"/>
      <c r="AB228" s="29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</row>
    <row r="229" spans="1:62" s="20" customFormat="1" x14ac:dyDescent="0.7">
      <c r="A229" s="17"/>
      <c r="B229" s="19"/>
      <c r="C229" s="19"/>
      <c r="D229" s="19"/>
      <c r="E229" s="19"/>
      <c r="F229" s="19"/>
      <c r="G229" s="19"/>
      <c r="P229" s="29"/>
      <c r="Q229" s="29"/>
      <c r="Y229" s="29"/>
      <c r="Z229" s="29"/>
      <c r="AA229" s="29"/>
      <c r="AB229" s="29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</row>
    <row r="230" spans="1:62" s="20" customFormat="1" x14ac:dyDescent="0.7">
      <c r="A230" s="17"/>
      <c r="B230" s="19"/>
      <c r="C230" s="19"/>
      <c r="D230" s="19"/>
      <c r="E230" s="19"/>
      <c r="F230" s="19"/>
      <c r="G230" s="19"/>
      <c r="P230" s="29"/>
      <c r="Q230" s="29"/>
      <c r="Y230" s="29"/>
      <c r="Z230" s="29"/>
      <c r="AA230" s="29"/>
      <c r="AB230" s="29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</row>
    <row r="231" spans="1:62" s="20" customFormat="1" x14ac:dyDescent="0.7">
      <c r="A231" s="17"/>
      <c r="B231" s="19"/>
      <c r="C231" s="19"/>
      <c r="D231" s="19"/>
      <c r="E231" s="19"/>
      <c r="F231" s="19"/>
      <c r="G231" s="19"/>
      <c r="P231" s="29"/>
      <c r="Q231" s="29"/>
      <c r="Y231" s="29"/>
      <c r="Z231" s="29"/>
      <c r="AA231" s="29"/>
      <c r="AB231" s="29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</row>
    <row r="232" spans="1:62" s="20" customFormat="1" x14ac:dyDescent="0.7">
      <c r="A232" s="17"/>
      <c r="B232" s="19"/>
      <c r="C232" s="19"/>
      <c r="D232" s="19"/>
      <c r="E232" s="19"/>
      <c r="F232" s="19"/>
      <c r="G232" s="19"/>
      <c r="P232" s="29"/>
      <c r="Q232" s="29"/>
      <c r="Y232" s="29"/>
      <c r="Z232" s="29"/>
      <c r="AA232" s="29"/>
      <c r="AB232" s="29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</row>
    <row r="233" spans="1:62" s="20" customFormat="1" x14ac:dyDescent="0.7">
      <c r="A233" s="17"/>
      <c r="B233" s="19"/>
      <c r="C233" s="19"/>
      <c r="D233" s="19"/>
      <c r="E233" s="19"/>
      <c r="F233" s="19"/>
      <c r="G233" s="19"/>
      <c r="P233" s="29"/>
      <c r="Q233" s="29"/>
      <c r="Y233" s="29"/>
      <c r="Z233" s="29"/>
      <c r="AA233" s="29"/>
      <c r="AB233" s="29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</row>
    <row r="234" spans="1:62" s="20" customFormat="1" x14ac:dyDescent="0.7">
      <c r="A234" s="17"/>
      <c r="B234" s="19"/>
      <c r="C234" s="19"/>
      <c r="D234" s="19"/>
      <c r="E234" s="19"/>
      <c r="F234" s="19"/>
      <c r="G234" s="19"/>
      <c r="P234" s="29"/>
      <c r="Q234" s="29"/>
      <c r="Y234" s="29"/>
      <c r="Z234" s="29"/>
      <c r="AA234" s="29"/>
      <c r="AB234" s="29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</row>
    <row r="235" spans="1:62" s="20" customFormat="1" x14ac:dyDescent="0.7">
      <c r="A235" s="17"/>
      <c r="B235" s="19"/>
      <c r="C235" s="19"/>
      <c r="D235" s="19"/>
      <c r="E235" s="19"/>
      <c r="F235" s="19"/>
      <c r="G235" s="19"/>
      <c r="P235" s="29"/>
      <c r="Q235" s="29"/>
      <c r="Y235" s="29"/>
      <c r="Z235" s="29"/>
      <c r="AA235" s="29"/>
      <c r="AB235" s="29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</row>
    <row r="236" spans="1:62" s="20" customFormat="1" x14ac:dyDescent="0.7">
      <c r="A236" s="17"/>
      <c r="B236" s="19"/>
      <c r="C236" s="19"/>
      <c r="D236" s="19"/>
      <c r="E236" s="19"/>
      <c r="F236" s="19"/>
      <c r="G236" s="19"/>
      <c r="P236" s="29"/>
      <c r="Q236" s="29"/>
      <c r="Y236" s="29"/>
      <c r="Z236" s="29"/>
      <c r="AA236" s="29"/>
      <c r="AB236" s="29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</row>
    <row r="237" spans="1:62" s="20" customFormat="1" x14ac:dyDescent="0.7">
      <c r="A237" s="17"/>
      <c r="B237" s="19"/>
      <c r="C237" s="19"/>
      <c r="D237" s="19"/>
      <c r="E237" s="19"/>
      <c r="F237" s="19"/>
      <c r="G237" s="19"/>
      <c r="P237" s="29"/>
      <c r="Q237" s="29"/>
      <c r="Y237" s="29"/>
      <c r="Z237" s="29"/>
      <c r="AA237" s="29"/>
      <c r="AB237" s="29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</row>
    <row r="238" spans="1:62" s="20" customFormat="1" x14ac:dyDescent="0.7">
      <c r="A238" s="17"/>
      <c r="B238" s="19"/>
      <c r="C238" s="19"/>
      <c r="D238" s="19"/>
      <c r="E238" s="19"/>
      <c r="F238" s="19"/>
      <c r="G238" s="19"/>
      <c r="P238" s="29"/>
      <c r="Q238" s="29"/>
      <c r="Y238" s="29"/>
      <c r="Z238" s="29"/>
      <c r="AA238" s="29"/>
      <c r="AB238" s="29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</row>
    <row r="239" spans="1:62" s="20" customFormat="1" x14ac:dyDescent="0.7">
      <c r="A239" s="17"/>
      <c r="B239" s="19"/>
      <c r="C239" s="19"/>
      <c r="D239" s="19"/>
      <c r="E239" s="19"/>
      <c r="F239" s="19"/>
      <c r="G239" s="19"/>
      <c r="P239" s="29"/>
      <c r="Q239" s="29"/>
      <c r="Y239" s="29"/>
      <c r="Z239" s="29"/>
      <c r="AA239" s="29"/>
      <c r="AB239" s="29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</row>
    <row r="240" spans="1:62" s="20" customFormat="1" x14ac:dyDescent="0.7">
      <c r="A240" s="17"/>
      <c r="B240" s="19"/>
      <c r="C240" s="19"/>
      <c r="D240" s="19"/>
      <c r="E240" s="19"/>
      <c r="F240" s="19"/>
      <c r="G240" s="19"/>
      <c r="P240" s="29"/>
      <c r="Q240" s="29"/>
      <c r="Y240" s="29"/>
      <c r="Z240" s="29"/>
      <c r="AA240" s="29"/>
      <c r="AB240" s="29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</row>
    <row r="241" spans="1:62" s="20" customFormat="1" x14ac:dyDescent="0.7">
      <c r="A241" s="17"/>
      <c r="B241" s="19"/>
      <c r="C241" s="19"/>
      <c r="D241" s="19"/>
      <c r="E241" s="19"/>
      <c r="F241" s="19"/>
      <c r="G241" s="19"/>
      <c r="P241" s="29"/>
      <c r="Q241" s="29"/>
      <c r="Y241" s="29"/>
      <c r="Z241" s="29"/>
      <c r="AA241" s="29"/>
      <c r="AB241" s="29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</row>
    <row r="242" spans="1:62" s="20" customFormat="1" x14ac:dyDescent="0.7">
      <c r="A242" s="17"/>
      <c r="B242" s="19"/>
      <c r="C242" s="19"/>
      <c r="D242" s="19"/>
      <c r="E242" s="19"/>
      <c r="F242" s="19"/>
      <c r="G242" s="19"/>
      <c r="P242" s="29"/>
      <c r="Q242" s="29"/>
      <c r="Y242" s="29"/>
      <c r="Z242" s="29"/>
      <c r="AA242" s="29"/>
      <c r="AB242" s="29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</row>
    <row r="243" spans="1:62" s="20" customFormat="1" x14ac:dyDescent="0.7">
      <c r="A243" s="17"/>
      <c r="B243" s="19"/>
      <c r="C243" s="19"/>
      <c r="D243" s="19"/>
      <c r="E243" s="19"/>
      <c r="F243" s="19"/>
      <c r="G243" s="19"/>
      <c r="P243" s="29"/>
      <c r="Q243" s="29"/>
      <c r="Y243" s="29"/>
      <c r="Z243" s="29"/>
      <c r="AA243" s="29"/>
      <c r="AB243" s="29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</row>
    <row r="244" spans="1:62" s="20" customFormat="1" x14ac:dyDescent="0.7">
      <c r="A244" s="17"/>
      <c r="B244" s="19"/>
      <c r="C244" s="19"/>
      <c r="D244" s="19"/>
      <c r="E244" s="19"/>
      <c r="F244" s="19"/>
      <c r="G244" s="19"/>
      <c r="P244" s="29"/>
      <c r="Q244" s="29"/>
      <c r="Y244" s="29"/>
      <c r="Z244" s="29"/>
      <c r="AA244" s="29"/>
      <c r="AB244" s="29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</row>
    <row r="245" spans="1:62" s="20" customFormat="1" x14ac:dyDescent="0.7">
      <c r="A245" s="17"/>
      <c r="B245" s="19"/>
      <c r="C245" s="19"/>
      <c r="D245" s="19"/>
      <c r="E245" s="19"/>
      <c r="F245" s="19"/>
      <c r="G245" s="19"/>
      <c r="P245" s="29"/>
      <c r="Q245" s="29"/>
      <c r="Y245" s="29"/>
      <c r="Z245" s="29"/>
      <c r="AA245" s="29"/>
      <c r="AB245" s="29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</row>
    <row r="246" spans="1:62" s="20" customFormat="1" x14ac:dyDescent="0.7">
      <c r="A246" s="17"/>
      <c r="B246" s="19"/>
      <c r="C246" s="19"/>
      <c r="D246" s="19"/>
      <c r="E246" s="19"/>
      <c r="F246" s="19"/>
      <c r="G246" s="19"/>
      <c r="P246" s="29"/>
      <c r="Q246" s="29"/>
      <c r="Y246" s="29"/>
      <c r="Z246" s="29"/>
      <c r="AA246" s="29"/>
      <c r="AB246" s="29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</row>
    <row r="247" spans="1:62" s="20" customFormat="1" x14ac:dyDescent="0.7">
      <c r="A247" s="17"/>
      <c r="B247" s="19"/>
      <c r="C247" s="19"/>
      <c r="D247" s="19"/>
      <c r="E247" s="19"/>
      <c r="F247" s="19"/>
      <c r="G247" s="19"/>
      <c r="P247" s="29"/>
      <c r="Q247" s="29"/>
      <c r="Y247" s="29"/>
      <c r="Z247" s="29"/>
      <c r="AA247" s="29"/>
      <c r="AB247" s="29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</row>
    <row r="248" spans="1:62" s="20" customFormat="1" x14ac:dyDescent="0.7">
      <c r="A248" s="17"/>
      <c r="B248" s="19"/>
      <c r="C248" s="19"/>
      <c r="D248" s="19"/>
      <c r="E248" s="19"/>
      <c r="F248" s="19"/>
      <c r="G248" s="19"/>
      <c r="P248" s="29"/>
      <c r="Q248" s="29"/>
      <c r="Y248" s="29"/>
      <c r="Z248" s="29"/>
      <c r="AA248" s="29"/>
      <c r="AB248" s="29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</row>
    <row r="249" spans="1:62" s="20" customFormat="1" x14ac:dyDescent="0.7">
      <c r="A249" s="17"/>
      <c r="B249" s="19"/>
      <c r="C249" s="19"/>
      <c r="D249" s="19"/>
      <c r="E249" s="19"/>
      <c r="F249" s="19"/>
      <c r="G249" s="19"/>
      <c r="P249" s="29"/>
      <c r="Q249" s="29"/>
      <c r="Y249" s="29"/>
      <c r="Z249" s="29"/>
      <c r="AA249" s="29"/>
      <c r="AB249" s="29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</row>
    <row r="250" spans="1:62" s="20" customFormat="1" x14ac:dyDescent="0.7">
      <c r="A250" s="17"/>
      <c r="B250" s="19"/>
      <c r="C250" s="19"/>
      <c r="D250" s="19"/>
      <c r="E250" s="19"/>
      <c r="F250" s="19"/>
      <c r="G250" s="19"/>
      <c r="P250" s="29"/>
      <c r="Q250" s="29"/>
      <c r="Y250" s="29"/>
      <c r="Z250" s="29"/>
      <c r="AA250" s="29"/>
      <c r="AB250" s="29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</row>
    <row r="251" spans="1:62" s="20" customFormat="1" x14ac:dyDescent="0.7">
      <c r="A251" s="17"/>
      <c r="B251" s="19"/>
      <c r="C251" s="19"/>
      <c r="D251" s="19"/>
      <c r="E251" s="19"/>
      <c r="F251" s="19"/>
      <c r="G251" s="19"/>
      <c r="P251" s="29"/>
      <c r="Q251" s="29"/>
      <c r="Y251" s="29"/>
      <c r="Z251" s="29"/>
      <c r="AA251" s="29"/>
      <c r="AB251" s="29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</row>
    <row r="252" spans="1:62" s="20" customFormat="1" x14ac:dyDescent="0.7">
      <c r="A252" s="17"/>
      <c r="B252" s="19"/>
      <c r="C252" s="19"/>
      <c r="D252" s="19"/>
      <c r="E252" s="19"/>
      <c r="F252" s="19"/>
      <c r="G252" s="19"/>
      <c r="P252" s="29"/>
      <c r="Q252" s="29"/>
      <c r="Y252" s="29"/>
      <c r="Z252" s="29"/>
      <c r="AA252" s="29"/>
      <c r="AB252" s="29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</row>
    <row r="253" spans="1:62" s="20" customFormat="1" x14ac:dyDescent="0.7">
      <c r="A253" s="17"/>
      <c r="B253" s="19"/>
      <c r="C253" s="19"/>
      <c r="D253" s="19"/>
      <c r="E253" s="19"/>
      <c r="F253" s="19"/>
      <c r="G253" s="19"/>
      <c r="P253" s="29"/>
      <c r="Q253" s="29"/>
      <c r="Y253" s="29"/>
      <c r="Z253" s="29"/>
      <c r="AA253" s="29"/>
      <c r="AB253" s="29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</row>
    <row r="254" spans="1:62" s="20" customFormat="1" x14ac:dyDescent="0.7">
      <c r="A254" s="17"/>
      <c r="B254" s="19"/>
      <c r="C254" s="19"/>
      <c r="D254" s="19"/>
      <c r="E254" s="19"/>
      <c r="F254" s="19"/>
      <c r="G254" s="19"/>
      <c r="P254" s="29"/>
      <c r="Q254" s="29"/>
      <c r="Y254" s="29"/>
      <c r="Z254" s="29"/>
      <c r="AA254" s="29"/>
      <c r="AB254" s="29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</row>
    <row r="255" spans="1:62" s="20" customFormat="1" x14ac:dyDescent="0.7">
      <c r="A255" s="17"/>
      <c r="B255" s="19"/>
      <c r="C255" s="19"/>
      <c r="D255" s="19"/>
      <c r="E255" s="19"/>
      <c r="F255" s="19"/>
      <c r="G255" s="19"/>
      <c r="P255" s="29"/>
      <c r="Q255" s="29"/>
      <c r="Y255" s="29"/>
      <c r="Z255" s="29"/>
      <c r="AA255" s="29"/>
      <c r="AB255" s="29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</row>
    <row r="256" spans="1:62" s="20" customFormat="1" x14ac:dyDescent="0.7">
      <c r="A256" s="17"/>
      <c r="B256" s="19"/>
      <c r="C256" s="19"/>
      <c r="D256" s="19"/>
      <c r="E256" s="19"/>
      <c r="F256" s="19"/>
      <c r="G256" s="19"/>
      <c r="P256" s="29"/>
      <c r="Q256" s="29"/>
      <c r="Y256" s="29"/>
      <c r="Z256" s="29"/>
      <c r="AA256" s="29"/>
      <c r="AB256" s="29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</row>
    <row r="257" spans="1:62" s="20" customFormat="1" x14ac:dyDescent="0.7">
      <c r="A257" s="17"/>
      <c r="B257" s="19"/>
      <c r="C257" s="19"/>
      <c r="D257" s="19"/>
      <c r="E257" s="19"/>
      <c r="F257" s="19"/>
      <c r="G257" s="19"/>
      <c r="P257" s="29"/>
      <c r="Q257" s="29"/>
      <c r="Y257" s="29"/>
      <c r="Z257" s="29"/>
      <c r="AA257" s="29"/>
      <c r="AB257" s="29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</row>
    <row r="258" spans="1:62" s="20" customFormat="1" x14ac:dyDescent="0.7">
      <c r="A258" s="17"/>
      <c r="B258" s="19"/>
      <c r="C258" s="19"/>
      <c r="D258" s="19"/>
      <c r="E258" s="19"/>
      <c r="F258" s="19"/>
      <c r="G258" s="19"/>
      <c r="P258" s="29"/>
      <c r="Q258" s="29"/>
      <c r="Y258" s="29"/>
      <c r="Z258" s="29"/>
      <c r="AA258" s="29"/>
      <c r="AB258" s="29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</row>
    <row r="259" spans="1:62" s="20" customFormat="1" x14ac:dyDescent="0.7">
      <c r="A259" s="17"/>
      <c r="B259" s="19"/>
      <c r="C259" s="19"/>
      <c r="D259" s="19"/>
      <c r="E259" s="19"/>
      <c r="F259" s="19"/>
      <c r="G259" s="19"/>
      <c r="P259" s="29"/>
      <c r="Q259" s="29"/>
      <c r="Y259" s="29"/>
      <c r="Z259" s="29"/>
      <c r="AA259" s="29"/>
      <c r="AB259" s="29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</row>
    <row r="260" spans="1:62" s="20" customFormat="1" x14ac:dyDescent="0.7">
      <c r="A260" s="17"/>
      <c r="B260" s="19"/>
      <c r="C260" s="19"/>
      <c r="D260" s="19"/>
      <c r="E260" s="19"/>
      <c r="F260" s="19"/>
      <c r="G260" s="19"/>
      <c r="P260" s="29"/>
      <c r="Q260" s="29"/>
      <c r="Y260" s="29"/>
      <c r="Z260" s="29"/>
      <c r="AA260" s="29"/>
      <c r="AB260" s="29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</row>
    <row r="261" spans="1:62" s="20" customFormat="1" x14ac:dyDescent="0.7">
      <c r="A261" s="17"/>
      <c r="B261" s="19"/>
      <c r="C261" s="19"/>
      <c r="D261" s="19"/>
      <c r="E261" s="19"/>
      <c r="F261" s="19"/>
      <c r="G261" s="19"/>
      <c r="P261" s="29"/>
      <c r="Q261" s="29"/>
      <c r="Y261" s="29"/>
      <c r="Z261" s="29"/>
      <c r="AA261" s="29"/>
      <c r="AB261" s="29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</row>
    <row r="262" spans="1:62" s="20" customFormat="1" x14ac:dyDescent="0.7">
      <c r="A262" s="17"/>
      <c r="B262" s="19"/>
      <c r="C262" s="19"/>
      <c r="D262" s="19"/>
      <c r="E262" s="19"/>
      <c r="F262" s="19"/>
      <c r="G262" s="19"/>
      <c r="P262" s="29"/>
      <c r="Q262" s="29"/>
      <c r="Y262" s="29"/>
      <c r="Z262" s="29"/>
      <c r="AA262" s="29"/>
      <c r="AB262" s="29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</row>
    <row r="263" spans="1:62" s="20" customFormat="1" x14ac:dyDescent="0.7">
      <c r="A263" s="17"/>
      <c r="B263" s="19"/>
      <c r="C263" s="19"/>
      <c r="D263" s="19"/>
      <c r="E263" s="19"/>
      <c r="F263" s="19"/>
      <c r="G263" s="19"/>
      <c r="P263" s="29"/>
      <c r="Q263" s="29"/>
      <c r="Y263" s="29"/>
      <c r="Z263" s="29"/>
      <c r="AA263" s="29"/>
      <c r="AB263" s="29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</row>
    <row r="264" spans="1:62" s="20" customFormat="1" x14ac:dyDescent="0.7">
      <c r="A264" s="17"/>
      <c r="B264" s="19"/>
      <c r="C264" s="19"/>
      <c r="D264" s="19"/>
      <c r="E264" s="19"/>
      <c r="F264" s="19"/>
      <c r="G264" s="19"/>
      <c r="P264" s="29"/>
      <c r="Q264" s="29"/>
      <c r="Y264" s="29"/>
      <c r="Z264" s="29"/>
      <c r="AA264" s="29"/>
      <c r="AB264" s="29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</row>
    <row r="265" spans="1:62" s="20" customFormat="1" x14ac:dyDescent="0.7">
      <c r="A265" s="17"/>
      <c r="B265" s="19"/>
      <c r="C265" s="19"/>
      <c r="D265" s="19"/>
      <c r="E265" s="19"/>
      <c r="F265" s="19"/>
      <c r="G265" s="19"/>
      <c r="P265" s="29"/>
      <c r="Q265" s="29"/>
      <c r="Y265" s="29"/>
      <c r="Z265" s="29"/>
      <c r="AA265" s="29"/>
      <c r="AB265" s="29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</row>
    <row r="266" spans="1:62" s="20" customFormat="1" x14ac:dyDescent="0.7">
      <c r="A266" s="17"/>
      <c r="B266" s="19"/>
      <c r="C266" s="19"/>
      <c r="D266" s="19"/>
      <c r="E266" s="19"/>
      <c r="F266" s="19"/>
      <c r="G266" s="19"/>
      <c r="P266" s="29"/>
      <c r="Q266" s="29"/>
      <c r="Y266" s="29"/>
      <c r="Z266" s="29"/>
      <c r="AA266" s="29"/>
      <c r="AB266" s="29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</row>
    <row r="267" spans="1:62" s="20" customFormat="1" x14ac:dyDescent="0.7">
      <c r="A267" s="17"/>
      <c r="B267" s="19"/>
      <c r="C267" s="19"/>
      <c r="D267" s="19"/>
      <c r="E267" s="19"/>
      <c r="F267" s="19"/>
      <c r="G267" s="19"/>
      <c r="P267" s="29"/>
      <c r="Q267" s="29"/>
      <c r="Y267" s="29"/>
      <c r="Z267" s="29"/>
      <c r="AA267" s="29"/>
      <c r="AB267" s="29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</row>
    <row r="268" spans="1:62" s="20" customFormat="1" x14ac:dyDescent="0.7">
      <c r="A268" s="17"/>
      <c r="B268" s="19"/>
      <c r="C268" s="19"/>
      <c r="D268" s="19"/>
      <c r="E268" s="19"/>
      <c r="F268" s="19"/>
      <c r="G268" s="19"/>
      <c r="P268" s="29"/>
      <c r="Q268" s="29"/>
      <c r="Y268" s="29"/>
      <c r="Z268" s="29"/>
      <c r="AA268" s="29"/>
      <c r="AB268" s="29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</row>
    <row r="269" spans="1:62" s="20" customFormat="1" x14ac:dyDescent="0.7">
      <c r="A269" s="17"/>
      <c r="B269" s="19"/>
      <c r="C269" s="19"/>
      <c r="D269" s="19"/>
      <c r="E269" s="19"/>
      <c r="F269" s="19"/>
      <c r="G269" s="19"/>
      <c r="P269" s="29"/>
      <c r="Q269" s="29"/>
      <c r="Y269" s="29"/>
      <c r="Z269" s="29"/>
      <c r="AA269" s="29"/>
      <c r="AB269" s="29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</row>
    <row r="270" spans="1:62" s="20" customFormat="1" x14ac:dyDescent="0.7">
      <c r="A270" s="17"/>
      <c r="B270" s="19"/>
      <c r="C270" s="19"/>
      <c r="D270" s="19"/>
      <c r="E270" s="19"/>
      <c r="F270" s="19"/>
      <c r="G270" s="19"/>
      <c r="P270" s="29"/>
      <c r="Q270" s="29"/>
      <c r="Y270" s="29"/>
      <c r="Z270" s="29"/>
      <c r="AA270" s="29"/>
      <c r="AB270" s="29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</row>
    <row r="271" spans="1:62" s="20" customFormat="1" x14ac:dyDescent="0.7">
      <c r="A271" s="17"/>
      <c r="B271" s="19"/>
      <c r="C271" s="19"/>
      <c r="D271" s="19"/>
      <c r="E271" s="19"/>
      <c r="F271" s="19"/>
      <c r="G271" s="19"/>
      <c r="P271" s="29"/>
      <c r="Q271" s="29"/>
      <c r="Y271" s="29"/>
      <c r="Z271" s="29"/>
      <c r="AA271" s="29"/>
      <c r="AB271" s="29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</row>
    <row r="272" spans="1:62" s="20" customFormat="1" x14ac:dyDescent="0.7">
      <c r="A272" s="17"/>
      <c r="B272" s="19"/>
      <c r="C272" s="19"/>
      <c r="D272" s="19"/>
      <c r="E272" s="19"/>
      <c r="F272" s="19"/>
      <c r="G272" s="19"/>
      <c r="P272" s="29"/>
      <c r="Q272" s="29"/>
      <c r="Y272" s="29"/>
      <c r="Z272" s="29"/>
      <c r="AA272" s="29"/>
      <c r="AB272" s="29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</row>
    <row r="273" spans="1:62" s="20" customFormat="1" x14ac:dyDescent="0.7">
      <c r="A273" s="17"/>
      <c r="B273" s="19"/>
      <c r="C273" s="19"/>
      <c r="D273" s="19"/>
      <c r="E273" s="19"/>
      <c r="F273" s="19"/>
      <c r="G273" s="19"/>
      <c r="P273" s="29"/>
      <c r="Q273" s="29"/>
      <c r="Y273" s="29"/>
      <c r="Z273" s="29"/>
      <c r="AA273" s="29"/>
      <c r="AB273" s="29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</row>
    <row r="274" spans="1:62" s="20" customFormat="1" x14ac:dyDescent="0.7">
      <c r="A274" s="17"/>
      <c r="B274" s="19"/>
      <c r="C274" s="19"/>
      <c r="D274" s="19"/>
      <c r="E274" s="19"/>
      <c r="F274" s="19"/>
      <c r="G274" s="19"/>
      <c r="P274" s="29"/>
      <c r="Q274" s="29"/>
      <c r="Y274" s="29"/>
      <c r="Z274" s="29"/>
      <c r="AA274" s="29"/>
      <c r="AB274" s="29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</row>
    <row r="275" spans="1:62" s="20" customFormat="1" x14ac:dyDescent="0.7">
      <c r="A275" s="17"/>
      <c r="B275" s="19"/>
      <c r="C275" s="19"/>
      <c r="D275" s="19"/>
      <c r="E275" s="19"/>
      <c r="F275" s="19"/>
      <c r="G275" s="19"/>
      <c r="P275" s="29"/>
      <c r="Q275" s="29"/>
      <c r="Y275" s="29"/>
      <c r="Z275" s="29"/>
      <c r="AA275" s="29"/>
      <c r="AB275" s="29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</row>
    <row r="276" spans="1:62" s="20" customFormat="1" x14ac:dyDescent="0.7">
      <c r="A276" s="17"/>
      <c r="B276" s="19"/>
      <c r="C276" s="19"/>
      <c r="D276" s="19"/>
      <c r="E276" s="19"/>
      <c r="F276" s="19"/>
      <c r="G276" s="19"/>
      <c r="P276" s="29"/>
      <c r="Q276" s="29"/>
      <c r="Y276" s="29"/>
      <c r="Z276" s="29"/>
      <c r="AA276" s="29"/>
      <c r="AB276" s="29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</row>
    <row r="277" spans="1:62" s="20" customFormat="1" x14ac:dyDescent="0.7">
      <c r="A277" s="17"/>
      <c r="B277" s="19"/>
      <c r="C277" s="19"/>
      <c r="D277" s="19"/>
      <c r="E277" s="19"/>
      <c r="F277" s="19"/>
      <c r="G277" s="19"/>
      <c r="P277" s="29"/>
      <c r="Q277" s="29"/>
      <c r="Y277" s="29"/>
      <c r="Z277" s="29"/>
      <c r="AA277" s="29"/>
      <c r="AB277" s="29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</row>
    <row r="278" spans="1:62" s="20" customFormat="1" x14ac:dyDescent="0.7">
      <c r="A278" s="17"/>
      <c r="B278" s="19"/>
      <c r="C278" s="19"/>
      <c r="D278" s="19"/>
      <c r="E278" s="19"/>
      <c r="F278" s="19"/>
      <c r="G278" s="19"/>
      <c r="P278" s="29"/>
      <c r="Q278" s="29"/>
      <c r="Y278" s="29"/>
      <c r="Z278" s="29"/>
      <c r="AA278" s="29"/>
      <c r="AB278" s="29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</row>
    <row r="279" spans="1:62" s="20" customFormat="1" x14ac:dyDescent="0.7">
      <c r="A279" s="17"/>
      <c r="B279" s="19"/>
      <c r="C279" s="19"/>
      <c r="D279" s="19"/>
      <c r="E279" s="19"/>
      <c r="F279" s="19"/>
      <c r="G279" s="19"/>
      <c r="P279" s="29"/>
      <c r="Q279" s="29"/>
      <c r="Y279" s="29"/>
      <c r="Z279" s="29"/>
      <c r="AA279" s="29"/>
      <c r="AB279" s="29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</row>
    <row r="280" spans="1:62" s="20" customFormat="1" x14ac:dyDescent="0.7">
      <c r="A280" s="17"/>
      <c r="B280" s="19"/>
      <c r="C280" s="19"/>
      <c r="D280" s="19"/>
      <c r="E280" s="19"/>
      <c r="F280" s="19"/>
      <c r="G280" s="19"/>
      <c r="P280" s="29"/>
      <c r="Q280" s="29"/>
      <c r="Y280" s="29"/>
      <c r="Z280" s="29"/>
      <c r="AA280" s="29"/>
      <c r="AB280" s="29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</row>
    <row r="281" spans="1:62" s="20" customFormat="1" x14ac:dyDescent="0.7">
      <c r="A281" s="17"/>
      <c r="B281" s="19"/>
      <c r="C281" s="19"/>
      <c r="D281" s="19"/>
      <c r="E281" s="19"/>
      <c r="F281" s="19"/>
      <c r="G281" s="19"/>
      <c r="P281" s="29"/>
      <c r="Q281" s="29"/>
      <c r="Y281" s="29"/>
      <c r="Z281" s="29"/>
      <c r="AA281" s="29"/>
      <c r="AB281" s="29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</row>
    <row r="282" spans="1:62" s="20" customFormat="1" x14ac:dyDescent="0.7">
      <c r="A282" s="17"/>
      <c r="B282" s="19"/>
      <c r="C282" s="19"/>
      <c r="D282" s="19"/>
      <c r="E282" s="19"/>
      <c r="F282" s="19"/>
      <c r="G282" s="19"/>
      <c r="P282" s="29"/>
      <c r="Q282" s="29"/>
      <c r="Y282" s="29"/>
      <c r="Z282" s="29"/>
      <c r="AA282" s="29"/>
      <c r="AB282" s="29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</row>
    <row r="283" spans="1:62" s="20" customFormat="1" x14ac:dyDescent="0.7">
      <c r="A283" s="17"/>
      <c r="B283" s="19"/>
      <c r="C283" s="19"/>
      <c r="D283" s="19"/>
      <c r="E283" s="19"/>
      <c r="F283" s="19"/>
      <c r="G283" s="19"/>
      <c r="P283" s="29"/>
      <c r="Q283" s="29"/>
      <c r="Y283" s="29"/>
      <c r="Z283" s="29"/>
      <c r="AA283" s="29"/>
      <c r="AB283" s="29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</row>
    <row r="284" spans="1:62" s="20" customFormat="1" x14ac:dyDescent="0.7">
      <c r="A284" s="17"/>
      <c r="B284" s="19"/>
      <c r="C284" s="19"/>
      <c r="D284" s="19"/>
      <c r="E284" s="19"/>
      <c r="F284" s="19"/>
      <c r="G284" s="19"/>
      <c r="P284" s="29"/>
      <c r="Q284" s="29"/>
      <c r="Y284" s="29"/>
      <c r="Z284" s="29"/>
      <c r="AA284" s="29"/>
      <c r="AB284" s="29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</row>
    <row r="285" spans="1:62" s="20" customFormat="1" x14ac:dyDescent="0.7">
      <c r="A285" s="17"/>
      <c r="B285" s="19"/>
      <c r="C285" s="19"/>
      <c r="D285" s="19"/>
      <c r="E285" s="19"/>
      <c r="F285" s="19"/>
      <c r="G285" s="19"/>
      <c r="P285" s="29"/>
      <c r="Q285" s="29"/>
      <c r="Y285" s="29"/>
      <c r="Z285" s="29"/>
      <c r="AA285" s="29"/>
      <c r="AB285" s="29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</row>
    <row r="286" spans="1:62" s="20" customFormat="1" x14ac:dyDescent="0.7">
      <c r="A286" s="17"/>
      <c r="B286" s="19"/>
      <c r="C286" s="19"/>
      <c r="D286" s="19"/>
      <c r="E286" s="19"/>
      <c r="F286" s="19"/>
      <c r="G286" s="19"/>
      <c r="P286" s="29"/>
      <c r="Q286" s="29"/>
      <c r="Y286" s="29"/>
      <c r="Z286" s="29"/>
      <c r="AA286" s="29"/>
      <c r="AB286" s="29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</row>
    <row r="287" spans="1:62" s="20" customFormat="1" x14ac:dyDescent="0.7">
      <c r="A287" s="17"/>
      <c r="B287" s="19"/>
      <c r="C287" s="19"/>
      <c r="D287" s="19"/>
      <c r="E287" s="19"/>
      <c r="F287" s="19"/>
      <c r="G287" s="19"/>
      <c r="P287" s="29"/>
      <c r="Q287" s="29"/>
      <c r="Y287" s="29"/>
      <c r="Z287" s="29"/>
      <c r="AA287" s="29"/>
      <c r="AB287" s="29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</row>
    <row r="288" spans="1:62" s="20" customFormat="1" x14ac:dyDescent="0.7">
      <c r="A288" s="17"/>
      <c r="B288" s="19"/>
      <c r="C288" s="19"/>
      <c r="D288" s="19"/>
      <c r="E288" s="19"/>
      <c r="F288" s="19"/>
      <c r="G288" s="19"/>
      <c r="P288" s="29"/>
      <c r="Q288" s="29"/>
      <c r="Y288" s="29"/>
      <c r="Z288" s="29"/>
      <c r="AA288" s="29"/>
      <c r="AB288" s="29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</row>
    <row r="289" spans="1:62" s="20" customFormat="1" x14ac:dyDescent="0.7">
      <c r="A289" s="17"/>
      <c r="B289" s="19"/>
      <c r="C289" s="19"/>
      <c r="D289" s="19"/>
      <c r="E289" s="19"/>
      <c r="F289" s="19"/>
      <c r="G289" s="19"/>
      <c r="P289" s="29"/>
      <c r="Q289" s="29"/>
      <c r="Y289" s="29"/>
      <c r="Z289" s="29"/>
      <c r="AA289" s="29"/>
      <c r="AB289" s="29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</row>
    <row r="290" spans="1:62" s="20" customFormat="1" x14ac:dyDescent="0.7">
      <c r="A290" s="17"/>
      <c r="B290" s="19"/>
      <c r="C290" s="19"/>
      <c r="D290" s="19"/>
      <c r="E290" s="19"/>
      <c r="F290" s="19"/>
      <c r="G290" s="19"/>
      <c r="P290" s="29"/>
      <c r="Q290" s="29"/>
      <c r="Y290" s="29"/>
      <c r="Z290" s="29"/>
      <c r="AA290" s="29"/>
      <c r="AB290" s="29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</row>
    <row r="291" spans="1:62" s="20" customFormat="1" x14ac:dyDescent="0.7">
      <c r="A291" s="17"/>
      <c r="B291" s="19"/>
      <c r="C291" s="19"/>
      <c r="D291" s="19"/>
      <c r="E291" s="19"/>
      <c r="F291" s="19"/>
      <c r="G291" s="19"/>
      <c r="P291" s="29"/>
      <c r="Q291" s="29"/>
      <c r="Y291" s="29"/>
      <c r="Z291" s="29"/>
      <c r="AA291" s="29"/>
      <c r="AB291" s="29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</row>
    <row r="292" spans="1:62" s="20" customFormat="1" x14ac:dyDescent="0.7">
      <c r="A292" s="17"/>
      <c r="B292" s="19"/>
      <c r="C292" s="19"/>
      <c r="D292" s="19"/>
      <c r="E292" s="19"/>
      <c r="F292" s="19"/>
      <c r="G292" s="19"/>
      <c r="P292" s="29"/>
      <c r="Q292" s="29"/>
      <c r="Y292" s="29"/>
      <c r="Z292" s="29"/>
      <c r="AA292" s="29"/>
      <c r="AB292" s="29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</row>
    <row r="293" spans="1:62" s="20" customFormat="1" x14ac:dyDescent="0.7">
      <c r="A293" s="17"/>
      <c r="B293" s="19"/>
      <c r="C293" s="19"/>
      <c r="D293" s="19"/>
      <c r="E293" s="19"/>
      <c r="F293" s="19"/>
      <c r="G293" s="19"/>
      <c r="P293" s="29"/>
      <c r="Q293" s="29"/>
      <c r="Y293" s="29"/>
      <c r="Z293" s="29"/>
      <c r="AA293" s="29"/>
      <c r="AB293" s="29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</row>
    <row r="294" spans="1:62" s="20" customFormat="1" x14ac:dyDescent="0.7">
      <c r="A294" s="17"/>
      <c r="B294" s="19"/>
      <c r="C294" s="19"/>
      <c r="D294" s="19"/>
      <c r="E294" s="19"/>
      <c r="F294" s="19"/>
      <c r="G294" s="19"/>
      <c r="P294" s="29"/>
      <c r="Q294" s="29"/>
      <c r="Y294" s="29"/>
      <c r="Z294" s="29"/>
      <c r="AA294" s="29"/>
      <c r="AB294" s="29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</row>
    <row r="295" spans="1:62" s="20" customFormat="1" x14ac:dyDescent="0.7">
      <c r="A295" s="17"/>
      <c r="B295" s="19"/>
      <c r="C295" s="19"/>
      <c r="D295" s="19"/>
      <c r="E295" s="19"/>
      <c r="F295" s="19"/>
      <c r="G295" s="19"/>
      <c r="P295" s="29"/>
      <c r="Q295" s="29"/>
      <c r="Y295" s="29"/>
      <c r="Z295" s="29"/>
      <c r="AA295" s="29"/>
      <c r="AB295" s="29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</row>
    <row r="296" spans="1:62" s="20" customFormat="1" x14ac:dyDescent="0.7">
      <c r="A296" s="17"/>
      <c r="B296" s="19"/>
      <c r="C296" s="19"/>
      <c r="D296" s="19"/>
      <c r="E296" s="19"/>
      <c r="F296" s="19"/>
      <c r="G296" s="19"/>
      <c r="P296" s="29"/>
      <c r="Q296" s="29"/>
      <c r="Y296" s="29"/>
      <c r="Z296" s="29"/>
      <c r="AA296" s="29"/>
      <c r="AB296" s="29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</row>
    <row r="297" spans="1:62" s="20" customFormat="1" x14ac:dyDescent="0.7">
      <c r="A297" s="17"/>
      <c r="B297" s="19"/>
      <c r="C297" s="19"/>
      <c r="D297" s="19"/>
      <c r="E297" s="19"/>
      <c r="F297" s="19"/>
      <c r="G297" s="19"/>
      <c r="P297" s="29"/>
      <c r="Q297" s="29"/>
      <c r="Y297" s="29"/>
      <c r="Z297" s="29"/>
      <c r="AA297" s="29"/>
      <c r="AB297" s="29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</row>
    <row r="298" spans="1:62" s="20" customFormat="1" x14ac:dyDescent="0.7">
      <c r="A298" s="17"/>
      <c r="B298" s="19"/>
      <c r="C298" s="19"/>
      <c r="D298" s="19"/>
      <c r="E298" s="19"/>
      <c r="F298" s="19"/>
      <c r="G298" s="19"/>
      <c r="P298" s="29"/>
      <c r="Q298" s="29"/>
      <c r="Y298" s="29"/>
      <c r="Z298" s="29"/>
      <c r="AA298" s="29"/>
      <c r="AB298" s="29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</row>
    <row r="299" spans="1:62" s="20" customFormat="1" x14ac:dyDescent="0.7">
      <c r="A299" s="17"/>
      <c r="B299" s="19"/>
      <c r="C299" s="19"/>
      <c r="D299" s="19"/>
      <c r="E299" s="19"/>
      <c r="F299" s="19"/>
      <c r="G299" s="19"/>
      <c r="P299" s="29"/>
      <c r="Q299" s="29"/>
      <c r="Y299" s="29"/>
      <c r="Z299" s="29"/>
      <c r="AA299" s="29"/>
      <c r="AB299" s="29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</row>
    <row r="300" spans="1:62" s="20" customFormat="1" x14ac:dyDescent="0.7">
      <c r="A300" s="17"/>
      <c r="B300" s="19"/>
      <c r="C300" s="19"/>
      <c r="D300" s="19"/>
      <c r="E300" s="19"/>
      <c r="F300" s="19"/>
      <c r="G300" s="19"/>
      <c r="P300" s="29"/>
      <c r="Q300" s="29"/>
      <c r="Y300" s="29"/>
      <c r="Z300" s="29"/>
      <c r="AA300" s="29"/>
      <c r="AB300" s="29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</row>
    <row r="301" spans="1:62" s="20" customFormat="1" x14ac:dyDescent="0.7">
      <c r="A301" s="17"/>
      <c r="B301" s="19"/>
      <c r="C301" s="19"/>
      <c r="D301" s="19"/>
      <c r="E301" s="19"/>
      <c r="F301" s="19"/>
      <c r="G301" s="19"/>
      <c r="P301" s="29"/>
      <c r="Q301" s="29"/>
      <c r="Y301" s="29"/>
      <c r="Z301" s="29"/>
      <c r="AA301" s="29"/>
      <c r="AB301" s="29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</row>
    <row r="302" spans="1:62" s="20" customFormat="1" x14ac:dyDescent="0.7">
      <c r="A302" s="17"/>
      <c r="B302" s="19"/>
      <c r="C302" s="19"/>
      <c r="D302" s="19"/>
      <c r="E302" s="19"/>
      <c r="F302" s="19"/>
      <c r="G302" s="19"/>
      <c r="P302" s="29"/>
      <c r="Q302" s="29"/>
      <c r="Y302" s="29"/>
      <c r="Z302" s="29"/>
      <c r="AA302" s="29"/>
      <c r="AB302" s="29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</row>
    <row r="303" spans="1:62" s="20" customFormat="1" x14ac:dyDescent="0.7">
      <c r="A303" s="17"/>
      <c r="B303" s="19"/>
      <c r="C303" s="19"/>
      <c r="D303" s="19"/>
      <c r="E303" s="19"/>
      <c r="F303" s="19"/>
      <c r="G303" s="19"/>
      <c r="P303" s="29"/>
      <c r="Q303" s="29"/>
      <c r="Y303" s="29"/>
      <c r="Z303" s="29"/>
      <c r="AA303" s="29"/>
      <c r="AB303" s="29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</row>
    <row r="304" spans="1:62" s="20" customFormat="1" x14ac:dyDescent="0.7">
      <c r="A304" s="17"/>
      <c r="B304" s="19"/>
      <c r="C304" s="19"/>
      <c r="D304" s="19"/>
      <c r="E304" s="19"/>
      <c r="F304" s="19"/>
      <c r="G304" s="19"/>
      <c r="P304" s="29"/>
      <c r="Q304" s="29"/>
      <c r="Y304" s="29"/>
      <c r="Z304" s="29"/>
      <c r="AA304" s="29"/>
      <c r="AB304" s="29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</row>
    <row r="305" spans="1:62" s="20" customFormat="1" x14ac:dyDescent="0.7">
      <c r="A305" s="17"/>
      <c r="B305" s="19"/>
      <c r="C305" s="19"/>
      <c r="D305" s="19"/>
      <c r="E305" s="19"/>
      <c r="F305" s="19"/>
      <c r="G305" s="19"/>
      <c r="P305" s="29"/>
      <c r="Q305" s="29"/>
      <c r="Y305" s="29"/>
      <c r="Z305" s="29"/>
      <c r="AA305" s="29"/>
      <c r="AB305" s="29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</row>
    <row r="306" spans="1:62" s="20" customFormat="1" x14ac:dyDescent="0.7">
      <c r="A306" s="17"/>
      <c r="B306" s="19"/>
      <c r="C306" s="19"/>
      <c r="D306" s="19"/>
      <c r="E306" s="19"/>
      <c r="F306" s="19"/>
      <c r="G306" s="19"/>
      <c r="P306" s="29"/>
      <c r="Q306" s="29"/>
      <c r="Y306" s="29"/>
      <c r="Z306" s="29"/>
      <c r="AA306" s="29"/>
      <c r="AB306" s="29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</row>
    <row r="307" spans="1:62" s="20" customFormat="1" x14ac:dyDescent="0.7">
      <c r="A307" s="17"/>
      <c r="B307" s="19"/>
      <c r="C307" s="19"/>
      <c r="D307" s="19"/>
      <c r="E307" s="19"/>
      <c r="F307" s="19"/>
      <c r="G307" s="19"/>
      <c r="P307" s="29"/>
      <c r="Q307" s="29"/>
      <c r="Y307" s="29"/>
      <c r="Z307" s="29"/>
      <c r="AA307" s="29"/>
      <c r="AB307" s="29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</row>
    <row r="308" spans="1:62" s="20" customFormat="1" x14ac:dyDescent="0.7">
      <c r="A308" s="17"/>
      <c r="B308" s="19"/>
      <c r="C308" s="19"/>
      <c r="D308" s="19"/>
      <c r="E308" s="19"/>
      <c r="F308" s="19"/>
      <c r="G308" s="19"/>
      <c r="P308" s="29"/>
      <c r="Q308" s="29"/>
      <c r="Y308" s="29"/>
      <c r="Z308" s="29"/>
      <c r="AA308" s="29"/>
      <c r="AB308" s="29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</row>
    <row r="309" spans="1:62" s="20" customFormat="1" x14ac:dyDescent="0.7">
      <c r="A309" s="17"/>
      <c r="B309" s="19"/>
      <c r="C309" s="19"/>
      <c r="D309" s="19"/>
      <c r="E309" s="19"/>
      <c r="F309" s="19"/>
      <c r="G309" s="19"/>
      <c r="P309" s="29"/>
      <c r="Q309" s="29"/>
      <c r="Y309" s="29"/>
      <c r="Z309" s="29"/>
      <c r="AA309" s="29"/>
      <c r="AB309" s="29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</row>
    <row r="310" spans="1:62" s="20" customFormat="1" x14ac:dyDescent="0.7">
      <c r="A310" s="17"/>
      <c r="B310" s="19"/>
      <c r="C310" s="19"/>
      <c r="D310" s="19"/>
      <c r="E310" s="19"/>
      <c r="F310" s="19"/>
      <c r="G310" s="19"/>
      <c r="P310" s="29"/>
      <c r="Q310" s="29"/>
      <c r="Y310" s="29"/>
      <c r="Z310" s="29"/>
      <c r="AA310" s="29"/>
      <c r="AB310" s="29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</row>
    <row r="311" spans="1:62" s="20" customFormat="1" x14ac:dyDescent="0.7">
      <c r="A311" s="17"/>
      <c r="B311" s="19"/>
      <c r="C311" s="19"/>
      <c r="D311" s="19"/>
      <c r="E311" s="19"/>
      <c r="F311" s="19"/>
      <c r="G311" s="19"/>
      <c r="P311" s="29"/>
      <c r="Q311" s="29"/>
      <c r="Y311" s="29"/>
      <c r="Z311" s="29"/>
      <c r="AA311" s="29"/>
      <c r="AB311" s="29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</row>
    <row r="312" spans="1:62" s="20" customFormat="1" x14ac:dyDescent="0.7">
      <c r="A312" s="17"/>
      <c r="B312" s="19"/>
      <c r="C312" s="19"/>
      <c r="D312" s="19"/>
      <c r="E312" s="19"/>
      <c r="F312" s="19"/>
      <c r="G312" s="19"/>
      <c r="P312" s="29"/>
      <c r="Q312" s="29"/>
      <c r="Y312" s="29"/>
      <c r="Z312" s="29"/>
      <c r="AA312" s="29"/>
      <c r="AB312" s="29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</row>
    <row r="313" spans="1:62" s="20" customFormat="1" x14ac:dyDescent="0.7">
      <c r="A313" s="17"/>
      <c r="B313" s="19"/>
      <c r="C313" s="19"/>
      <c r="D313" s="19"/>
      <c r="E313" s="19"/>
      <c r="F313" s="19"/>
      <c r="G313" s="19"/>
      <c r="P313" s="29"/>
      <c r="Q313" s="29"/>
      <c r="Y313" s="29"/>
      <c r="Z313" s="29"/>
      <c r="AA313" s="29"/>
      <c r="AB313" s="29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</row>
    <row r="314" spans="1:62" s="20" customFormat="1" x14ac:dyDescent="0.7">
      <c r="A314" s="17"/>
      <c r="B314" s="19"/>
      <c r="C314" s="19"/>
      <c r="D314" s="19"/>
      <c r="E314" s="19"/>
      <c r="F314" s="19"/>
      <c r="G314" s="19"/>
      <c r="P314" s="29"/>
      <c r="Q314" s="29"/>
      <c r="Y314" s="29"/>
      <c r="Z314" s="29"/>
      <c r="AA314" s="29"/>
      <c r="AB314" s="29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</row>
    <row r="315" spans="1:62" s="20" customFormat="1" x14ac:dyDescent="0.7">
      <c r="A315" s="17"/>
      <c r="B315" s="19"/>
      <c r="C315" s="19"/>
      <c r="D315" s="19"/>
      <c r="E315" s="19"/>
      <c r="F315" s="19"/>
      <c r="G315" s="19"/>
      <c r="P315" s="29"/>
      <c r="Q315" s="29"/>
      <c r="Y315" s="29"/>
      <c r="Z315" s="29"/>
      <c r="AA315" s="29"/>
      <c r="AB315" s="29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</row>
    <row r="316" spans="1:62" s="20" customFormat="1" x14ac:dyDescent="0.7">
      <c r="A316" s="17"/>
      <c r="B316" s="19"/>
      <c r="C316" s="19"/>
      <c r="D316" s="19"/>
      <c r="E316" s="19"/>
      <c r="F316" s="19"/>
      <c r="G316" s="19"/>
      <c r="P316" s="29"/>
      <c r="Q316" s="29"/>
      <c r="Y316" s="29"/>
      <c r="Z316" s="29"/>
      <c r="AA316" s="29"/>
      <c r="AB316" s="29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</row>
    <row r="317" spans="1:62" s="20" customFormat="1" x14ac:dyDescent="0.7">
      <c r="A317" s="17"/>
      <c r="B317" s="19"/>
      <c r="C317" s="19"/>
      <c r="D317" s="19"/>
      <c r="E317" s="19"/>
      <c r="F317" s="19"/>
      <c r="G317" s="19"/>
      <c r="P317" s="29"/>
      <c r="Q317" s="29"/>
      <c r="Y317" s="29"/>
      <c r="Z317" s="29"/>
      <c r="AA317" s="29"/>
      <c r="AB317" s="29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</row>
    <row r="318" spans="1:62" s="20" customFormat="1" x14ac:dyDescent="0.7">
      <c r="A318" s="17"/>
      <c r="B318" s="19"/>
      <c r="C318" s="19"/>
      <c r="D318" s="19"/>
      <c r="E318" s="19"/>
      <c r="F318" s="19"/>
      <c r="G318" s="19"/>
      <c r="P318" s="29"/>
      <c r="Q318" s="29"/>
      <c r="Y318" s="29"/>
      <c r="Z318" s="29"/>
      <c r="AA318" s="29"/>
      <c r="AB318" s="29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</row>
    <row r="319" spans="1:62" s="20" customFormat="1" x14ac:dyDescent="0.7">
      <c r="A319" s="17"/>
      <c r="B319" s="19"/>
      <c r="C319" s="19"/>
      <c r="D319" s="19"/>
      <c r="E319" s="19"/>
      <c r="F319" s="19"/>
      <c r="G319" s="19"/>
      <c r="P319" s="29"/>
      <c r="Q319" s="29"/>
      <c r="Y319" s="29"/>
      <c r="Z319" s="29"/>
      <c r="AA319" s="29"/>
      <c r="AB319" s="29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</row>
    <row r="320" spans="1:62" s="20" customFormat="1" x14ac:dyDescent="0.7">
      <c r="A320" s="17"/>
      <c r="B320" s="19"/>
      <c r="C320" s="19"/>
      <c r="D320" s="19"/>
      <c r="E320" s="19"/>
      <c r="F320" s="19"/>
      <c r="G320" s="19"/>
      <c r="P320" s="29"/>
      <c r="Q320" s="29"/>
      <c r="Y320" s="29"/>
      <c r="Z320" s="29"/>
      <c r="AA320" s="29"/>
      <c r="AB320" s="29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</row>
    <row r="321" spans="1:62" s="20" customFormat="1" x14ac:dyDescent="0.7">
      <c r="A321" s="17"/>
      <c r="B321" s="19"/>
      <c r="C321" s="19"/>
      <c r="D321" s="19"/>
      <c r="E321" s="19"/>
      <c r="F321" s="19"/>
      <c r="G321" s="19"/>
      <c r="P321" s="29"/>
      <c r="Q321" s="29"/>
      <c r="Y321" s="29"/>
      <c r="Z321" s="29"/>
      <c r="AA321" s="29"/>
      <c r="AB321" s="29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</row>
    <row r="322" spans="1:62" s="20" customFormat="1" x14ac:dyDescent="0.7">
      <c r="A322" s="17"/>
      <c r="B322" s="19"/>
      <c r="C322" s="19"/>
      <c r="D322" s="19"/>
      <c r="E322" s="19"/>
      <c r="F322" s="19"/>
      <c r="G322" s="19"/>
      <c r="P322" s="29"/>
      <c r="Q322" s="29"/>
      <c r="Y322" s="29"/>
      <c r="Z322" s="29"/>
      <c r="AA322" s="29"/>
      <c r="AB322" s="29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</row>
    <row r="323" spans="1:62" s="20" customFormat="1" x14ac:dyDescent="0.7">
      <c r="A323" s="17"/>
      <c r="B323" s="19"/>
      <c r="C323" s="19"/>
      <c r="D323" s="19"/>
      <c r="E323" s="19"/>
      <c r="F323" s="19"/>
      <c r="G323" s="19"/>
      <c r="P323" s="29"/>
      <c r="Q323" s="29"/>
      <c r="Y323" s="29"/>
      <c r="Z323" s="29"/>
      <c r="AA323" s="29"/>
      <c r="AB323" s="29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</row>
    <row r="324" spans="1:62" s="20" customFormat="1" x14ac:dyDescent="0.7">
      <c r="A324" s="17"/>
      <c r="B324" s="19"/>
      <c r="C324" s="19"/>
      <c r="D324" s="19"/>
      <c r="E324" s="19"/>
      <c r="F324" s="19"/>
      <c r="G324" s="19"/>
      <c r="P324" s="29"/>
      <c r="Q324" s="29"/>
      <c r="Y324" s="29"/>
      <c r="Z324" s="29"/>
      <c r="AA324" s="29"/>
      <c r="AB324" s="29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</row>
    <row r="325" spans="1:62" s="20" customFormat="1" x14ac:dyDescent="0.7">
      <c r="A325" s="17"/>
      <c r="B325" s="19"/>
      <c r="C325" s="19"/>
      <c r="D325" s="19"/>
      <c r="E325" s="19"/>
      <c r="F325" s="19"/>
      <c r="G325" s="19"/>
      <c r="P325" s="29"/>
      <c r="Q325" s="29"/>
      <c r="Y325" s="29"/>
      <c r="Z325" s="29"/>
      <c r="AA325" s="29"/>
      <c r="AB325" s="29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</row>
    <row r="326" spans="1:62" s="20" customFormat="1" x14ac:dyDescent="0.7">
      <c r="A326" s="17"/>
      <c r="B326" s="19"/>
      <c r="C326" s="19"/>
      <c r="D326" s="19"/>
      <c r="E326" s="19"/>
      <c r="F326" s="19"/>
      <c r="G326" s="19"/>
      <c r="P326" s="29"/>
      <c r="Q326" s="29"/>
      <c r="Y326" s="29"/>
      <c r="Z326" s="29"/>
      <c r="AA326" s="29"/>
      <c r="AB326" s="29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</row>
    <row r="327" spans="1:62" s="20" customFormat="1" x14ac:dyDescent="0.7">
      <c r="A327" s="17"/>
      <c r="B327" s="19"/>
      <c r="C327" s="19"/>
      <c r="D327" s="19"/>
      <c r="E327" s="19"/>
      <c r="F327" s="19"/>
      <c r="G327" s="19"/>
      <c r="P327" s="29"/>
      <c r="Q327" s="29"/>
      <c r="Y327" s="29"/>
      <c r="Z327" s="29"/>
      <c r="AA327" s="29"/>
      <c r="AB327" s="29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</row>
    <row r="328" spans="1:62" s="20" customFormat="1" x14ac:dyDescent="0.7">
      <c r="A328" s="17"/>
      <c r="B328" s="19"/>
      <c r="C328" s="19"/>
      <c r="D328" s="19"/>
      <c r="E328" s="19"/>
      <c r="F328" s="19"/>
      <c r="G328" s="19"/>
      <c r="P328" s="29"/>
      <c r="Q328" s="29"/>
      <c r="Y328" s="29"/>
      <c r="Z328" s="29"/>
      <c r="AA328" s="29"/>
      <c r="AB328" s="29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</row>
    <row r="329" spans="1:62" s="20" customFormat="1" x14ac:dyDescent="0.7">
      <c r="A329" s="17"/>
      <c r="B329" s="19"/>
      <c r="C329" s="19"/>
      <c r="D329" s="19"/>
      <c r="E329" s="19"/>
      <c r="F329" s="19"/>
      <c r="G329" s="19"/>
      <c r="P329" s="29"/>
      <c r="Q329" s="29"/>
      <c r="Y329" s="29"/>
      <c r="Z329" s="29"/>
      <c r="AA329" s="29"/>
      <c r="AB329" s="29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</row>
    <row r="330" spans="1:62" s="20" customFormat="1" x14ac:dyDescent="0.7">
      <c r="A330" s="17"/>
      <c r="B330" s="19"/>
      <c r="C330" s="19"/>
      <c r="D330" s="19"/>
      <c r="E330" s="19"/>
      <c r="F330" s="19"/>
      <c r="G330" s="19"/>
      <c r="P330" s="29"/>
      <c r="Q330" s="29"/>
      <c r="Y330" s="29"/>
      <c r="Z330" s="29"/>
      <c r="AA330" s="29"/>
      <c r="AB330" s="29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</row>
    <row r="331" spans="1:62" s="20" customFormat="1" x14ac:dyDescent="0.7">
      <c r="A331" s="17"/>
      <c r="B331" s="19"/>
      <c r="C331" s="19"/>
      <c r="D331" s="19"/>
      <c r="E331" s="19"/>
      <c r="F331" s="19"/>
      <c r="G331" s="19"/>
      <c r="P331" s="29"/>
      <c r="Q331" s="29"/>
      <c r="Y331" s="29"/>
      <c r="Z331" s="29"/>
      <c r="AA331" s="29"/>
      <c r="AB331" s="29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</row>
    <row r="332" spans="1:62" s="20" customFormat="1" x14ac:dyDescent="0.7">
      <c r="A332" s="17"/>
      <c r="B332" s="19"/>
      <c r="C332" s="19"/>
      <c r="D332" s="19"/>
      <c r="E332" s="19"/>
      <c r="F332" s="19"/>
      <c r="G332" s="19"/>
      <c r="P332" s="29"/>
      <c r="Q332" s="29"/>
      <c r="Y332" s="29"/>
      <c r="Z332" s="29"/>
      <c r="AA332" s="29"/>
      <c r="AB332" s="29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</row>
    <row r="333" spans="1:62" s="20" customFormat="1" x14ac:dyDescent="0.7">
      <c r="A333" s="17"/>
      <c r="B333" s="19"/>
      <c r="C333" s="19"/>
      <c r="D333" s="19"/>
      <c r="E333" s="19"/>
      <c r="F333" s="19"/>
      <c r="G333" s="19"/>
      <c r="P333" s="29"/>
      <c r="Q333" s="29"/>
      <c r="Y333" s="29"/>
      <c r="Z333" s="29"/>
      <c r="AA333" s="29"/>
      <c r="AB333" s="29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</row>
    <row r="334" spans="1:62" s="20" customFormat="1" x14ac:dyDescent="0.7">
      <c r="A334" s="17"/>
      <c r="B334" s="19"/>
      <c r="C334" s="19"/>
      <c r="D334" s="19"/>
      <c r="E334" s="19"/>
      <c r="F334" s="19"/>
      <c r="G334" s="19"/>
      <c r="P334" s="29"/>
      <c r="Q334" s="29"/>
      <c r="Y334" s="29"/>
      <c r="Z334" s="29"/>
      <c r="AA334" s="29"/>
      <c r="AB334" s="29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</row>
    <row r="335" spans="1:62" s="20" customFormat="1" x14ac:dyDescent="0.7">
      <c r="A335" s="17"/>
      <c r="B335" s="19"/>
      <c r="C335" s="19"/>
      <c r="D335" s="19"/>
      <c r="E335" s="19"/>
      <c r="F335" s="19"/>
      <c r="G335" s="19"/>
      <c r="P335" s="29"/>
      <c r="Q335" s="29"/>
      <c r="Y335" s="29"/>
      <c r="Z335" s="29"/>
      <c r="AA335" s="29"/>
      <c r="AB335" s="29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</row>
    <row r="336" spans="1:62" s="20" customFormat="1" x14ac:dyDescent="0.7">
      <c r="A336" s="17"/>
      <c r="B336" s="19"/>
      <c r="C336" s="19"/>
      <c r="D336" s="19"/>
      <c r="E336" s="19"/>
      <c r="F336" s="19"/>
      <c r="G336" s="19"/>
      <c r="P336" s="29"/>
      <c r="Q336" s="29"/>
      <c r="Y336" s="29"/>
      <c r="Z336" s="29"/>
      <c r="AA336" s="29"/>
      <c r="AB336" s="29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</row>
    <row r="337" spans="1:62" s="20" customFormat="1" x14ac:dyDescent="0.7">
      <c r="A337" s="17"/>
      <c r="B337" s="19"/>
      <c r="C337" s="19"/>
      <c r="D337" s="19"/>
      <c r="E337" s="19"/>
      <c r="F337" s="19"/>
      <c r="G337" s="19"/>
      <c r="P337" s="29"/>
      <c r="Q337" s="29"/>
      <c r="Y337" s="29"/>
      <c r="Z337" s="29"/>
      <c r="AA337" s="29"/>
      <c r="AB337" s="29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</row>
    <row r="338" spans="1:62" s="20" customFormat="1" x14ac:dyDescent="0.7">
      <c r="A338" s="17"/>
      <c r="B338" s="19"/>
      <c r="C338" s="19"/>
      <c r="D338" s="19"/>
      <c r="E338" s="19"/>
      <c r="F338" s="19"/>
      <c r="G338" s="19"/>
      <c r="P338" s="29"/>
      <c r="Q338" s="29"/>
      <c r="Y338" s="29"/>
      <c r="Z338" s="29"/>
      <c r="AA338" s="29"/>
      <c r="AB338" s="29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</row>
    <row r="339" spans="1:62" s="20" customFormat="1" x14ac:dyDescent="0.7">
      <c r="A339" s="17"/>
      <c r="B339" s="19"/>
      <c r="C339" s="19"/>
      <c r="D339" s="19"/>
      <c r="E339" s="19"/>
      <c r="F339" s="19"/>
      <c r="G339" s="19"/>
      <c r="P339" s="29"/>
      <c r="Q339" s="29"/>
      <c r="Y339" s="29"/>
      <c r="Z339" s="29"/>
      <c r="AA339" s="29"/>
      <c r="AB339" s="29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</row>
    <row r="340" spans="1:62" s="20" customFormat="1" x14ac:dyDescent="0.7">
      <c r="A340" s="17"/>
      <c r="B340" s="19"/>
      <c r="C340" s="19"/>
      <c r="D340" s="19"/>
      <c r="E340" s="19"/>
      <c r="F340" s="19"/>
      <c r="G340" s="19"/>
      <c r="P340" s="29"/>
      <c r="Q340" s="29"/>
      <c r="Y340" s="29"/>
      <c r="Z340" s="29"/>
      <c r="AA340" s="29"/>
      <c r="AB340" s="29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</row>
    <row r="341" spans="1:62" s="20" customFormat="1" x14ac:dyDescent="0.7">
      <c r="A341" s="17"/>
      <c r="B341" s="19"/>
      <c r="C341" s="19"/>
      <c r="D341" s="19"/>
      <c r="E341" s="19"/>
      <c r="F341" s="19"/>
      <c r="G341" s="19"/>
      <c r="P341" s="29"/>
      <c r="Q341" s="29"/>
      <c r="Y341" s="29"/>
      <c r="Z341" s="29"/>
      <c r="AA341" s="29"/>
      <c r="AB341" s="29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</row>
    <row r="342" spans="1:62" s="20" customFormat="1" x14ac:dyDescent="0.7">
      <c r="A342" s="17"/>
      <c r="B342" s="19"/>
      <c r="C342" s="19"/>
      <c r="D342" s="19"/>
      <c r="E342" s="19"/>
      <c r="F342" s="19"/>
      <c r="G342" s="19"/>
      <c r="P342" s="29"/>
      <c r="Q342" s="29"/>
      <c r="Y342" s="29"/>
      <c r="Z342" s="29"/>
      <c r="AA342" s="29"/>
      <c r="AB342" s="29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</row>
    <row r="343" spans="1:62" s="20" customFormat="1" x14ac:dyDescent="0.7">
      <c r="A343" s="17"/>
      <c r="B343" s="19"/>
      <c r="C343" s="19"/>
      <c r="D343" s="19"/>
      <c r="E343" s="19"/>
      <c r="F343" s="19"/>
      <c r="G343" s="19"/>
      <c r="P343" s="29"/>
      <c r="Q343" s="29"/>
      <c r="Y343" s="29"/>
      <c r="Z343" s="29"/>
      <c r="AA343" s="29"/>
      <c r="AB343" s="29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/>
      <c r="BF343" s="17"/>
      <c r="BG343" s="17"/>
      <c r="BH343" s="17"/>
      <c r="BI343" s="17"/>
      <c r="BJ343" s="17"/>
    </row>
    <row r="344" spans="1:62" s="20" customFormat="1" x14ac:dyDescent="0.7">
      <c r="A344" s="17"/>
      <c r="B344" s="19"/>
      <c r="C344" s="19"/>
      <c r="D344" s="19"/>
      <c r="E344" s="19"/>
      <c r="F344" s="19"/>
      <c r="G344" s="19"/>
      <c r="P344" s="29"/>
      <c r="Q344" s="29"/>
      <c r="Y344" s="29"/>
      <c r="Z344" s="29"/>
      <c r="AA344" s="29"/>
      <c r="AB344" s="29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/>
      <c r="BF344" s="17"/>
      <c r="BG344" s="17"/>
      <c r="BH344" s="17"/>
      <c r="BI344" s="17"/>
      <c r="BJ344" s="17"/>
    </row>
    <row r="345" spans="1:62" s="20" customFormat="1" x14ac:dyDescent="0.7">
      <c r="A345" s="17"/>
      <c r="B345" s="19"/>
      <c r="C345" s="19"/>
      <c r="D345" s="19"/>
      <c r="E345" s="19"/>
      <c r="F345" s="19"/>
      <c r="G345" s="19"/>
      <c r="P345" s="29"/>
      <c r="Q345" s="29"/>
      <c r="Y345" s="29"/>
      <c r="Z345" s="29"/>
      <c r="AA345" s="29"/>
      <c r="AB345" s="29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</row>
    <row r="346" spans="1:62" s="20" customFormat="1" x14ac:dyDescent="0.7">
      <c r="A346" s="17"/>
      <c r="B346" s="19"/>
      <c r="C346" s="19"/>
      <c r="D346" s="19"/>
      <c r="E346" s="19"/>
      <c r="F346" s="19"/>
      <c r="G346" s="19"/>
      <c r="P346" s="29"/>
      <c r="Q346" s="29"/>
      <c r="Y346" s="29"/>
      <c r="Z346" s="29"/>
      <c r="AA346" s="29"/>
      <c r="AB346" s="29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/>
      <c r="BF346" s="17"/>
      <c r="BG346" s="17"/>
      <c r="BH346" s="17"/>
      <c r="BI346" s="17"/>
      <c r="BJ346" s="17"/>
    </row>
    <row r="347" spans="1:62" s="20" customFormat="1" x14ac:dyDescent="0.7">
      <c r="A347" s="17"/>
      <c r="B347" s="19"/>
      <c r="C347" s="19"/>
      <c r="D347" s="19"/>
      <c r="E347" s="19"/>
      <c r="F347" s="19"/>
      <c r="G347" s="19"/>
      <c r="P347" s="29"/>
      <c r="Q347" s="29"/>
      <c r="Y347" s="29"/>
      <c r="Z347" s="29"/>
      <c r="AA347" s="29"/>
      <c r="AB347" s="29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</row>
    <row r="348" spans="1:62" s="20" customFormat="1" x14ac:dyDescent="0.7">
      <c r="A348" s="17"/>
      <c r="B348" s="19"/>
      <c r="C348" s="19"/>
      <c r="D348" s="19"/>
      <c r="E348" s="19"/>
      <c r="F348" s="19"/>
      <c r="G348" s="19"/>
      <c r="P348" s="29"/>
      <c r="Q348" s="29"/>
      <c r="Y348" s="29"/>
      <c r="Z348" s="29"/>
      <c r="AA348" s="29"/>
      <c r="AB348" s="29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</row>
    <row r="349" spans="1:62" s="20" customFormat="1" x14ac:dyDescent="0.7">
      <c r="A349" s="17"/>
      <c r="B349" s="19"/>
      <c r="C349" s="19"/>
      <c r="D349" s="19"/>
      <c r="E349" s="19"/>
      <c r="F349" s="19"/>
      <c r="G349" s="19"/>
      <c r="P349" s="29"/>
      <c r="Q349" s="29"/>
      <c r="Y349" s="29"/>
      <c r="Z349" s="29"/>
      <c r="AA349" s="29"/>
      <c r="AB349" s="29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</row>
    <row r="350" spans="1:62" s="20" customFormat="1" x14ac:dyDescent="0.7">
      <c r="A350" s="17"/>
      <c r="B350" s="19"/>
      <c r="C350" s="19"/>
      <c r="D350" s="19"/>
      <c r="E350" s="19"/>
      <c r="F350" s="19"/>
      <c r="G350" s="19"/>
      <c r="P350" s="29"/>
      <c r="Q350" s="29"/>
      <c r="Y350" s="29"/>
      <c r="Z350" s="29"/>
      <c r="AA350" s="29"/>
      <c r="AB350" s="29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</row>
    <row r="351" spans="1:62" s="20" customFormat="1" x14ac:dyDescent="0.7">
      <c r="A351" s="17"/>
      <c r="B351" s="19"/>
      <c r="C351" s="19"/>
      <c r="D351" s="19"/>
      <c r="E351" s="19"/>
      <c r="F351" s="19"/>
      <c r="G351" s="19"/>
      <c r="P351" s="29"/>
      <c r="Q351" s="29"/>
      <c r="Y351" s="29"/>
      <c r="Z351" s="29"/>
      <c r="AA351" s="29"/>
      <c r="AB351" s="29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</row>
    <row r="352" spans="1:62" s="20" customFormat="1" x14ac:dyDescent="0.7">
      <c r="A352" s="17"/>
      <c r="B352" s="19"/>
      <c r="C352" s="19"/>
      <c r="D352" s="19"/>
      <c r="E352" s="19"/>
      <c r="F352" s="19"/>
      <c r="G352" s="19"/>
      <c r="P352" s="29"/>
      <c r="Q352" s="29"/>
      <c r="Y352" s="29"/>
      <c r="Z352" s="29"/>
      <c r="AA352" s="29"/>
      <c r="AB352" s="29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</row>
    <row r="353" spans="1:62" s="20" customFormat="1" x14ac:dyDescent="0.7">
      <c r="A353" s="17"/>
      <c r="B353" s="19"/>
      <c r="C353" s="19"/>
      <c r="D353" s="19"/>
      <c r="E353" s="19"/>
      <c r="F353" s="19"/>
      <c r="G353" s="19"/>
      <c r="P353" s="29"/>
      <c r="Q353" s="29"/>
      <c r="Y353" s="29"/>
      <c r="Z353" s="29"/>
      <c r="AA353" s="29"/>
      <c r="AB353" s="29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</row>
    <row r="354" spans="1:62" s="20" customFormat="1" x14ac:dyDescent="0.7">
      <c r="A354" s="17"/>
      <c r="B354" s="19"/>
      <c r="C354" s="19"/>
      <c r="D354" s="19"/>
      <c r="E354" s="19"/>
      <c r="F354" s="19"/>
      <c r="G354" s="19"/>
      <c r="P354" s="29"/>
      <c r="Q354" s="29"/>
      <c r="Y354" s="29"/>
      <c r="Z354" s="29"/>
      <c r="AA354" s="29"/>
      <c r="AB354" s="29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</row>
    <row r="355" spans="1:62" s="20" customFormat="1" x14ac:dyDescent="0.7">
      <c r="A355" s="17"/>
      <c r="B355" s="19"/>
      <c r="C355" s="19"/>
      <c r="D355" s="19"/>
      <c r="E355" s="19"/>
      <c r="F355" s="19"/>
      <c r="G355" s="19"/>
      <c r="P355" s="29"/>
      <c r="Q355" s="29"/>
      <c r="Y355" s="29"/>
      <c r="Z355" s="29"/>
      <c r="AA355" s="29"/>
      <c r="AB355" s="29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</row>
    <row r="356" spans="1:62" s="20" customFormat="1" x14ac:dyDescent="0.7">
      <c r="A356" s="17"/>
      <c r="B356" s="19"/>
      <c r="C356" s="19"/>
      <c r="D356" s="19"/>
      <c r="E356" s="19"/>
      <c r="F356" s="19"/>
      <c r="G356" s="19"/>
      <c r="P356" s="29"/>
      <c r="Q356" s="29"/>
      <c r="Y356" s="29"/>
      <c r="Z356" s="29"/>
      <c r="AA356" s="29"/>
      <c r="AB356" s="29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</row>
    <row r="357" spans="1:62" s="20" customFormat="1" x14ac:dyDescent="0.7">
      <c r="A357" s="17"/>
      <c r="B357" s="19"/>
      <c r="C357" s="19"/>
      <c r="D357" s="19"/>
      <c r="E357" s="19"/>
      <c r="F357" s="19"/>
      <c r="G357" s="19"/>
      <c r="P357" s="29"/>
      <c r="Q357" s="29"/>
      <c r="Y357" s="29"/>
      <c r="Z357" s="29"/>
      <c r="AA357" s="29"/>
      <c r="AB357" s="29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</row>
    <row r="358" spans="1:62" s="20" customFormat="1" x14ac:dyDescent="0.7">
      <c r="A358" s="17"/>
      <c r="B358" s="19"/>
      <c r="C358" s="19"/>
      <c r="D358" s="19"/>
      <c r="E358" s="19"/>
      <c r="F358" s="19"/>
      <c r="G358" s="19"/>
      <c r="P358" s="29"/>
      <c r="Q358" s="29"/>
      <c r="Y358" s="29"/>
      <c r="Z358" s="29"/>
      <c r="AA358" s="29"/>
      <c r="AB358" s="29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/>
      <c r="BF358" s="17"/>
      <c r="BG358" s="17"/>
      <c r="BH358" s="17"/>
      <c r="BI358" s="17"/>
      <c r="BJ358" s="17"/>
    </row>
    <row r="359" spans="1:62" s="20" customFormat="1" x14ac:dyDescent="0.7">
      <c r="A359" s="17"/>
      <c r="B359" s="19"/>
      <c r="C359" s="19"/>
      <c r="D359" s="19"/>
      <c r="E359" s="19"/>
      <c r="F359" s="19"/>
      <c r="G359" s="19"/>
      <c r="P359" s="29"/>
      <c r="Q359" s="29"/>
      <c r="Y359" s="29"/>
      <c r="Z359" s="29"/>
      <c r="AA359" s="29"/>
      <c r="AB359" s="29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/>
      <c r="BF359" s="17"/>
      <c r="BG359" s="17"/>
      <c r="BH359" s="17"/>
      <c r="BI359" s="17"/>
      <c r="BJ359" s="17"/>
    </row>
    <row r="360" spans="1:62" s="20" customFormat="1" x14ac:dyDescent="0.7">
      <c r="A360" s="17"/>
      <c r="B360" s="19"/>
      <c r="C360" s="19"/>
      <c r="D360" s="19"/>
      <c r="E360" s="19"/>
      <c r="F360" s="19"/>
      <c r="G360" s="19"/>
      <c r="P360" s="29"/>
      <c r="Q360" s="29"/>
      <c r="Y360" s="29"/>
      <c r="Z360" s="29"/>
      <c r="AA360" s="29"/>
      <c r="AB360" s="29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</row>
    <row r="361" spans="1:62" s="20" customFormat="1" x14ac:dyDescent="0.7">
      <c r="A361" s="17"/>
      <c r="B361" s="19"/>
      <c r="C361" s="19"/>
      <c r="D361" s="19"/>
      <c r="E361" s="19"/>
      <c r="F361" s="19"/>
      <c r="G361" s="19"/>
      <c r="P361" s="29"/>
      <c r="Q361" s="29"/>
      <c r="Y361" s="29"/>
      <c r="Z361" s="29"/>
      <c r="AA361" s="29"/>
      <c r="AB361" s="29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</row>
    <row r="362" spans="1:62" s="20" customFormat="1" x14ac:dyDescent="0.7">
      <c r="A362" s="17"/>
      <c r="B362" s="19"/>
      <c r="C362" s="19"/>
      <c r="D362" s="19"/>
      <c r="E362" s="19"/>
      <c r="F362" s="19"/>
      <c r="G362" s="19"/>
      <c r="P362" s="29"/>
      <c r="Q362" s="29"/>
      <c r="Y362" s="29"/>
      <c r="Z362" s="29"/>
      <c r="AA362" s="29"/>
      <c r="AB362" s="29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</row>
    <row r="363" spans="1:62" s="20" customFormat="1" x14ac:dyDescent="0.7">
      <c r="A363" s="17"/>
      <c r="B363" s="19"/>
      <c r="C363" s="19"/>
      <c r="D363" s="19"/>
      <c r="E363" s="19"/>
      <c r="F363" s="19"/>
      <c r="G363" s="19"/>
      <c r="P363" s="29"/>
      <c r="Q363" s="29"/>
      <c r="Y363" s="29"/>
      <c r="Z363" s="29"/>
      <c r="AA363" s="29"/>
      <c r="AB363" s="29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</row>
    <row r="364" spans="1:62" s="20" customFormat="1" x14ac:dyDescent="0.7">
      <c r="A364" s="17"/>
      <c r="B364" s="19"/>
      <c r="C364" s="19"/>
      <c r="D364" s="19"/>
      <c r="E364" s="19"/>
      <c r="F364" s="19"/>
      <c r="G364" s="19"/>
      <c r="P364" s="29"/>
      <c r="Q364" s="29"/>
      <c r="Y364" s="29"/>
      <c r="Z364" s="29"/>
      <c r="AA364" s="29"/>
      <c r="AB364" s="29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</row>
    <row r="365" spans="1:62" s="20" customFormat="1" x14ac:dyDescent="0.7">
      <c r="A365" s="17"/>
      <c r="B365" s="19"/>
      <c r="C365" s="19"/>
      <c r="D365" s="19"/>
      <c r="E365" s="19"/>
      <c r="F365" s="19"/>
      <c r="G365" s="19"/>
      <c r="P365" s="29"/>
      <c r="Q365" s="29"/>
      <c r="Y365" s="29"/>
      <c r="Z365" s="29"/>
      <c r="AA365" s="29"/>
      <c r="AB365" s="29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</row>
    <row r="366" spans="1:62" s="20" customFormat="1" x14ac:dyDescent="0.7">
      <c r="A366" s="17"/>
      <c r="B366" s="19"/>
      <c r="C366" s="19"/>
      <c r="D366" s="19"/>
      <c r="E366" s="19"/>
      <c r="F366" s="19"/>
      <c r="G366" s="19"/>
      <c r="P366" s="29"/>
      <c r="Q366" s="29"/>
      <c r="Y366" s="29"/>
      <c r="Z366" s="29"/>
      <c r="AA366" s="29"/>
      <c r="AB366" s="29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</row>
    <row r="367" spans="1:62" s="20" customFormat="1" x14ac:dyDescent="0.7">
      <c r="A367" s="17"/>
      <c r="B367" s="19"/>
      <c r="C367" s="19"/>
      <c r="D367" s="19"/>
      <c r="E367" s="19"/>
      <c r="F367" s="19"/>
      <c r="G367" s="19"/>
      <c r="P367" s="29"/>
      <c r="Q367" s="29"/>
      <c r="Y367" s="29"/>
      <c r="Z367" s="29"/>
      <c r="AA367" s="29"/>
      <c r="AB367" s="29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</row>
    <row r="368" spans="1:62" s="20" customFormat="1" x14ac:dyDescent="0.7">
      <c r="A368" s="17"/>
      <c r="B368" s="19"/>
      <c r="C368" s="19"/>
      <c r="D368" s="19"/>
      <c r="E368" s="19"/>
      <c r="F368" s="19"/>
      <c r="G368" s="19"/>
      <c r="P368" s="29"/>
      <c r="Q368" s="29"/>
      <c r="Y368" s="29"/>
      <c r="Z368" s="29"/>
      <c r="AA368" s="29"/>
      <c r="AB368" s="29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</row>
    <row r="369" spans="1:62" s="20" customFormat="1" x14ac:dyDescent="0.7">
      <c r="A369" s="17"/>
      <c r="B369" s="19"/>
      <c r="C369" s="19"/>
      <c r="D369" s="19"/>
      <c r="E369" s="19"/>
      <c r="F369" s="19"/>
      <c r="G369" s="19"/>
      <c r="P369" s="29"/>
      <c r="Q369" s="29"/>
      <c r="Y369" s="29"/>
      <c r="Z369" s="29"/>
      <c r="AA369" s="29"/>
      <c r="AB369" s="29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/>
      <c r="BF369" s="17"/>
      <c r="BG369" s="17"/>
      <c r="BH369" s="17"/>
      <c r="BI369" s="17"/>
      <c r="BJ369" s="17"/>
    </row>
    <row r="370" spans="1:62" s="20" customFormat="1" x14ac:dyDescent="0.7">
      <c r="A370" s="17"/>
      <c r="B370" s="19"/>
      <c r="C370" s="19"/>
      <c r="D370" s="19"/>
      <c r="E370" s="19"/>
      <c r="F370" s="19"/>
      <c r="G370" s="19"/>
      <c r="P370" s="29"/>
      <c r="Q370" s="29"/>
      <c r="Y370" s="29"/>
      <c r="Z370" s="29"/>
      <c r="AA370" s="29"/>
      <c r="AB370" s="29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/>
      <c r="BF370" s="17"/>
      <c r="BG370" s="17"/>
      <c r="BH370" s="17"/>
      <c r="BI370" s="17"/>
      <c r="BJ370" s="17"/>
    </row>
    <row r="371" spans="1:62" s="20" customFormat="1" x14ac:dyDescent="0.7">
      <c r="A371" s="17"/>
      <c r="B371" s="19"/>
      <c r="C371" s="19"/>
      <c r="D371" s="19"/>
      <c r="E371" s="19"/>
      <c r="F371" s="19"/>
      <c r="G371" s="19"/>
      <c r="P371" s="29"/>
      <c r="Q371" s="29"/>
      <c r="Y371" s="29"/>
      <c r="Z371" s="29"/>
      <c r="AA371" s="29"/>
      <c r="AB371" s="29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/>
      <c r="BF371" s="17"/>
      <c r="BG371" s="17"/>
      <c r="BH371" s="17"/>
      <c r="BI371" s="17"/>
      <c r="BJ371" s="17"/>
    </row>
    <row r="372" spans="1:62" s="20" customFormat="1" x14ac:dyDescent="0.7">
      <c r="A372" s="17"/>
      <c r="B372" s="19"/>
      <c r="C372" s="19"/>
      <c r="D372" s="19"/>
      <c r="E372" s="19"/>
      <c r="F372" s="19"/>
      <c r="G372" s="19"/>
      <c r="P372" s="29"/>
      <c r="Q372" s="29"/>
      <c r="Y372" s="29"/>
      <c r="Z372" s="29"/>
      <c r="AA372" s="29"/>
      <c r="AB372" s="29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</row>
    <row r="373" spans="1:62" s="20" customFormat="1" x14ac:dyDescent="0.7">
      <c r="A373" s="17"/>
      <c r="B373" s="19"/>
      <c r="C373" s="19"/>
      <c r="D373" s="19"/>
      <c r="E373" s="19"/>
      <c r="F373" s="19"/>
      <c r="G373" s="19"/>
      <c r="P373" s="29"/>
      <c r="Q373" s="29"/>
      <c r="Y373" s="29"/>
      <c r="Z373" s="29"/>
      <c r="AA373" s="29"/>
      <c r="AB373" s="29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</row>
    <row r="374" spans="1:62" s="20" customFormat="1" x14ac:dyDescent="0.7">
      <c r="A374" s="17"/>
      <c r="B374" s="19"/>
      <c r="C374" s="19"/>
      <c r="D374" s="19"/>
      <c r="E374" s="19"/>
      <c r="F374" s="19"/>
      <c r="G374" s="19"/>
      <c r="P374" s="29"/>
      <c r="Q374" s="29"/>
      <c r="Y374" s="29"/>
      <c r="Z374" s="29"/>
      <c r="AA374" s="29"/>
      <c r="AB374" s="29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</row>
    <row r="375" spans="1:62" s="20" customFormat="1" x14ac:dyDescent="0.7">
      <c r="A375" s="17"/>
      <c r="B375" s="19"/>
      <c r="C375" s="19"/>
      <c r="D375" s="19"/>
      <c r="E375" s="19"/>
      <c r="F375" s="19"/>
      <c r="G375" s="19"/>
      <c r="P375" s="29"/>
      <c r="Q375" s="29"/>
      <c r="Y375" s="29"/>
      <c r="Z375" s="29"/>
      <c r="AA375" s="29"/>
      <c r="AB375" s="29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/>
      <c r="BF375" s="17"/>
      <c r="BG375" s="17"/>
      <c r="BH375" s="17"/>
      <c r="BI375" s="17"/>
      <c r="BJ375" s="17"/>
    </row>
    <row r="376" spans="1:62" s="20" customFormat="1" x14ac:dyDescent="0.7">
      <c r="A376" s="17"/>
      <c r="B376" s="19"/>
      <c r="C376" s="19"/>
      <c r="D376" s="19"/>
      <c r="E376" s="19"/>
      <c r="F376" s="19"/>
      <c r="G376" s="19"/>
      <c r="P376" s="29"/>
      <c r="Q376" s="29"/>
      <c r="Y376" s="29"/>
      <c r="Z376" s="29"/>
      <c r="AA376" s="29"/>
      <c r="AB376" s="29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/>
      <c r="BF376" s="17"/>
      <c r="BG376" s="17"/>
      <c r="BH376" s="17"/>
      <c r="BI376" s="17"/>
      <c r="BJ376" s="17"/>
    </row>
    <row r="377" spans="1:62" s="20" customFormat="1" x14ac:dyDescent="0.7">
      <c r="A377" s="17"/>
      <c r="B377" s="19"/>
      <c r="C377" s="19"/>
      <c r="D377" s="19"/>
      <c r="E377" s="19"/>
      <c r="F377" s="19"/>
      <c r="G377" s="19"/>
      <c r="P377" s="29"/>
      <c r="Q377" s="29"/>
      <c r="Y377" s="29"/>
      <c r="Z377" s="29"/>
      <c r="AA377" s="29"/>
      <c r="AB377" s="29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/>
      <c r="BF377" s="17"/>
      <c r="BG377" s="17"/>
      <c r="BH377" s="17"/>
      <c r="BI377" s="17"/>
      <c r="BJ377" s="17"/>
    </row>
    <row r="378" spans="1:62" s="20" customFormat="1" x14ac:dyDescent="0.7">
      <c r="A378" s="17"/>
      <c r="B378" s="19"/>
      <c r="C378" s="19"/>
      <c r="D378" s="19"/>
      <c r="E378" s="19"/>
      <c r="F378" s="19"/>
      <c r="G378" s="19"/>
      <c r="P378" s="29"/>
      <c r="Q378" s="29"/>
      <c r="Y378" s="29"/>
      <c r="Z378" s="29"/>
      <c r="AA378" s="29"/>
      <c r="AB378" s="29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/>
      <c r="BF378" s="17"/>
      <c r="BG378" s="17"/>
      <c r="BH378" s="17"/>
      <c r="BI378" s="17"/>
      <c r="BJ378" s="17"/>
    </row>
    <row r="379" spans="1:62" s="20" customFormat="1" x14ac:dyDescent="0.7">
      <c r="A379" s="17"/>
      <c r="B379" s="19"/>
      <c r="C379" s="19"/>
      <c r="D379" s="19"/>
      <c r="E379" s="19"/>
      <c r="F379" s="19"/>
      <c r="G379" s="19"/>
      <c r="P379" s="29"/>
      <c r="Q379" s="29"/>
      <c r="Y379" s="29"/>
      <c r="Z379" s="29"/>
      <c r="AA379" s="29"/>
      <c r="AB379" s="29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/>
      <c r="BF379" s="17"/>
      <c r="BG379" s="17"/>
      <c r="BH379" s="17"/>
      <c r="BI379" s="17"/>
      <c r="BJ379" s="17"/>
    </row>
    <row r="380" spans="1:62" s="20" customFormat="1" x14ac:dyDescent="0.7">
      <c r="A380" s="17"/>
      <c r="B380" s="19"/>
      <c r="C380" s="19"/>
      <c r="D380" s="19"/>
      <c r="E380" s="19"/>
      <c r="F380" s="19"/>
      <c r="G380" s="19"/>
      <c r="P380" s="29"/>
      <c r="Q380" s="29"/>
      <c r="Y380" s="29"/>
      <c r="Z380" s="29"/>
      <c r="AA380" s="29"/>
      <c r="AB380" s="29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/>
      <c r="BF380" s="17"/>
      <c r="BG380" s="17"/>
      <c r="BH380" s="17"/>
      <c r="BI380" s="17"/>
      <c r="BJ380" s="17"/>
    </row>
    <row r="381" spans="1:62" s="20" customFormat="1" x14ac:dyDescent="0.7">
      <c r="A381" s="17"/>
      <c r="B381" s="19"/>
      <c r="C381" s="19"/>
      <c r="D381" s="19"/>
      <c r="E381" s="19"/>
      <c r="F381" s="19"/>
      <c r="G381" s="19"/>
      <c r="P381" s="29"/>
      <c r="Q381" s="29"/>
      <c r="Y381" s="29"/>
      <c r="Z381" s="29"/>
      <c r="AA381" s="29"/>
      <c r="AB381" s="29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</row>
    <row r="382" spans="1:62" s="20" customFormat="1" x14ac:dyDescent="0.7">
      <c r="A382" s="17"/>
      <c r="B382" s="19"/>
      <c r="C382" s="19"/>
      <c r="D382" s="19"/>
      <c r="E382" s="19"/>
      <c r="F382" s="19"/>
      <c r="G382" s="19"/>
      <c r="P382" s="29"/>
      <c r="Q382" s="29"/>
      <c r="Y382" s="29"/>
      <c r="Z382" s="29"/>
      <c r="AA382" s="29"/>
      <c r="AB382" s="29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</row>
    <row r="383" spans="1:62" s="20" customFormat="1" x14ac:dyDescent="0.7">
      <c r="A383" s="17"/>
      <c r="B383" s="19"/>
      <c r="C383" s="19"/>
      <c r="D383" s="19"/>
      <c r="E383" s="19"/>
      <c r="F383" s="19"/>
      <c r="G383" s="19"/>
      <c r="P383" s="29"/>
      <c r="Q383" s="29"/>
      <c r="Y383" s="29"/>
      <c r="Z383" s="29"/>
      <c r="AA383" s="29"/>
      <c r="AB383" s="29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</row>
    <row r="384" spans="1:62" s="20" customFormat="1" x14ac:dyDescent="0.7">
      <c r="A384" s="17"/>
      <c r="B384" s="19"/>
      <c r="C384" s="19"/>
      <c r="D384" s="19"/>
      <c r="E384" s="19"/>
      <c r="F384" s="19"/>
      <c r="G384" s="19"/>
      <c r="P384" s="29"/>
      <c r="Q384" s="29"/>
      <c r="Y384" s="29"/>
      <c r="Z384" s="29"/>
      <c r="AA384" s="29"/>
      <c r="AB384" s="29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</row>
    <row r="385" spans="1:62" s="20" customFormat="1" x14ac:dyDescent="0.7">
      <c r="A385" s="17"/>
      <c r="B385" s="19"/>
      <c r="C385" s="19"/>
      <c r="D385" s="19"/>
      <c r="E385" s="19"/>
      <c r="F385" s="19"/>
      <c r="G385" s="19"/>
      <c r="P385" s="29"/>
      <c r="Q385" s="29"/>
      <c r="Y385" s="29"/>
      <c r="Z385" s="29"/>
      <c r="AA385" s="29"/>
      <c r="AB385" s="29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</row>
    <row r="386" spans="1:62" s="20" customFormat="1" x14ac:dyDescent="0.7">
      <c r="A386" s="17"/>
      <c r="B386" s="19"/>
      <c r="C386" s="19"/>
      <c r="D386" s="19"/>
      <c r="E386" s="19"/>
      <c r="F386" s="19"/>
      <c r="G386" s="19"/>
      <c r="P386" s="29"/>
      <c r="Q386" s="29"/>
      <c r="Y386" s="29"/>
      <c r="Z386" s="29"/>
      <c r="AA386" s="29"/>
      <c r="AB386" s="29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</row>
    <row r="387" spans="1:62" s="20" customFormat="1" x14ac:dyDescent="0.7">
      <c r="A387" s="17"/>
      <c r="B387" s="19"/>
      <c r="C387" s="19"/>
      <c r="D387" s="19"/>
      <c r="E387" s="19"/>
      <c r="F387" s="19"/>
      <c r="G387" s="19"/>
      <c r="P387" s="29"/>
      <c r="Q387" s="29"/>
      <c r="Y387" s="29"/>
      <c r="Z387" s="29"/>
      <c r="AA387" s="29"/>
      <c r="AB387" s="29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</row>
    <row r="388" spans="1:62" s="20" customFormat="1" x14ac:dyDescent="0.7">
      <c r="A388" s="17"/>
      <c r="B388" s="19"/>
      <c r="C388" s="19"/>
      <c r="D388" s="19"/>
      <c r="E388" s="19"/>
      <c r="F388" s="19"/>
      <c r="G388" s="19"/>
      <c r="P388" s="29"/>
      <c r="Q388" s="29"/>
      <c r="Y388" s="29"/>
      <c r="Z388" s="29"/>
      <c r="AA388" s="29"/>
      <c r="AB388" s="29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</row>
    <row r="389" spans="1:62" s="20" customFormat="1" x14ac:dyDescent="0.7">
      <c r="A389" s="17"/>
      <c r="B389" s="19"/>
      <c r="C389" s="19"/>
      <c r="D389" s="19"/>
      <c r="E389" s="19"/>
      <c r="F389" s="19"/>
      <c r="G389" s="19"/>
      <c r="P389" s="29"/>
      <c r="Q389" s="29"/>
      <c r="Y389" s="29"/>
      <c r="Z389" s="29"/>
      <c r="AA389" s="29"/>
      <c r="AB389" s="29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</row>
    <row r="390" spans="1:62" s="20" customFormat="1" x14ac:dyDescent="0.7">
      <c r="A390" s="17"/>
      <c r="B390" s="19"/>
      <c r="C390" s="19"/>
      <c r="D390" s="19"/>
      <c r="E390" s="19"/>
      <c r="F390" s="19"/>
      <c r="G390" s="19"/>
      <c r="P390" s="29"/>
      <c r="Q390" s="29"/>
      <c r="Y390" s="29"/>
      <c r="Z390" s="29"/>
      <c r="AA390" s="29"/>
      <c r="AB390" s="29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</row>
    <row r="391" spans="1:62" s="20" customFormat="1" x14ac:dyDescent="0.7">
      <c r="A391" s="17"/>
      <c r="B391" s="19"/>
      <c r="C391" s="19"/>
      <c r="D391" s="19"/>
      <c r="E391" s="19"/>
      <c r="F391" s="19"/>
      <c r="G391" s="19"/>
      <c r="P391" s="29"/>
      <c r="Q391" s="29"/>
      <c r="Y391" s="29"/>
      <c r="Z391" s="29"/>
      <c r="AA391" s="29"/>
      <c r="AB391" s="29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</row>
    <row r="392" spans="1:62" s="20" customFormat="1" x14ac:dyDescent="0.7">
      <c r="A392" s="17"/>
      <c r="B392" s="19"/>
      <c r="C392" s="19"/>
      <c r="D392" s="19"/>
      <c r="E392" s="19"/>
      <c r="F392" s="19"/>
      <c r="G392" s="19"/>
      <c r="P392" s="29"/>
      <c r="Q392" s="29"/>
      <c r="Y392" s="29"/>
      <c r="Z392" s="29"/>
      <c r="AA392" s="29"/>
      <c r="AB392" s="29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</row>
    <row r="393" spans="1:62" s="20" customFormat="1" x14ac:dyDescent="0.7">
      <c r="A393" s="17"/>
      <c r="B393" s="19"/>
      <c r="C393" s="19"/>
      <c r="D393" s="19"/>
      <c r="E393" s="19"/>
      <c r="F393" s="19"/>
      <c r="G393" s="19"/>
      <c r="P393" s="29"/>
      <c r="Q393" s="29"/>
      <c r="Y393" s="29"/>
      <c r="Z393" s="29"/>
      <c r="AA393" s="29"/>
      <c r="AB393" s="29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</row>
    <row r="394" spans="1:62" s="20" customFormat="1" x14ac:dyDescent="0.7">
      <c r="A394" s="17"/>
      <c r="B394" s="19"/>
      <c r="C394" s="19"/>
      <c r="D394" s="19"/>
      <c r="E394" s="19"/>
      <c r="F394" s="19"/>
      <c r="G394" s="19"/>
      <c r="P394" s="29"/>
      <c r="Q394" s="29"/>
      <c r="Y394" s="29"/>
      <c r="Z394" s="29"/>
      <c r="AA394" s="29"/>
      <c r="AB394" s="29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</row>
    <row r="395" spans="1:62" s="20" customFormat="1" x14ac:dyDescent="0.7">
      <c r="A395" s="17"/>
      <c r="B395" s="19"/>
      <c r="C395" s="19"/>
      <c r="D395" s="19"/>
      <c r="E395" s="19"/>
      <c r="F395" s="19"/>
      <c r="G395" s="19"/>
      <c r="P395" s="29"/>
      <c r="Q395" s="29"/>
      <c r="Y395" s="29"/>
      <c r="Z395" s="29"/>
      <c r="AA395" s="29"/>
      <c r="AB395" s="29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</row>
    <row r="396" spans="1:62" s="20" customFormat="1" x14ac:dyDescent="0.7">
      <c r="A396" s="17"/>
      <c r="B396" s="19"/>
      <c r="C396" s="19"/>
      <c r="D396" s="19"/>
      <c r="E396" s="19"/>
      <c r="F396" s="19"/>
      <c r="G396" s="19"/>
      <c r="P396" s="29"/>
      <c r="Q396" s="29"/>
      <c r="Y396" s="29"/>
      <c r="Z396" s="29"/>
      <c r="AA396" s="29"/>
      <c r="AB396" s="29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</row>
    <row r="397" spans="1:62" s="20" customFormat="1" x14ac:dyDescent="0.7">
      <c r="A397" s="17"/>
      <c r="B397" s="19"/>
      <c r="C397" s="19"/>
      <c r="D397" s="19"/>
      <c r="E397" s="19"/>
      <c r="F397" s="19"/>
      <c r="G397" s="19"/>
      <c r="P397" s="29"/>
      <c r="Q397" s="29"/>
      <c r="Y397" s="29"/>
      <c r="Z397" s="29"/>
      <c r="AA397" s="29"/>
      <c r="AB397" s="29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</row>
    <row r="398" spans="1:62" s="20" customFormat="1" x14ac:dyDescent="0.7">
      <c r="A398" s="17"/>
      <c r="B398" s="19"/>
      <c r="C398" s="19"/>
      <c r="D398" s="19"/>
      <c r="E398" s="19"/>
      <c r="F398" s="19"/>
      <c r="G398" s="19"/>
      <c r="P398" s="29"/>
      <c r="Q398" s="29"/>
      <c r="Y398" s="29"/>
      <c r="Z398" s="29"/>
      <c r="AA398" s="29"/>
      <c r="AB398" s="29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</row>
    <row r="399" spans="1:62" s="20" customFormat="1" x14ac:dyDescent="0.7">
      <c r="A399" s="17"/>
      <c r="B399" s="19"/>
      <c r="C399" s="19"/>
      <c r="D399" s="19"/>
      <c r="E399" s="19"/>
      <c r="F399" s="19"/>
      <c r="G399" s="19"/>
      <c r="P399" s="29"/>
      <c r="Q399" s="29"/>
      <c r="Y399" s="29"/>
      <c r="Z399" s="29"/>
      <c r="AA399" s="29"/>
      <c r="AB399" s="29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</row>
    <row r="400" spans="1:62" s="20" customFormat="1" x14ac:dyDescent="0.7">
      <c r="A400" s="17"/>
      <c r="B400" s="19"/>
      <c r="C400" s="19"/>
      <c r="D400" s="19"/>
      <c r="E400" s="19"/>
      <c r="F400" s="19"/>
      <c r="G400" s="19"/>
      <c r="P400" s="29"/>
      <c r="Q400" s="29"/>
      <c r="Y400" s="29"/>
      <c r="Z400" s="29"/>
      <c r="AA400" s="29"/>
      <c r="AB400" s="29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</row>
    <row r="401" spans="1:62" s="20" customFormat="1" x14ac:dyDescent="0.7">
      <c r="A401" s="17"/>
      <c r="B401" s="19"/>
      <c r="C401" s="19"/>
      <c r="D401" s="19"/>
      <c r="E401" s="19"/>
      <c r="F401" s="19"/>
      <c r="G401" s="19"/>
      <c r="P401" s="29"/>
      <c r="Q401" s="29"/>
      <c r="Y401" s="29"/>
      <c r="Z401" s="29"/>
      <c r="AA401" s="29"/>
      <c r="AB401" s="29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</row>
    <row r="402" spans="1:62" s="20" customFormat="1" x14ac:dyDescent="0.7">
      <c r="A402" s="17"/>
      <c r="B402" s="19"/>
      <c r="C402" s="19"/>
      <c r="D402" s="19"/>
      <c r="E402" s="19"/>
      <c r="F402" s="19"/>
      <c r="G402" s="19"/>
      <c r="P402" s="29"/>
      <c r="Q402" s="29"/>
      <c r="Y402" s="29"/>
      <c r="Z402" s="29"/>
      <c r="AA402" s="29"/>
      <c r="AB402" s="29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</row>
    <row r="403" spans="1:62" s="20" customFormat="1" x14ac:dyDescent="0.7">
      <c r="A403" s="17"/>
      <c r="B403" s="19"/>
      <c r="C403" s="19"/>
      <c r="D403" s="19"/>
      <c r="E403" s="19"/>
      <c r="F403" s="19"/>
      <c r="G403" s="19"/>
      <c r="P403" s="29"/>
      <c r="Q403" s="29"/>
      <c r="Y403" s="29"/>
      <c r="Z403" s="29"/>
      <c r="AA403" s="29"/>
      <c r="AB403" s="29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</row>
    <row r="404" spans="1:62" s="20" customFormat="1" x14ac:dyDescent="0.7">
      <c r="A404" s="17"/>
      <c r="B404" s="19"/>
      <c r="C404" s="19"/>
      <c r="D404" s="19"/>
      <c r="E404" s="19"/>
      <c r="F404" s="19"/>
      <c r="G404" s="19"/>
      <c r="P404" s="29"/>
      <c r="Q404" s="29"/>
      <c r="Y404" s="29"/>
      <c r="Z404" s="29"/>
      <c r="AA404" s="29"/>
      <c r="AB404" s="29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</row>
    <row r="405" spans="1:62" s="20" customFormat="1" x14ac:dyDescent="0.7">
      <c r="A405" s="17"/>
      <c r="B405" s="19"/>
      <c r="C405" s="19"/>
      <c r="D405" s="19"/>
      <c r="E405" s="19"/>
      <c r="F405" s="19"/>
      <c r="G405" s="19"/>
      <c r="P405" s="29"/>
      <c r="Q405" s="29"/>
      <c r="Y405" s="29"/>
      <c r="Z405" s="29"/>
      <c r="AA405" s="29"/>
      <c r="AB405" s="29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</row>
    <row r="406" spans="1:62" s="20" customFormat="1" x14ac:dyDescent="0.7">
      <c r="A406" s="17"/>
      <c r="B406" s="19"/>
      <c r="C406" s="19"/>
      <c r="D406" s="19"/>
      <c r="E406" s="19"/>
      <c r="F406" s="19"/>
      <c r="G406" s="19"/>
      <c r="P406" s="29"/>
      <c r="Q406" s="29"/>
      <c r="Y406" s="29"/>
      <c r="Z406" s="29"/>
      <c r="AA406" s="29"/>
      <c r="AB406" s="29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</row>
    <row r="407" spans="1:62" s="20" customFormat="1" x14ac:dyDescent="0.7">
      <c r="A407" s="17"/>
      <c r="B407" s="19"/>
      <c r="C407" s="19"/>
      <c r="D407" s="19"/>
      <c r="E407" s="19"/>
      <c r="F407" s="19"/>
      <c r="G407" s="19"/>
      <c r="P407" s="29"/>
      <c r="Q407" s="29"/>
      <c r="Y407" s="29"/>
      <c r="Z407" s="29"/>
      <c r="AA407" s="29"/>
      <c r="AB407" s="29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</row>
    <row r="408" spans="1:62" s="20" customFormat="1" x14ac:dyDescent="0.7">
      <c r="A408" s="17"/>
      <c r="B408" s="19"/>
      <c r="C408" s="19"/>
      <c r="D408" s="19"/>
      <c r="E408" s="19"/>
      <c r="F408" s="19"/>
      <c r="G408" s="19"/>
      <c r="P408" s="29"/>
      <c r="Q408" s="29"/>
      <c r="Y408" s="29"/>
      <c r="Z408" s="29"/>
      <c r="AA408" s="29"/>
      <c r="AB408" s="29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</row>
    <row r="409" spans="1:62" s="20" customFormat="1" x14ac:dyDescent="0.7">
      <c r="A409" s="17"/>
      <c r="B409" s="19"/>
      <c r="C409" s="19"/>
      <c r="D409" s="19"/>
      <c r="E409" s="19"/>
      <c r="F409" s="19"/>
      <c r="G409" s="19"/>
      <c r="P409" s="29"/>
      <c r="Q409" s="29"/>
      <c r="Y409" s="29"/>
      <c r="Z409" s="29"/>
      <c r="AA409" s="29"/>
      <c r="AB409" s="29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</row>
    <row r="410" spans="1:62" s="20" customFormat="1" x14ac:dyDescent="0.7">
      <c r="A410" s="17"/>
      <c r="B410" s="19"/>
      <c r="C410" s="19"/>
      <c r="D410" s="19"/>
      <c r="E410" s="19"/>
      <c r="F410" s="19"/>
      <c r="G410" s="19"/>
      <c r="P410" s="29"/>
      <c r="Q410" s="29"/>
      <c r="Y410" s="29"/>
      <c r="Z410" s="29"/>
      <c r="AA410" s="29"/>
      <c r="AB410" s="29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</row>
    <row r="411" spans="1:62" s="20" customFormat="1" x14ac:dyDescent="0.7">
      <c r="A411" s="17"/>
      <c r="B411" s="19"/>
      <c r="C411" s="19"/>
      <c r="D411" s="19"/>
      <c r="E411" s="19"/>
      <c r="F411" s="19"/>
      <c r="G411" s="19"/>
      <c r="P411" s="29"/>
      <c r="Q411" s="29"/>
      <c r="Y411" s="29"/>
      <c r="Z411" s="29"/>
      <c r="AA411" s="29"/>
      <c r="AB411" s="29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</row>
    <row r="412" spans="1:62" s="20" customFormat="1" x14ac:dyDescent="0.7">
      <c r="A412" s="17"/>
      <c r="B412" s="19"/>
      <c r="C412" s="19"/>
      <c r="D412" s="19"/>
      <c r="E412" s="19"/>
      <c r="F412" s="19"/>
      <c r="G412" s="19"/>
      <c r="P412" s="29"/>
      <c r="Q412" s="29"/>
      <c r="Y412" s="29"/>
      <c r="Z412" s="29"/>
      <c r="AA412" s="29"/>
      <c r="AB412" s="29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</row>
    <row r="413" spans="1:62" s="20" customFormat="1" x14ac:dyDescent="0.7">
      <c r="A413" s="17"/>
      <c r="B413" s="19"/>
      <c r="C413" s="19"/>
      <c r="D413" s="19"/>
      <c r="E413" s="19"/>
      <c r="F413" s="19"/>
      <c r="G413" s="19"/>
      <c r="P413" s="29"/>
      <c r="Q413" s="29"/>
      <c r="Y413" s="29"/>
      <c r="Z413" s="29"/>
      <c r="AA413" s="29"/>
      <c r="AB413" s="29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</row>
    <row r="414" spans="1:62" s="20" customFormat="1" x14ac:dyDescent="0.7">
      <c r="A414" s="17"/>
      <c r="B414" s="19"/>
      <c r="C414" s="19"/>
      <c r="D414" s="19"/>
      <c r="E414" s="19"/>
      <c r="F414" s="19"/>
      <c r="G414" s="19"/>
      <c r="P414" s="29"/>
      <c r="Q414" s="29"/>
      <c r="Y414" s="29"/>
      <c r="Z414" s="29"/>
      <c r="AA414" s="29"/>
      <c r="AB414" s="29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</row>
    <row r="415" spans="1:62" s="20" customFormat="1" x14ac:dyDescent="0.7">
      <c r="A415" s="17"/>
      <c r="B415" s="19"/>
      <c r="C415" s="19"/>
      <c r="D415" s="19"/>
      <c r="E415" s="19"/>
      <c r="F415" s="19"/>
      <c r="G415" s="19"/>
      <c r="P415" s="29"/>
      <c r="Q415" s="29"/>
      <c r="Y415" s="29"/>
      <c r="Z415" s="29"/>
      <c r="AA415" s="29"/>
      <c r="AB415" s="29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</row>
    <row r="416" spans="1:62" s="20" customFormat="1" x14ac:dyDescent="0.7">
      <c r="A416" s="17"/>
      <c r="B416" s="19"/>
      <c r="C416" s="19"/>
      <c r="D416" s="19"/>
      <c r="E416" s="19"/>
      <c r="F416" s="19"/>
      <c r="G416" s="19"/>
      <c r="P416" s="29"/>
      <c r="Q416" s="29"/>
      <c r="Y416" s="29"/>
      <c r="Z416" s="29"/>
      <c r="AA416" s="29"/>
      <c r="AB416" s="29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</row>
    <row r="417" spans="1:62" s="20" customFormat="1" x14ac:dyDescent="0.7">
      <c r="A417" s="17"/>
      <c r="B417" s="19"/>
      <c r="C417" s="19"/>
      <c r="D417" s="19"/>
      <c r="E417" s="19"/>
      <c r="F417" s="19"/>
      <c r="G417" s="19"/>
      <c r="P417" s="29"/>
      <c r="Q417" s="29"/>
      <c r="Y417" s="29"/>
      <c r="Z417" s="29"/>
      <c r="AA417" s="29"/>
      <c r="AB417" s="29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</row>
    <row r="418" spans="1:62" s="20" customFormat="1" x14ac:dyDescent="0.7">
      <c r="A418" s="17"/>
      <c r="B418" s="19"/>
      <c r="C418" s="19"/>
      <c r="D418" s="19"/>
      <c r="E418" s="19"/>
      <c r="F418" s="19"/>
      <c r="G418" s="19"/>
      <c r="P418" s="29"/>
      <c r="Q418" s="29"/>
      <c r="Y418" s="29"/>
      <c r="Z418" s="29"/>
      <c r="AA418" s="29"/>
      <c r="AB418" s="29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</row>
    <row r="419" spans="1:62" s="20" customFormat="1" x14ac:dyDescent="0.7">
      <c r="A419" s="17"/>
      <c r="B419" s="19"/>
      <c r="C419" s="19"/>
      <c r="D419" s="19"/>
      <c r="E419" s="19"/>
      <c r="F419" s="19"/>
      <c r="G419" s="19"/>
      <c r="P419" s="29"/>
      <c r="Q419" s="29"/>
      <c r="Y419" s="29"/>
      <c r="Z419" s="29"/>
      <c r="AA419" s="29"/>
      <c r="AB419" s="29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</row>
    <row r="420" spans="1:62" s="20" customFormat="1" x14ac:dyDescent="0.7">
      <c r="A420" s="17"/>
      <c r="B420" s="19"/>
      <c r="C420" s="19"/>
      <c r="D420" s="19"/>
      <c r="E420" s="19"/>
      <c r="F420" s="19"/>
      <c r="G420" s="19"/>
      <c r="P420" s="29"/>
      <c r="Q420" s="29"/>
      <c r="Y420" s="29"/>
      <c r="Z420" s="29"/>
      <c r="AA420" s="29"/>
      <c r="AB420" s="29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</row>
    <row r="421" spans="1:62" s="20" customFormat="1" x14ac:dyDescent="0.7">
      <c r="A421" s="17"/>
      <c r="B421" s="19"/>
      <c r="C421" s="19"/>
      <c r="D421" s="19"/>
      <c r="E421" s="19"/>
      <c r="F421" s="19"/>
      <c r="G421" s="19"/>
      <c r="P421" s="29"/>
      <c r="Q421" s="29"/>
      <c r="Y421" s="29"/>
      <c r="Z421" s="29"/>
      <c r="AA421" s="29"/>
      <c r="AB421" s="29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</row>
    <row r="422" spans="1:62" s="20" customFormat="1" x14ac:dyDescent="0.7">
      <c r="A422" s="17"/>
      <c r="B422" s="19"/>
      <c r="C422" s="19"/>
      <c r="D422" s="19"/>
      <c r="E422" s="19"/>
      <c r="F422" s="19"/>
      <c r="G422" s="19"/>
      <c r="P422" s="29"/>
      <c r="Q422" s="29"/>
      <c r="Y422" s="29"/>
      <c r="Z422" s="29"/>
      <c r="AA422" s="29"/>
      <c r="AB422" s="29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</row>
    <row r="423" spans="1:62" s="20" customFormat="1" x14ac:dyDescent="0.7">
      <c r="A423" s="17"/>
      <c r="B423" s="19"/>
      <c r="C423" s="19"/>
      <c r="D423" s="19"/>
      <c r="E423" s="19"/>
      <c r="F423" s="19"/>
      <c r="G423" s="19"/>
      <c r="P423" s="29"/>
      <c r="Q423" s="29"/>
      <c r="Y423" s="29"/>
      <c r="Z423" s="29"/>
      <c r="AA423" s="29"/>
      <c r="AB423" s="29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</row>
    <row r="424" spans="1:62" s="20" customFormat="1" x14ac:dyDescent="0.7">
      <c r="A424" s="17"/>
      <c r="B424" s="19"/>
      <c r="C424" s="19"/>
      <c r="D424" s="19"/>
      <c r="E424" s="19"/>
      <c r="F424" s="19"/>
      <c r="G424" s="19"/>
      <c r="P424" s="29"/>
      <c r="Q424" s="29"/>
      <c r="Y424" s="29"/>
      <c r="Z424" s="29"/>
      <c r="AA424" s="29"/>
      <c r="AB424" s="29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</row>
    <row r="425" spans="1:62" s="20" customFormat="1" x14ac:dyDescent="0.7">
      <c r="A425" s="17"/>
      <c r="B425" s="19"/>
      <c r="C425" s="19"/>
      <c r="D425" s="19"/>
      <c r="E425" s="19"/>
      <c r="F425" s="19"/>
      <c r="G425" s="19"/>
      <c r="P425" s="29"/>
      <c r="Q425" s="29"/>
      <c r="Y425" s="29"/>
      <c r="Z425" s="29"/>
      <c r="AA425" s="29"/>
      <c r="AB425" s="29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</row>
    <row r="426" spans="1:62" s="20" customFormat="1" x14ac:dyDescent="0.7">
      <c r="A426" s="17"/>
      <c r="B426" s="19"/>
      <c r="C426" s="19"/>
      <c r="D426" s="19"/>
      <c r="E426" s="19"/>
      <c r="F426" s="19"/>
      <c r="G426" s="19"/>
      <c r="P426" s="29"/>
      <c r="Q426" s="29"/>
      <c r="Y426" s="29"/>
      <c r="Z426" s="29"/>
      <c r="AA426" s="29"/>
      <c r="AB426" s="29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</row>
    <row r="427" spans="1:62" s="20" customFormat="1" x14ac:dyDescent="0.7">
      <c r="A427" s="17"/>
      <c r="B427" s="19"/>
      <c r="C427" s="19"/>
      <c r="D427" s="19"/>
      <c r="E427" s="19"/>
      <c r="F427" s="19"/>
      <c r="G427" s="19"/>
      <c r="P427" s="29"/>
      <c r="Q427" s="29"/>
      <c r="Y427" s="29"/>
      <c r="Z427" s="29"/>
      <c r="AA427" s="29"/>
      <c r="AB427" s="29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</row>
    <row r="428" spans="1:62" s="20" customFormat="1" x14ac:dyDescent="0.7">
      <c r="A428" s="17"/>
      <c r="B428" s="19"/>
      <c r="C428" s="19"/>
      <c r="D428" s="19"/>
      <c r="E428" s="19"/>
      <c r="F428" s="19"/>
      <c r="G428" s="19"/>
      <c r="P428" s="29"/>
      <c r="Q428" s="29"/>
      <c r="Y428" s="29"/>
      <c r="Z428" s="29"/>
      <c r="AA428" s="29"/>
      <c r="AB428" s="29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</row>
    <row r="429" spans="1:62" s="20" customFormat="1" x14ac:dyDescent="0.7">
      <c r="A429" s="17"/>
      <c r="B429" s="19"/>
      <c r="C429" s="19"/>
      <c r="D429" s="19"/>
      <c r="E429" s="19"/>
      <c r="F429" s="19"/>
      <c r="G429" s="19"/>
      <c r="P429" s="29"/>
      <c r="Q429" s="29"/>
      <c r="Y429" s="29"/>
      <c r="Z429" s="29"/>
      <c r="AA429" s="29"/>
      <c r="AB429" s="29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</row>
    <row r="430" spans="1:62" s="20" customFormat="1" x14ac:dyDescent="0.7">
      <c r="A430" s="17"/>
      <c r="B430" s="19"/>
      <c r="C430" s="19"/>
      <c r="D430" s="19"/>
      <c r="E430" s="19"/>
      <c r="F430" s="19"/>
      <c r="G430" s="19"/>
      <c r="P430" s="29"/>
      <c r="Q430" s="29"/>
      <c r="Y430" s="29"/>
      <c r="Z430" s="29"/>
      <c r="AA430" s="29"/>
      <c r="AB430" s="29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</row>
    <row r="431" spans="1:62" s="20" customFormat="1" x14ac:dyDescent="0.7">
      <c r="A431" s="17"/>
      <c r="B431" s="19"/>
      <c r="C431" s="19"/>
      <c r="D431" s="19"/>
      <c r="E431" s="19"/>
      <c r="F431" s="19"/>
      <c r="G431" s="19"/>
      <c r="P431" s="29"/>
      <c r="Q431" s="29"/>
      <c r="Y431" s="29"/>
      <c r="Z431" s="29"/>
      <c r="AA431" s="29"/>
      <c r="AB431" s="29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</row>
    <row r="432" spans="1:62" s="20" customFormat="1" x14ac:dyDescent="0.7">
      <c r="A432" s="17"/>
      <c r="B432" s="19"/>
      <c r="C432" s="19"/>
      <c r="D432" s="19"/>
      <c r="E432" s="19"/>
      <c r="F432" s="19"/>
      <c r="G432" s="19"/>
      <c r="P432" s="29"/>
      <c r="Q432" s="29"/>
      <c r="Y432" s="29"/>
      <c r="Z432" s="29"/>
      <c r="AA432" s="29"/>
      <c r="AB432" s="29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</row>
    <row r="433" spans="1:62" s="20" customFormat="1" x14ac:dyDescent="0.7">
      <c r="A433" s="17"/>
      <c r="B433" s="19"/>
      <c r="C433" s="19"/>
      <c r="D433" s="19"/>
      <c r="E433" s="19"/>
      <c r="F433" s="19"/>
      <c r="G433" s="19"/>
      <c r="P433" s="29"/>
      <c r="Q433" s="29"/>
      <c r="Y433" s="29"/>
      <c r="Z433" s="29"/>
      <c r="AA433" s="29"/>
      <c r="AB433" s="29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</row>
    <row r="434" spans="1:62" s="20" customFormat="1" x14ac:dyDescent="0.7">
      <c r="A434" s="17"/>
      <c r="B434" s="19"/>
      <c r="C434" s="19"/>
      <c r="D434" s="19"/>
      <c r="E434" s="19"/>
      <c r="F434" s="19"/>
      <c r="G434" s="19"/>
      <c r="P434" s="29"/>
      <c r="Q434" s="29"/>
      <c r="Y434" s="29"/>
      <c r="Z434" s="29"/>
      <c r="AA434" s="29"/>
      <c r="AB434" s="29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</row>
    <row r="435" spans="1:62" s="20" customFormat="1" x14ac:dyDescent="0.7">
      <c r="A435" s="17"/>
      <c r="B435" s="19"/>
      <c r="C435" s="19"/>
      <c r="D435" s="19"/>
      <c r="E435" s="19"/>
      <c r="F435" s="19"/>
      <c r="G435" s="19"/>
      <c r="P435" s="29"/>
      <c r="Q435" s="29"/>
      <c r="Y435" s="29"/>
      <c r="Z435" s="29"/>
      <c r="AA435" s="29"/>
      <c r="AB435" s="29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</row>
    <row r="436" spans="1:62" s="20" customFormat="1" x14ac:dyDescent="0.7">
      <c r="A436" s="17"/>
      <c r="B436" s="19"/>
      <c r="C436" s="19"/>
      <c r="D436" s="19"/>
      <c r="E436" s="19"/>
      <c r="F436" s="19"/>
      <c r="G436" s="19"/>
      <c r="P436" s="29"/>
      <c r="Q436" s="29"/>
      <c r="Y436" s="29"/>
      <c r="Z436" s="29"/>
      <c r="AA436" s="29"/>
      <c r="AB436" s="29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</row>
    <row r="437" spans="1:62" s="20" customFormat="1" x14ac:dyDescent="0.7">
      <c r="A437" s="17"/>
      <c r="B437" s="19"/>
      <c r="C437" s="19"/>
      <c r="D437" s="19"/>
      <c r="E437" s="19"/>
      <c r="F437" s="19"/>
      <c r="G437" s="19"/>
      <c r="P437" s="29"/>
      <c r="Q437" s="29"/>
      <c r="Y437" s="29"/>
      <c r="Z437" s="29"/>
      <c r="AA437" s="29"/>
      <c r="AB437" s="29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</row>
    <row r="438" spans="1:62" s="20" customFormat="1" x14ac:dyDescent="0.7">
      <c r="A438" s="17"/>
      <c r="B438" s="19"/>
      <c r="C438" s="19"/>
      <c r="D438" s="19"/>
      <c r="E438" s="19"/>
      <c r="F438" s="19"/>
      <c r="G438" s="19"/>
      <c r="P438" s="29"/>
      <c r="Q438" s="29"/>
      <c r="Y438" s="29"/>
      <c r="Z438" s="29"/>
      <c r="AA438" s="29"/>
      <c r="AB438" s="29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</row>
    <row r="439" spans="1:62" s="20" customFormat="1" x14ac:dyDescent="0.7">
      <c r="A439" s="17"/>
      <c r="B439" s="19"/>
      <c r="C439" s="19"/>
      <c r="D439" s="19"/>
      <c r="E439" s="19"/>
      <c r="F439" s="19"/>
      <c r="G439" s="19"/>
      <c r="P439" s="29"/>
      <c r="Q439" s="29"/>
      <c r="Y439" s="29"/>
      <c r="Z439" s="29"/>
      <c r="AA439" s="29"/>
      <c r="AB439" s="29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</row>
    <row r="440" spans="1:62" s="20" customFormat="1" x14ac:dyDescent="0.7">
      <c r="A440" s="17"/>
      <c r="B440" s="19"/>
      <c r="C440" s="19"/>
      <c r="D440" s="19"/>
      <c r="E440" s="19"/>
      <c r="F440" s="19"/>
      <c r="G440" s="19"/>
      <c r="P440" s="29"/>
      <c r="Q440" s="29"/>
      <c r="Y440" s="29"/>
      <c r="Z440" s="29"/>
      <c r="AA440" s="29"/>
      <c r="AB440" s="29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</row>
    <row r="441" spans="1:62" s="20" customFormat="1" x14ac:dyDescent="0.7">
      <c r="A441" s="17"/>
      <c r="B441" s="19"/>
      <c r="C441" s="19"/>
      <c r="D441" s="19"/>
      <c r="E441" s="19"/>
      <c r="F441" s="19"/>
      <c r="G441" s="19"/>
      <c r="P441" s="29"/>
      <c r="Q441" s="29"/>
      <c r="Y441" s="29"/>
      <c r="Z441" s="29"/>
      <c r="AA441" s="29"/>
      <c r="AB441" s="29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</row>
    <row r="442" spans="1:62" s="20" customFormat="1" x14ac:dyDescent="0.7">
      <c r="A442" s="17"/>
      <c r="B442" s="19"/>
      <c r="C442" s="19"/>
      <c r="D442" s="19"/>
      <c r="E442" s="19"/>
      <c r="F442" s="19"/>
      <c r="G442" s="19"/>
      <c r="P442" s="29"/>
      <c r="Q442" s="29"/>
      <c r="Y442" s="29"/>
      <c r="Z442" s="29"/>
      <c r="AA442" s="29"/>
      <c r="AB442" s="29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</row>
    <row r="443" spans="1:62" s="20" customFormat="1" x14ac:dyDescent="0.7">
      <c r="A443" s="17"/>
      <c r="B443" s="19"/>
      <c r="C443" s="19"/>
      <c r="D443" s="19"/>
      <c r="E443" s="19"/>
      <c r="F443" s="19"/>
      <c r="G443" s="19"/>
      <c r="P443" s="29"/>
      <c r="Q443" s="29"/>
      <c r="Y443" s="29"/>
      <c r="Z443" s="29"/>
      <c r="AA443" s="29"/>
      <c r="AB443" s="29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</row>
    <row r="444" spans="1:62" s="20" customFormat="1" x14ac:dyDescent="0.7">
      <c r="A444" s="17"/>
      <c r="B444" s="19"/>
      <c r="C444" s="19"/>
      <c r="D444" s="19"/>
      <c r="E444" s="19"/>
      <c r="F444" s="19"/>
      <c r="G444" s="19"/>
      <c r="P444" s="29"/>
      <c r="Q444" s="29"/>
      <c r="Y444" s="29"/>
      <c r="Z444" s="29"/>
      <c r="AA444" s="29"/>
      <c r="AB444" s="29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</row>
    <row r="445" spans="1:62" s="20" customFormat="1" x14ac:dyDescent="0.7">
      <c r="A445" s="17"/>
      <c r="B445" s="19"/>
      <c r="C445" s="19"/>
      <c r="D445" s="19"/>
      <c r="E445" s="19"/>
      <c r="F445" s="19"/>
      <c r="G445" s="19"/>
      <c r="P445" s="29"/>
      <c r="Q445" s="29"/>
      <c r="Y445" s="29"/>
      <c r="Z445" s="29"/>
      <c r="AA445" s="29"/>
      <c r="AB445" s="29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</row>
    <row r="446" spans="1:62" s="20" customFormat="1" x14ac:dyDescent="0.7">
      <c r="A446" s="17"/>
      <c r="B446" s="19"/>
      <c r="C446" s="19"/>
      <c r="D446" s="19"/>
      <c r="E446" s="19"/>
      <c r="F446" s="19"/>
      <c r="G446" s="19"/>
      <c r="P446" s="29"/>
      <c r="Q446" s="29"/>
      <c r="Y446" s="29"/>
      <c r="Z446" s="29"/>
      <c r="AA446" s="29"/>
      <c r="AB446" s="29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</row>
    <row r="447" spans="1:62" s="20" customFormat="1" x14ac:dyDescent="0.7">
      <c r="A447" s="17"/>
      <c r="B447" s="19"/>
      <c r="C447" s="19"/>
      <c r="D447" s="19"/>
      <c r="E447" s="19"/>
      <c r="F447" s="19"/>
      <c r="G447" s="19"/>
      <c r="P447" s="29"/>
      <c r="Q447" s="29"/>
      <c r="Y447" s="29"/>
      <c r="Z447" s="29"/>
      <c r="AA447" s="29"/>
      <c r="AB447" s="29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</row>
    <row r="448" spans="1:62" s="20" customFormat="1" x14ac:dyDescent="0.7">
      <c r="A448" s="17"/>
      <c r="B448" s="19"/>
      <c r="C448" s="19"/>
      <c r="D448" s="19"/>
      <c r="E448" s="19"/>
      <c r="F448" s="19"/>
      <c r="G448" s="19"/>
      <c r="P448" s="29"/>
      <c r="Q448" s="29"/>
      <c r="Y448" s="29"/>
      <c r="Z448" s="29"/>
      <c r="AA448" s="29"/>
      <c r="AB448" s="29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</row>
    <row r="449" spans="1:62" s="20" customFormat="1" x14ac:dyDescent="0.7">
      <c r="A449" s="17"/>
      <c r="B449" s="19"/>
      <c r="C449" s="19"/>
      <c r="D449" s="19"/>
      <c r="E449" s="19"/>
      <c r="F449" s="19"/>
      <c r="G449" s="19"/>
      <c r="P449" s="29"/>
      <c r="Q449" s="29"/>
      <c r="Y449" s="29"/>
      <c r="Z449" s="29"/>
      <c r="AA449" s="29"/>
      <c r="AB449" s="29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</row>
    <row r="450" spans="1:62" s="20" customFormat="1" x14ac:dyDescent="0.7">
      <c r="A450" s="17"/>
      <c r="B450" s="19"/>
      <c r="C450" s="19"/>
      <c r="D450" s="19"/>
      <c r="E450" s="19"/>
      <c r="F450" s="19"/>
      <c r="G450" s="19"/>
      <c r="P450" s="29"/>
      <c r="Q450" s="29"/>
      <c r="Y450" s="29"/>
      <c r="Z450" s="29"/>
      <c r="AA450" s="29"/>
      <c r="AB450" s="29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</row>
    <row r="451" spans="1:62" s="20" customFormat="1" x14ac:dyDescent="0.7">
      <c r="A451" s="17"/>
      <c r="B451" s="19"/>
      <c r="C451" s="19"/>
      <c r="D451" s="19"/>
      <c r="E451" s="19"/>
      <c r="F451" s="19"/>
      <c r="G451" s="19"/>
      <c r="P451" s="29"/>
      <c r="Q451" s="29"/>
      <c r="Y451" s="29"/>
      <c r="Z451" s="29"/>
      <c r="AA451" s="29"/>
      <c r="AB451" s="29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</row>
    <row r="452" spans="1:62" s="20" customFormat="1" x14ac:dyDescent="0.7">
      <c r="A452" s="17"/>
      <c r="B452" s="19"/>
      <c r="C452" s="19"/>
      <c r="D452" s="19"/>
      <c r="E452" s="19"/>
      <c r="F452" s="19"/>
      <c r="G452" s="19"/>
      <c r="P452" s="29"/>
      <c r="Q452" s="29"/>
      <c r="Y452" s="29"/>
      <c r="Z452" s="29"/>
      <c r="AA452" s="29"/>
      <c r="AB452" s="29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</row>
    <row r="453" spans="1:62" s="20" customFormat="1" x14ac:dyDescent="0.7">
      <c r="A453" s="17"/>
      <c r="B453" s="19"/>
      <c r="C453" s="19"/>
      <c r="D453" s="19"/>
      <c r="E453" s="19"/>
      <c r="F453" s="19"/>
      <c r="G453" s="19"/>
      <c r="P453" s="29"/>
      <c r="Q453" s="29"/>
      <c r="Y453" s="29"/>
      <c r="Z453" s="29"/>
      <c r="AA453" s="29"/>
      <c r="AB453" s="29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</row>
    <row r="454" spans="1:62" s="20" customFormat="1" x14ac:dyDescent="0.7">
      <c r="A454" s="17"/>
      <c r="B454" s="19"/>
      <c r="C454" s="19"/>
      <c r="D454" s="19"/>
      <c r="E454" s="19"/>
      <c r="F454" s="19"/>
      <c r="G454" s="19"/>
      <c r="P454" s="29"/>
      <c r="Q454" s="29"/>
      <c r="Y454" s="29"/>
      <c r="Z454" s="29"/>
      <c r="AA454" s="29"/>
      <c r="AB454" s="29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</row>
    <row r="455" spans="1:62" s="20" customFormat="1" x14ac:dyDescent="0.7">
      <c r="A455" s="17"/>
      <c r="B455" s="19"/>
      <c r="C455" s="19"/>
      <c r="D455" s="19"/>
      <c r="E455" s="19"/>
      <c r="F455" s="19"/>
      <c r="G455" s="19"/>
      <c r="P455" s="29"/>
      <c r="Q455" s="29"/>
      <c r="Y455" s="29"/>
      <c r="Z455" s="29"/>
      <c r="AA455" s="29"/>
      <c r="AB455" s="29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</row>
    <row r="456" spans="1:62" s="20" customFormat="1" x14ac:dyDescent="0.7">
      <c r="A456" s="17"/>
      <c r="B456" s="19"/>
      <c r="C456" s="19"/>
      <c r="D456" s="19"/>
      <c r="E456" s="19"/>
      <c r="F456" s="19"/>
      <c r="G456" s="19"/>
      <c r="P456" s="29"/>
      <c r="Q456" s="29"/>
      <c r="Y456" s="29"/>
      <c r="Z456" s="29"/>
      <c r="AA456" s="29"/>
      <c r="AB456" s="29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</row>
    <row r="457" spans="1:62" s="20" customFormat="1" x14ac:dyDescent="0.7">
      <c r="A457" s="17"/>
      <c r="B457" s="19"/>
      <c r="C457" s="19"/>
      <c r="D457" s="19"/>
      <c r="E457" s="19"/>
      <c r="F457" s="19"/>
      <c r="G457" s="19"/>
      <c r="P457" s="29"/>
      <c r="Q457" s="29"/>
      <c r="Y457" s="29"/>
      <c r="Z457" s="29"/>
      <c r="AA457" s="29"/>
      <c r="AB457" s="29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</row>
    <row r="458" spans="1:62" s="20" customFormat="1" x14ac:dyDescent="0.7">
      <c r="A458" s="17"/>
      <c r="B458" s="19"/>
      <c r="C458" s="19"/>
      <c r="D458" s="19"/>
      <c r="E458" s="19"/>
      <c r="F458" s="19"/>
      <c r="G458" s="19"/>
      <c r="P458" s="29"/>
      <c r="Q458" s="29"/>
      <c r="Y458" s="29"/>
      <c r="Z458" s="29"/>
      <c r="AA458" s="29"/>
      <c r="AB458" s="29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</row>
    <row r="459" spans="1:62" s="20" customFormat="1" x14ac:dyDescent="0.7">
      <c r="A459" s="17"/>
      <c r="B459" s="19"/>
      <c r="C459" s="19"/>
      <c r="D459" s="19"/>
      <c r="E459" s="19"/>
      <c r="F459" s="19"/>
      <c r="G459" s="19"/>
      <c r="P459" s="29"/>
      <c r="Q459" s="29"/>
      <c r="Y459" s="29"/>
      <c r="Z459" s="29"/>
      <c r="AA459" s="29"/>
      <c r="AB459" s="29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</row>
    <row r="460" spans="1:62" s="20" customFormat="1" x14ac:dyDescent="0.7">
      <c r="A460" s="17"/>
      <c r="B460" s="19"/>
      <c r="C460" s="19"/>
      <c r="D460" s="19"/>
      <c r="E460" s="19"/>
      <c r="F460" s="19"/>
      <c r="G460" s="19"/>
      <c r="P460" s="29"/>
      <c r="Q460" s="29"/>
      <c r="Y460" s="29"/>
      <c r="Z460" s="29"/>
      <c r="AA460" s="29"/>
      <c r="AB460" s="29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</row>
    <row r="461" spans="1:62" s="20" customFormat="1" x14ac:dyDescent="0.7">
      <c r="A461" s="17"/>
      <c r="B461" s="19"/>
      <c r="C461" s="19"/>
      <c r="D461" s="19"/>
      <c r="E461" s="19"/>
      <c r="F461" s="19"/>
      <c r="G461" s="19"/>
      <c r="P461" s="29"/>
      <c r="Q461" s="29"/>
      <c r="Y461" s="29"/>
      <c r="Z461" s="29"/>
      <c r="AA461" s="29"/>
      <c r="AB461" s="29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</row>
    <row r="462" spans="1:62" s="20" customFormat="1" x14ac:dyDescent="0.7">
      <c r="A462" s="17"/>
      <c r="B462" s="19"/>
      <c r="C462" s="19"/>
      <c r="D462" s="19"/>
      <c r="E462" s="19"/>
      <c r="F462" s="19"/>
      <c r="G462" s="19"/>
      <c r="P462" s="29"/>
      <c r="Q462" s="29"/>
      <c r="Y462" s="29"/>
      <c r="Z462" s="29"/>
      <c r="AA462" s="29"/>
      <c r="AB462" s="29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</row>
    <row r="463" spans="1:62" s="20" customFormat="1" x14ac:dyDescent="0.7">
      <c r="A463" s="17"/>
      <c r="B463" s="19"/>
      <c r="C463" s="19"/>
      <c r="D463" s="19"/>
      <c r="E463" s="19"/>
      <c r="F463" s="19"/>
      <c r="G463" s="19"/>
      <c r="P463" s="29"/>
      <c r="Q463" s="29"/>
      <c r="Y463" s="29"/>
      <c r="Z463" s="29"/>
      <c r="AA463" s="29"/>
      <c r="AB463" s="29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</row>
    <row r="464" spans="1:62" s="20" customFormat="1" x14ac:dyDescent="0.7">
      <c r="A464" s="17"/>
      <c r="B464" s="19"/>
      <c r="C464" s="19"/>
      <c r="D464" s="19"/>
      <c r="E464" s="19"/>
      <c r="F464" s="19"/>
      <c r="G464" s="19"/>
      <c r="P464" s="29"/>
      <c r="Q464" s="29"/>
      <c r="Y464" s="29"/>
      <c r="Z464" s="29"/>
      <c r="AA464" s="29"/>
      <c r="AB464" s="29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</row>
    <row r="465" spans="1:62" s="20" customFormat="1" x14ac:dyDescent="0.7">
      <c r="A465" s="17"/>
      <c r="B465" s="19"/>
      <c r="C465" s="19"/>
      <c r="D465" s="19"/>
      <c r="E465" s="19"/>
      <c r="F465" s="19"/>
      <c r="G465" s="19"/>
      <c r="P465" s="29"/>
      <c r="Q465" s="29"/>
      <c r="Y465" s="29"/>
      <c r="Z465" s="29"/>
      <c r="AA465" s="29"/>
      <c r="AB465" s="29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</row>
    <row r="466" spans="1:62" s="20" customFormat="1" x14ac:dyDescent="0.7">
      <c r="A466" s="17"/>
      <c r="B466" s="19"/>
      <c r="C466" s="19"/>
      <c r="D466" s="19"/>
      <c r="E466" s="19"/>
      <c r="F466" s="19"/>
      <c r="G466" s="19"/>
      <c r="P466" s="29"/>
      <c r="Q466" s="29"/>
      <c r="Y466" s="29"/>
      <c r="Z466" s="29"/>
      <c r="AA466" s="29"/>
      <c r="AB466" s="29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</row>
    <row r="467" spans="1:62" s="20" customFormat="1" x14ac:dyDescent="0.7">
      <c r="A467" s="17"/>
      <c r="B467" s="19"/>
      <c r="C467" s="19"/>
      <c r="D467" s="19"/>
      <c r="E467" s="19"/>
      <c r="F467" s="19"/>
      <c r="G467" s="19"/>
      <c r="P467" s="29"/>
      <c r="Q467" s="29"/>
      <c r="Y467" s="29"/>
      <c r="Z467" s="29"/>
      <c r="AA467" s="29"/>
      <c r="AB467" s="29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</row>
    <row r="468" spans="1:62" s="20" customFormat="1" x14ac:dyDescent="0.7">
      <c r="A468" s="17"/>
      <c r="B468" s="19"/>
      <c r="C468" s="19"/>
      <c r="D468" s="19"/>
      <c r="E468" s="19"/>
      <c r="F468" s="19"/>
      <c r="G468" s="19"/>
      <c r="P468" s="29"/>
      <c r="Q468" s="29"/>
      <c r="Y468" s="29"/>
      <c r="Z468" s="29"/>
      <c r="AA468" s="29"/>
      <c r="AB468" s="29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</row>
    <row r="469" spans="1:62" s="20" customFormat="1" x14ac:dyDescent="0.7">
      <c r="A469" s="17"/>
      <c r="B469" s="19"/>
      <c r="C469" s="19"/>
      <c r="D469" s="19"/>
      <c r="E469" s="19"/>
      <c r="F469" s="19"/>
      <c r="G469" s="19"/>
      <c r="P469" s="29"/>
      <c r="Q469" s="29"/>
      <c r="Y469" s="29"/>
      <c r="Z469" s="29"/>
      <c r="AA469" s="29"/>
      <c r="AB469" s="29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</row>
    <row r="470" spans="1:62" s="20" customFormat="1" x14ac:dyDescent="0.7">
      <c r="A470" s="17"/>
      <c r="B470" s="19"/>
      <c r="C470" s="19"/>
      <c r="D470" s="19"/>
      <c r="E470" s="19"/>
      <c r="F470" s="19"/>
      <c r="G470" s="19"/>
      <c r="P470" s="29"/>
      <c r="Q470" s="29"/>
      <c r="Y470" s="29"/>
      <c r="Z470" s="29"/>
      <c r="AA470" s="29"/>
      <c r="AB470" s="29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</row>
    <row r="471" spans="1:62" s="20" customFormat="1" x14ac:dyDescent="0.7">
      <c r="A471" s="17"/>
      <c r="B471" s="19"/>
      <c r="C471" s="19"/>
      <c r="D471" s="19"/>
      <c r="E471" s="19"/>
      <c r="F471" s="19"/>
      <c r="G471" s="19"/>
      <c r="P471" s="29"/>
      <c r="Q471" s="29"/>
      <c r="Y471" s="29"/>
      <c r="Z471" s="29"/>
      <c r="AA471" s="29"/>
      <c r="AB471" s="29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</row>
    <row r="472" spans="1:62" s="20" customFormat="1" x14ac:dyDescent="0.7">
      <c r="A472" s="17"/>
      <c r="B472" s="19"/>
      <c r="C472" s="19"/>
      <c r="D472" s="19"/>
      <c r="E472" s="19"/>
      <c r="F472" s="19"/>
      <c r="G472" s="19"/>
      <c r="P472" s="29"/>
      <c r="Q472" s="29"/>
      <c r="Y472" s="29"/>
      <c r="Z472" s="29"/>
      <c r="AA472" s="29"/>
      <c r="AB472" s="29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</row>
    <row r="473" spans="1:62" s="20" customFormat="1" x14ac:dyDescent="0.7">
      <c r="A473" s="17"/>
      <c r="B473" s="19"/>
      <c r="C473" s="19"/>
      <c r="D473" s="19"/>
      <c r="E473" s="19"/>
      <c r="F473" s="19"/>
      <c r="G473" s="19"/>
      <c r="P473" s="29"/>
      <c r="Q473" s="29"/>
      <c r="Y473" s="29"/>
      <c r="Z473" s="29"/>
      <c r="AA473" s="29"/>
      <c r="AB473" s="29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</row>
    <row r="474" spans="1:62" s="20" customFormat="1" x14ac:dyDescent="0.7">
      <c r="A474" s="17"/>
      <c r="B474" s="19"/>
      <c r="C474" s="19"/>
      <c r="D474" s="19"/>
      <c r="E474" s="19"/>
      <c r="F474" s="19"/>
      <c r="G474" s="19"/>
      <c r="P474" s="29"/>
      <c r="Q474" s="29"/>
      <c r="Y474" s="29"/>
      <c r="Z474" s="29"/>
      <c r="AA474" s="29"/>
      <c r="AB474" s="29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</row>
    <row r="475" spans="1:62" s="20" customFormat="1" x14ac:dyDescent="0.7">
      <c r="A475" s="17"/>
      <c r="B475" s="19"/>
      <c r="C475" s="19"/>
      <c r="D475" s="19"/>
      <c r="E475" s="19"/>
      <c r="F475" s="19"/>
      <c r="G475" s="19"/>
      <c r="P475" s="29"/>
      <c r="Q475" s="29"/>
      <c r="Y475" s="29"/>
      <c r="Z475" s="29"/>
      <c r="AA475" s="29"/>
      <c r="AB475" s="29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</row>
    <row r="476" spans="1:62" s="20" customFormat="1" x14ac:dyDescent="0.7">
      <c r="A476" s="17"/>
      <c r="B476" s="19"/>
      <c r="C476" s="19"/>
      <c r="D476" s="19"/>
      <c r="E476" s="19"/>
      <c r="F476" s="19"/>
      <c r="G476" s="19"/>
      <c r="P476" s="29"/>
      <c r="Q476" s="29"/>
      <c r="Y476" s="29"/>
      <c r="Z476" s="29"/>
      <c r="AA476" s="29"/>
      <c r="AB476" s="29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</row>
    <row r="477" spans="1:62" s="20" customFormat="1" x14ac:dyDescent="0.7">
      <c r="A477" s="17"/>
      <c r="B477" s="19"/>
      <c r="C477" s="19"/>
      <c r="D477" s="19"/>
      <c r="E477" s="19"/>
      <c r="F477" s="19"/>
      <c r="G477" s="19"/>
      <c r="P477" s="29"/>
      <c r="Q477" s="29"/>
      <c r="Y477" s="29"/>
      <c r="Z477" s="29"/>
      <c r="AA477" s="29"/>
      <c r="AB477" s="29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</row>
    <row r="478" spans="1:62" s="20" customFormat="1" x14ac:dyDescent="0.7">
      <c r="A478" s="17"/>
      <c r="B478" s="19"/>
      <c r="C478" s="19"/>
      <c r="D478" s="19"/>
      <c r="E478" s="19"/>
      <c r="F478" s="19"/>
      <c r="G478" s="19"/>
      <c r="P478" s="29"/>
      <c r="Q478" s="29"/>
      <c r="Y478" s="29"/>
      <c r="Z478" s="29"/>
      <c r="AA478" s="29"/>
      <c r="AB478" s="29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</row>
    <row r="479" spans="1:62" s="20" customFormat="1" x14ac:dyDescent="0.7">
      <c r="A479" s="17"/>
      <c r="B479" s="19"/>
      <c r="C479" s="19"/>
      <c r="D479" s="19"/>
      <c r="E479" s="19"/>
      <c r="F479" s="19"/>
      <c r="G479" s="19"/>
      <c r="P479" s="29"/>
      <c r="Q479" s="29"/>
      <c r="Y479" s="29"/>
      <c r="Z479" s="29"/>
      <c r="AA479" s="29"/>
      <c r="AB479" s="29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</row>
    <row r="480" spans="1:62" s="20" customFormat="1" x14ac:dyDescent="0.7">
      <c r="A480" s="17"/>
      <c r="B480" s="19"/>
      <c r="C480" s="19"/>
      <c r="D480" s="19"/>
      <c r="E480" s="19"/>
      <c r="F480" s="19"/>
      <c r="G480" s="19"/>
      <c r="P480" s="29"/>
      <c r="Q480" s="29"/>
      <c r="Y480" s="29"/>
      <c r="Z480" s="29"/>
      <c r="AA480" s="29"/>
      <c r="AB480" s="29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</row>
    <row r="481" spans="1:62" s="20" customFormat="1" x14ac:dyDescent="0.7">
      <c r="A481" s="17"/>
      <c r="B481" s="19"/>
      <c r="C481" s="19"/>
      <c r="D481" s="19"/>
      <c r="E481" s="19"/>
      <c r="F481" s="19"/>
      <c r="G481" s="19"/>
      <c r="P481" s="29"/>
      <c r="Q481" s="29"/>
      <c r="Y481" s="29"/>
      <c r="Z481" s="29"/>
      <c r="AA481" s="29"/>
      <c r="AB481" s="29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</row>
    <row r="482" spans="1:62" s="20" customFormat="1" x14ac:dyDescent="0.7">
      <c r="A482" s="17"/>
      <c r="B482" s="19"/>
      <c r="C482" s="19"/>
      <c r="D482" s="19"/>
      <c r="E482" s="19"/>
      <c r="F482" s="19"/>
      <c r="G482" s="19"/>
      <c r="P482" s="29"/>
      <c r="Q482" s="29"/>
      <c r="Y482" s="29"/>
      <c r="Z482" s="29"/>
      <c r="AA482" s="29"/>
      <c r="AB482" s="29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</row>
    <row r="483" spans="1:62" s="20" customFormat="1" x14ac:dyDescent="0.7">
      <c r="A483" s="17"/>
      <c r="B483" s="19"/>
      <c r="C483" s="19"/>
      <c r="D483" s="19"/>
      <c r="E483" s="19"/>
      <c r="F483" s="19"/>
      <c r="G483" s="19"/>
      <c r="P483" s="29"/>
      <c r="Q483" s="29"/>
      <c r="Y483" s="29"/>
      <c r="Z483" s="29"/>
      <c r="AA483" s="29"/>
      <c r="AB483" s="29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</row>
    <row r="484" spans="1:62" s="20" customFormat="1" x14ac:dyDescent="0.7">
      <c r="A484" s="17"/>
      <c r="B484" s="19"/>
      <c r="C484" s="19"/>
      <c r="D484" s="19"/>
      <c r="E484" s="19"/>
      <c r="F484" s="19"/>
      <c r="G484" s="19"/>
      <c r="P484" s="29"/>
      <c r="Q484" s="29"/>
      <c r="Y484" s="29"/>
      <c r="Z484" s="29"/>
      <c r="AA484" s="29"/>
      <c r="AB484" s="29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</row>
    <row r="485" spans="1:62" s="20" customFormat="1" x14ac:dyDescent="0.7">
      <c r="A485" s="17"/>
      <c r="B485" s="19"/>
      <c r="C485" s="19"/>
      <c r="D485" s="19"/>
      <c r="E485" s="19"/>
      <c r="F485" s="19"/>
      <c r="G485" s="19"/>
      <c r="P485" s="29"/>
      <c r="Q485" s="29"/>
      <c r="Y485" s="29"/>
      <c r="Z485" s="29"/>
      <c r="AA485" s="29"/>
      <c r="AB485" s="29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</row>
    <row r="486" spans="1:62" s="20" customFormat="1" x14ac:dyDescent="0.7">
      <c r="A486" s="17"/>
      <c r="B486" s="19"/>
      <c r="C486" s="19"/>
      <c r="D486" s="19"/>
      <c r="E486" s="19"/>
      <c r="F486" s="19"/>
      <c r="G486" s="19"/>
      <c r="P486" s="29"/>
      <c r="Q486" s="29"/>
      <c r="Y486" s="29"/>
      <c r="Z486" s="29"/>
      <c r="AA486" s="29"/>
      <c r="AB486" s="29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</row>
    <row r="487" spans="1:62" s="20" customFormat="1" x14ac:dyDescent="0.7">
      <c r="A487" s="17"/>
      <c r="B487" s="19"/>
      <c r="C487" s="19"/>
      <c r="D487" s="19"/>
      <c r="E487" s="19"/>
      <c r="F487" s="19"/>
      <c r="G487" s="19"/>
      <c r="P487" s="29"/>
      <c r="Q487" s="29"/>
      <c r="Y487" s="29"/>
      <c r="Z487" s="29"/>
      <c r="AA487" s="29"/>
      <c r="AB487" s="29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</row>
    <row r="488" spans="1:62" s="20" customFormat="1" x14ac:dyDescent="0.7">
      <c r="A488" s="17"/>
      <c r="B488" s="19"/>
      <c r="C488" s="19"/>
      <c r="D488" s="19"/>
      <c r="E488" s="19"/>
      <c r="F488" s="19"/>
      <c r="G488" s="19"/>
      <c r="P488" s="29"/>
      <c r="Q488" s="29"/>
      <c r="Y488" s="29"/>
      <c r="Z488" s="29"/>
      <c r="AA488" s="29"/>
      <c r="AB488" s="29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</row>
    <row r="489" spans="1:62" s="20" customFormat="1" x14ac:dyDescent="0.7">
      <c r="A489" s="17"/>
      <c r="B489" s="19"/>
      <c r="C489" s="19"/>
      <c r="D489" s="19"/>
      <c r="E489" s="19"/>
      <c r="F489" s="19"/>
      <c r="G489" s="19"/>
      <c r="P489" s="29"/>
      <c r="Q489" s="29"/>
      <c r="Y489" s="29"/>
      <c r="Z489" s="29"/>
      <c r="AA489" s="29"/>
      <c r="AB489" s="29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</row>
    <row r="490" spans="1:62" s="20" customFormat="1" x14ac:dyDescent="0.7">
      <c r="A490" s="17"/>
      <c r="B490" s="19"/>
      <c r="C490" s="19"/>
      <c r="D490" s="19"/>
      <c r="E490" s="19"/>
      <c r="F490" s="19"/>
      <c r="G490" s="19"/>
      <c r="P490" s="29"/>
      <c r="Q490" s="29"/>
      <c r="Y490" s="29"/>
      <c r="Z490" s="29"/>
      <c r="AA490" s="29"/>
      <c r="AB490" s="29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</row>
    <row r="491" spans="1:62" s="20" customFormat="1" x14ac:dyDescent="0.7">
      <c r="A491" s="17"/>
      <c r="B491" s="19"/>
      <c r="C491" s="19"/>
      <c r="D491" s="19"/>
      <c r="E491" s="19"/>
      <c r="F491" s="19"/>
      <c r="G491" s="19"/>
      <c r="P491" s="29"/>
      <c r="Q491" s="29"/>
      <c r="Y491" s="29"/>
      <c r="Z491" s="29"/>
      <c r="AA491" s="29"/>
      <c r="AB491" s="29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</row>
    <row r="492" spans="1:62" s="20" customFormat="1" x14ac:dyDescent="0.7">
      <c r="A492" s="17"/>
      <c r="B492" s="19"/>
      <c r="C492" s="19"/>
      <c r="D492" s="19"/>
      <c r="E492" s="19"/>
      <c r="F492" s="19"/>
      <c r="G492" s="19"/>
      <c r="P492" s="29"/>
      <c r="Q492" s="29"/>
      <c r="Y492" s="29"/>
      <c r="Z492" s="29"/>
      <c r="AA492" s="29"/>
      <c r="AB492" s="29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</row>
    <row r="493" spans="1:62" s="20" customFormat="1" x14ac:dyDescent="0.7">
      <c r="A493" s="17"/>
      <c r="B493" s="19"/>
      <c r="C493" s="19"/>
      <c r="D493" s="19"/>
      <c r="E493" s="19"/>
      <c r="F493" s="19"/>
      <c r="G493" s="19"/>
      <c r="P493" s="29"/>
      <c r="Q493" s="29"/>
      <c r="Y493" s="29"/>
      <c r="Z493" s="29"/>
      <c r="AA493" s="29"/>
      <c r="AB493" s="29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</row>
    <row r="494" spans="1:62" s="20" customFormat="1" x14ac:dyDescent="0.7">
      <c r="A494" s="17"/>
      <c r="B494" s="19"/>
      <c r="C494" s="19"/>
      <c r="D494" s="19"/>
      <c r="E494" s="19"/>
      <c r="F494" s="19"/>
      <c r="G494" s="19"/>
      <c r="P494" s="29"/>
      <c r="Q494" s="29"/>
      <c r="Y494" s="29"/>
      <c r="Z494" s="29"/>
      <c r="AA494" s="29"/>
      <c r="AB494" s="29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</row>
    <row r="495" spans="1:62" s="20" customFormat="1" x14ac:dyDescent="0.7">
      <c r="A495" s="17"/>
      <c r="B495" s="19"/>
      <c r="C495" s="19"/>
      <c r="D495" s="19"/>
      <c r="E495" s="19"/>
      <c r="F495" s="19"/>
      <c r="G495" s="19"/>
      <c r="P495" s="29"/>
      <c r="Q495" s="29"/>
      <c r="Y495" s="29"/>
      <c r="Z495" s="29"/>
      <c r="AA495" s="29"/>
      <c r="AB495" s="29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</row>
    <row r="496" spans="1:62" s="20" customFormat="1" x14ac:dyDescent="0.7">
      <c r="A496" s="17"/>
      <c r="B496" s="19"/>
      <c r="C496" s="19"/>
      <c r="D496" s="19"/>
      <c r="E496" s="19"/>
      <c r="F496" s="19"/>
      <c r="G496" s="19"/>
      <c r="P496" s="29"/>
      <c r="Q496" s="29"/>
      <c r="Y496" s="29"/>
      <c r="Z496" s="29"/>
      <c r="AA496" s="29"/>
      <c r="AB496" s="29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</row>
    <row r="497" spans="1:62" s="20" customFormat="1" x14ac:dyDescent="0.7">
      <c r="A497" s="17"/>
      <c r="B497" s="19"/>
      <c r="C497" s="19"/>
      <c r="D497" s="19"/>
      <c r="E497" s="19"/>
      <c r="F497" s="19"/>
      <c r="G497" s="19"/>
      <c r="P497" s="29"/>
      <c r="Q497" s="29"/>
      <c r="Y497" s="29"/>
      <c r="Z497" s="29"/>
      <c r="AA497" s="29"/>
      <c r="AB497" s="29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</row>
    <row r="498" spans="1:62" s="20" customFormat="1" x14ac:dyDescent="0.7">
      <c r="A498" s="17"/>
      <c r="B498" s="19"/>
      <c r="C498" s="19"/>
      <c r="D498" s="19"/>
      <c r="E498" s="19"/>
      <c r="F498" s="19"/>
      <c r="G498" s="19"/>
      <c r="P498" s="29"/>
      <c r="Q498" s="29"/>
      <c r="Y498" s="29"/>
      <c r="Z498" s="29"/>
      <c r="AA498" s="29"/>
      <c r="AB498" s="29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</row>
    <row r="499" spans="1:62" s="20" customFormat="1" x14ac:dyDescent="0.7">
      <c r="A499" s="17"/>
      <c r="B499" s="19"/>
      <c r="C499" s="19"/>
      <c r="D499" s="19"/>
      <c r="E499" s="19"/>
      <c r="F499" s="19"/>
      <c r="G499" s="19"/>
      <c r="P499" s="29"/>
      <c r="Q499" s="29"/>
      <c r="Y499" s="29"/>
      <c r="Z499" s="29"/>
      <c r="AA499" s="29"/>
      <c r="AB499" s="29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</row>
    <row r="500" spans="1:62" s="20" customFormat="1" x14ac:dyDescent="0.7">
      <c r="A500" s="17"/>
      <c r="B500" s="19"/>
      <c r="C500" s="19"/>
      <c r="D500" s="19"/>
      <c r="E500" s="19"/>
      <c r="F500" s="19"/>
      <c r="G500" s="19"/>
      <c r="P500" s="29"/>
      <c r="Q500" s="29"/>
      <c r="Y500" s="29"/>
      <c r="Z500" s="29"/>
      <c r="AA500" s="29"/>
      <c r="AB500" s="29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</row>
    <row r="501" spans="1:62" s="20" customFormat="1" x14ac:dyDescent="0.7">
      <c r="A501" s="17"/>
      <c r="B501" s="19"/>
      <c r="C501" s="19"/>
      <c r="D501" s="19"/>
      <c r="E501" s="19"/>
      <c r="F501" s="19"/>
      <c r="G501" s="19"/>
      <c r="P501" s="29"/>
      <c r="Q501" s="29"/>
      <c r="Y501" s="29"/>
      <c r="Z501" s="29"/>
      <c r="AA501" s="29"/>
      <c r="AB501" s="29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  <c r="BA501" s="17"/>
      <c r="BB501" s="17"/>
      <c r="BC501" s="17"/>
      <c r="BD501" s="17"/>
      <c r="BE501" s="17"/>
      <c r="BF501" s="17"/>
      <c r="BG501" s="17"/>
      <c r="BH501" s="17"/>
      <c r="BI501" s="17"/>
      <c r="BJ501" s="17"/>
    </row>
    <row r="502" spans="1:62" s="20" customFormat="1" x14ac:dyDescent="0.7">
      <c r="A502" s="17"/>
      <c r="B502" s="19"/>
      <c r="C502" s="19"/>
      <c r="D502" s="19"/>
      <c r="E502" s="19"/>
      <c r="F502" s="19"/>
      <c r="G502" s="19"/>
      <c r="P502" s="29"/>
      <c r="Q502" s="29"/>
      <c r="Y502" s="29"/>
      <c r="Z502" s="29"/>
      <c r="AA502" s="29"/>
      <c r="AB502" s="29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/>
      <c r="BF502" s="17"/>
      <c r="BG502" s="17"/>
      <c r="BH502" s="17"/>
      <c r="BI502" s="17"/>
      <c r="BJ502" s="17"/>
    </row>
    <row r="503" spans="1:62" s="20" customFormat="1" x14ac:dyDescent="0.7">
      <c r="A503" s="17"/>
      <c r="B503" s="19"/>
      <c r="C503" s="19"/>
      <c r="D503" s="19"/>
      <c r="E503" s="19"/>
      <c r="F503" s="19"/>
      <c r="G503" s="19"/>
      <c r="P503" s="29"/>
      <c r="Q503" s="29"/>
      <c r="Y503" s="29"/>
      <c r="Z503" s="29"/>
      <c r="AA503" s="29"/>
      <c r="AB503" s="29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</row>
    <row r="504" spans="1:62" s="20" customFormat="1" x14ac:dyDescent="0.7">
      <c r="A504" s="17"/>
      <c r="B504" s="19"/>
      <c r="C504" s="19"/>
      <c r="D504" s="19"/>
      <c r="E504" s="19"/>
      <c r="F504" s="19"/>
      <c r="G504" s="19"/>
      <c r="P504" s="29"/>
      <c r="Q504" s="29"/>
      <c r="Y504" s="29"/>
      <c r="Z504" s="29"/>
      <c r="AA504" s="29"/>
      <c r="AB504" s="29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</row>
    <row r="505" spans="1:62" s="20" customFormat="1" x14ac:dyDescent="0.7">
      <c r="A505" s="17"/>
      <c r="B505" s="19"/>
      <c r="C505" s="19"/>
      <c r="D505" s="19"/>
      <c r="E505" s="19"/>
      <c r="F505" s="19"/>
      <c r="G505" s="19"/>
      <c r="P505" s="29"/>
      <c r="Q505" s="29"/>
      <c r="Y505" s="29"/>
      <c r="Z505" s="29"/>
      <c r="AA505" s="29"/>
      <c r="AB505" s="29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</row>
    <row r="506" spans="1:62" s="20" customFormat="1" x14ac:dyDescent="0.7">
      <c r="A506" s="17"/>
      <c r="B506" s="19"/>
      <c r="C506" s="19"/>
      <c r="D506" s="19"/>
      <c r="E506" s="19"/>
      <c r="F506" s="19"/>
      <c r="G506" s="19"/>
      <c r="P506" s="29"/>
      <c r="Q506" s="29"/>
      <c r="Y506" s="29"/>
      <c r="Z506" s="29"/>
      <c r="AA506" s="29"/>
      <c r="AB506" s="29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</row>
    <row r="507" spans="1:62" s="20" customFormat="1" x14ac:dyDescent="0.7">
      <c r="A507" s="17"/>
      <c r="B507" s="19"/>
      <c r="C507" s="19"/>
      <c r="D507" s="19"/>
      <c r="E507" s="19"/>
      <c r="F507" s="19"/>
      <c r="G507" s="19"/>
      <c r="P507" s="29"/>
      <c r="Q507" s="29"/>
      <c r="Y507" s="29"/>
      <c r="Z507" s="29"/>
      <c r="AA507" s="29"/>
      <c r="AB507" s="29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</row>
    <row r="508" spans="1:62" s="20" customFormat="1" x14ac:dyDescent="0.7">
      <c r="A508" s="17"/>
      <c r="B508" s="19"/>
      <c r="C508" s="19"/>
      <c r="D508" s="19"/>
      <c r="E508" s="19"/>
      <c r="F508" s="19"/>
      <c r="G508" s="19"/>
      <c r="P508" s="29"/>
      <c r="Q508" s="29"/>
      <c r="Y508" s="29"/>
      <c r="Z508" s="29"/>
      <c r="AA508" s="29"/>
      <c r="AB508" s="29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</row>
    <row r="509" spans="1:62" s="20" customFormat="1" x14ac:dyDescent="0.7">
      <c r="A509" s="17"/>
      <c r="B509" s="19"/>
      <c r="C509" s="19"/>
      <c r="D509" s="19"/>
      <c r="E509" s="19"/>
      <c r="F509" s="19"/>
      <c r="G509" s="19"/>
      <c r="P509" s="29"/>
      <c r="Q509" s="29"/>
      <c r="Y509" s="29"/>
      <c r="Z509" s="29"/>
      <c r="AA509" s="29"/>
      <c r="AB509" s="29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</row>
    <row r="510" spans="1:62" s="20" customFormat="1" x14ac:dyDescent="0.7">
      <c r="A510" s="17"/>
      <c r="B510" s="19"/>
      <c r="C510" s="19"/>
      <c r="D510" s="19"/>
      <c r="E510" s="19"/>
      <c r="F510" s="19"/>
      <c r="G510" s="19"/>
      <c r="P510" s="29"/>
      <c r="Q510" s="29"/>
      <c r="Y510" s="29"/>
      <c r="Z510" s="29"/>
      <c r="AA510" s="29"/>
      <c r="AB510" s="29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</row>
    <row r="511" spans="1:62" s="20" customFormat="1" x14ac:dyDescent="0.7">
      <c r="A511" s="17"/>
      <c r="B511" s="19"/>
      <c r="C511" s="19"/>
      <c r="D511" s="19"/>
      <c r="E511" s="19"/>
      <c r="F511" s="19"/>
      <c r="G511" s="19"/>
      <c r="P511" s="29"/>
      <c r="Q511" s="29"/>
      <c r="Y511" s="29"/>
      <c r="Z511" s="29"/>
      <c r="AA511" s="29"/>
      <c r="AB511" s="29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</row>
    <row r="512" spans="1:62" s="20" customFormat="1" x14ac:dyDescent="0.7">
      <c r="A512" s="17"/>
      <c r="B512" s="19"/>
      <c r="C512" s="19"/>
      <c r="D512" s="19"/>
      <c r="E512" s="19"/>
      <c r="F512" s="19"/>
      <c r="G512" s="19"/>
      <c r="P512" s="29"/>
      <c r="Q512" s="29"/>
      <c r="Y512" s="29"/>
      <c r="Z512" s="29"/>
      <c r="AA512" s="29"/>
      <c r="AB512" s="29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</row>
    <row r="513" spans="1:62" s="20" customFormat="1" x14ac:dyDescent="0.7">
      <c r="A513" s="17"/>
      <c r="B513" s="19"/>
      <c r="C513" s="19"/>
      <c r="D513" s="19"/>
      <c r="E513" s="19"/>
      <c r="F513" s="19"/>
      <c r="G513" s="19"/>
      <c r="P513" s="29"/>
      <c r="Q513" s="29"/>
      <c r="Y513" s="29"/>
      <c r="Z513" s="29"/>
      <c r="AA513" s="29"/>
      <c r="AB513" s="29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</row>
    <row r="514" spans="1:62" s="20" customFormat="1" x14ac:dyDescent="0.7">
      <c r="A514" s="17"/>
      <c r="B514" s="19"/>
      <c r="C514" s="19"/>
      <c r="D514" s="19"/>
      <c r="E514" s="19"/>
      <c r="F514" s="19"/>
      <c r="G514" s="19"/>
      <c r="P514" s="29"/>
      <c r="Q514" s="29"/>
      <c r="Y514" s="29"/>
      <c r="Z514" s="29"/>
      <c r="AA514" s="29"/>
      <c r="AB514" s="29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</row>
    <row r="515" spans="1:62" s="20" customFormat="1" x14ac:dyDescent="0.7">
      <c r="A515" s="17"/>
      <c r="B515" s="19"/>
      <c r="C515" s="19"/>
      <c r="D515" s="19"/>
      <c r="E515" s="19"/>
      <c r="F515" s="19"/>
      <c r="G515" s="19"/>
      <c r="P515" s="29"/>
      <c r="Q515" s="29"/>
      <c r="Y515" s="29"/>
      <c r="Z515" s="29"/>
      <c r="AA515" s="29"/>
      <c r="AB515" s="29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</row>
    <row r="516" spans="1:62" s="20" customFormat="1" x14ac:dyDescent="0.7">
      <c r="A516" s="17"/>
      <c r="B516" s="19"/>
      <c r="C516" s="19"/>
      <c r="D516" s="19"/>
      <c r="E516" s="19"/>
      <c r="F516" s="19"/>
      <c r="G516" s="19"/>
      <c r="P516" s="29"/>
      <c r="Q516" s="29"/>
      <c r="Y516" s="29"/>
      <c r="Z516" s="29"/>
      <c r="AA516" s="29"/>
      <c r="AB516" s="29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</row>
    <row r="517" spans="1:62" s="20" customFormat="1" x14ac:dyDescent="0.7">
      <c r="A517" s="17"/>
      <c r="B517" s="19"/>
      <c r="C517" s="19"/>
      <c r="D517" s="19"/>
      <c r="E517" s="19"/>
      <c r="F517" s="19"/>
      <c r="G517" s="19"/>
      <c r="P517" s="29"/>
      <c r="Q517" s="29"/>
      <c r="Y517" s="29"/>
      <c r="Z517" s="29"/>
      <c r="AA517" s="29"/>
      <c r="AB517" s="29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</row>
    <row r="518" spans="1:62" s="20" customFormat="1" x14ac:dyDescent="0.7">
      <c r="A518" s="17"/>
      <c r="B518" s="19"/>
      <c r="C518" s="19"/>
      <c r="D518" s="19"/>
      <c r="E518" s="19"/>
      <c r="F518" s="19"/>
      <c r="G518" s="19"/>
      <c r="P518" s="29"/>
      <c r="Q518" s="29"/>
      <c r="Y518" s="29"/>
      <c r="Z518" s="29"/>
      <c r="AA518" s="29"/>
      <c r="AB518" s="29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</row>
    <row r="519" spans="1:62" s="20" customFormat="1" x14ac:dyDescent="0.7">
      <c r="A519" s="17"/>
      <c r="B519" s="19"/>
      <c r="C519" s="19"/>
      <c r="D519" s="19"/>
      <c r="E519" s="19"/>
      <c r="F519" s="19"/>
      <c r="G519" s="19"/>
      <c r="P519" s="29"/>
      <c r="Q519" s="29"/>
      <c r="Y519" s="29"/>
      <c r="Z519" s="29"/>
      <c r="AA519" s="29"/>
      <c r="AB519" s="29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</row>
    <row r="520" spans="1:62" s="20" customFormat="1" x14ac:dyDescent="0.7">
      <c r="A520" s="17"/>
      <c r="B520" s="19"/>
      <c r="C520" s="19"/>
      <c r="D520" s="19"/>
      <c r="E520" s="19"/>
      <c r="F520" s="19"/>
      <c r="G520" s="19"/>
      <c r="P520" s="29"/>
      <c r="Q520" s="29"/>
      <c r="Y520" s="29"/>
      <c r="Z520" s="29"/>
      <c r="AA520" s="29"/>
      <c r="AB520" s="29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</row>
    <row r="521" spans="1:62" s="20" customFormat="1" x14ac:dyDescent="0.7">
      <c r="A521" s="17"/>
      <c r="B521" s="19"/>
      <c r="C521" s="19"/>
      <c r="D521" s="19"/>
      <c r="E521" s="19"/>
      <c r="F521" s="19"/>
      <c r="G521" s="19"/>
      <c r="P521" s="29"/>
      <c r="Q521" s="29"/>
      <c r="Y521" s="29"/>
      <c r="Z521" s="29"/>
      <c r="AA521" s="29"/>
      <c r="AB521" s="29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</row>
    <row r="522" spans="1:62" s="20" customFormat="1" x14ac:dyDescent="0.7">
      <c r="A522" s="17"/>
      <c r="B522" s="19"/>
      <c r="C522" s="19"/>
      <c r="D522" s="19"/>
      <c r="E522" s="19"/>
      <c r="F522" s="19"/>
      <c r="G522" s="19"/>
      <c r="P522" s="29"/>
      <c r="Q522" s="29"/>
      <c r="Y522" s="29"/>
      <c r="Z522" s="29"/>
      <c r="AA522" s="29"/>
      <c r="AB522" s="29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</row>
    <row r="523" spans="1:62" s="20" customFormat="1" x14ac:dyDescent="0.7">
      <c r="A523" s="17"/>
      <c r="B523" s="19"/>
      <c r="C523" s="19"/>
      <c r="D523" s="19"/>
      <c r="E523" s="19"/>
      <c r="F523" s="19"/>
      <c r="G523" s="19"/>
      <c r="P523" s="29"/>
      <c r="Q523" s="29"/>
      <c r="Y523" s="29"/>
      <c r="Z523" s="29"/>
      <c r="AA523" s="29"/>
      <c r="AB523" s="29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</row>
    <row r="524" spans="1:62" s="20" customFormat="1" x14ac:dyDescent="0.7">
      <c r="A524" s="17"/>
      <c r="B524" s="19"/>
      <c r="C524" s="19"/>
      <c r="D524" s="19"/>
      <c r="E524" s="19"/>
      <c r="F524" s="19"/>
      <c r="G524" s="19"/>
      <c r="P524" s="29"/>
      <c r="Q524" s="29"/>
      <c r="Y524" s="29"/>
      <c r="Z524" s="29"/>
      <c r="AA524" s="29"/>
      <c r="AB524" s="29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</row>
    <row r="525" spans="1:62" s="20" customFormat="1" x14ac:dyDescent="0.7">
      <c r="A525" s="17"/>
      <c r="B525" s="19"/>
      <c r="C525" s="19"/>
      <c r="D525" s="19"/>
      <c r="E525" s="19"/>
      <c r="F525" s="19"/>
      <c r="G525" s="19"/>
      <c r="P525" s="29"/>
      <c r="Q525" s="29"/>
      <c r="Y525" s="29"/>
      <c r="Z525" s="29"/>
      <c r="AA525" s="29"/>
      <c r="AB525" s="29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</row>
    <row r="526" spans="1:62" s="20" customFormat="1" x14ac:dyDescent="0.7">
      <c r="A526" s="17"/>
      <c r="B526" s="19"/>
      <c r="C526" s="19"/>
      <c r="D526" s="19"/>
      <c r="E526" s="19"/>
      <c r="F526" s="19"/>
      <c r="G526" s="19"/>
      <c r="P526" s="29"/>
      <c r="Q526" s="29"/>
      <c r="Y526" s="29"/>
      <c r="Z526" s="29"/>
      <c r="AA526" s="29"/>
      <c r="AB526" s="29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</row>
    <row r="527" spans="1:62" s="20" customFormat="1" x14ac:dyDescent="0.7">
      <c r="A527" s="17"/>
      <c r="B527" s="19"/>
      <c r="C527" s="19"/>
      <c r="D527" s="19"/>
      <c r="E527" s="19"/>
      <c r="F527" s="19"/>
      <c r="G527" s="19"/>
      <c r="P527" s="29"/>
      <c r="Q527" s="29"/>
      <c r="Y527" s="29"/>
      <c r="Z527" s="29"/>
      <c r="AA527" s="29"/>
      <c r="AB527" s="29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</row>
    <row r="528" spans="1:62" s="20" customFormat="1" x14ac:dyDescent="0.7">
      <c r="A528" s="17"/>
      <c r="B528" s="19"/>
      <c r="C528" s="19"/>
      <c r="D528" s="19"/>
      <c r="E528" s="19"/>
      <c r="F528" s="19"/>
      <c r="G528" s="19"/>
      <c r="P528" s="29"/>
      <c r="Q528" s="29"/>
      <c r="Y528" s="29"/>
      <c r="Z528" s="29"/>
      <c r="AA528" s="29"/>
      <c r="AB528" s="29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</row>
    <row r="529" spans="1:62" s="20" customFormat="1" x14ac:dyDescent="0.7">
      <c r="A529" s="17"/>
      <c r="B529" s="19"/>
      <c r="C529" s="19"/>
      <c r="D529" s="19"/>
      <c r="E529" s="19"/>
      <c r="F529" s="19"/>
      <c r="G529" s="19"/>
      <c r="P529" s="29"/>
      <c r="Q529" s="29"/>
      <c r="Y529" s="29"/>
      <c r="Z529" s="29"/>
      <c r="AA529" s="29"/>
      <c r="AB529" s="29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</row>
    <row r="530" spans="1:62" s="20" customFormat="1" x14ac:dyDescent="0.7">
      <c r="A530" s="17"/>
      <c r="B530" s="19"/>
      <c r="C530" s="19"/>
      <c r="D530" s="19"/>
      <c r="E530" s="19"/>
      <c r="F530" s="19"/>
      <c r="G530" s="19"/>
      <c r="P530" s="29"/>
      <c r="Q530" s="29"/>
      <c r="Y530" s="29"/>
      <c r="Z530" s="29"/>
      <c r="AA530" s="29"/>
      <c r="AB530" s="29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</row>
    <row r="531" spans="1:62" s="20" customFormat="1" x14ac:dyDescent="0.7">
      <c r="A531" s="17"/>
      <c r="B531" s="19"/>
      <c r="C531" s="19"/>
      <c r="D531" s="19"/>
      <c r="E531" s="19"/>
      <c r="F531" s="19"/>
      <c r="G531" s="19"/>
      <c r="P531" s="29"/>
      <c r="Q531" s="29"/>
      <c r="Y531" s="29"/>
      <c r="Z531" s="29"/>
      <c r="AA531" s="29"/>
      <c r="AB531" s="29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</row>
    <row r="532" spans="1:62" s="20" customFormat="1" x14ac:dyDescent="0.7">
      <c r="A532" s="17"/>
      <c r="B532" s="19"/>
      <c r="C532" s="19"/>
      <c r="D532" s="19"/>
      <c r="E532" s="19"/>
      <c r="F532" s="19"/>
      <c r="G532" s="19"/>
      <c r="P532" s="29"/>
      <c r="Q532" s="29"/>
      <c r="Y532" s="29"/>
      <c r="Z532" s="29"/>
      <c r="AA532" s="29"/>
      <c r="AB532" s="29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</row>
    <row r="533" spans="1:62" s="20" customFormat="1" x14ac:dyDescent="0.7">
      <c r="A533" s="17"/>
      <c r="B533" s="19"/>
      <c r="C533" s="19"/>
      <c r="D533" s="19"/>
      <c r="E533" s="19"/>
      <c r="F533" s="19"/>
      <c r="G533" s="19"/>
      <c r="P533" s="29"/>
      <c r="Q533" s="29"/>
      <c r="Y533" s="29"/>
      <c r="Z533" s="29"/>
      <c r="AA533" s="29"/>
      <c r="AB533" s="29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</row>
    <row r="534" spans="1:62" s="20" customFormat="1" x14ac:dyDescent="0.7">
      <c r="A534" s="17"/>
      <c r="B534" s="19"/>
      <c r="C534" s="19"/>
      <c r="D534" s="19"/>
      <c r="E534" s="19"/>
      <c r="F534" s="19"/>
      <c r="G534" s="19"/>
      <c r="P534" s="29"/>
      <c r="Q534" s="29"/>
      <c r="Y534" s="29"/>
      <c r="Z534" s="29"/>
      <c r="AA534" s="29"/>
      <c r="AB534" s="29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</row>
    <row r="535" spans="1:62" s="20" customFormat="1" x14ac:dyDescent="0.7">
      <c r="A535" s="17"/>
      <c r="B535" s="19"/>
      <c r="C535" s="19"/>
      <c r="D535" s="19"/>
      <c r="E535" s="19"/>
      <c r="F535" s="19"/>
      <c r="G535" s="19"/>
      <c r="P535" s="29"/>
      <c r="Q535" s="29"/>
      <c r="Y535" s="29"/>
      <c r="Z535" s="29"/>
      <c r="AA535" s="29"/>
      <c r="AB535" s="29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</row>
    <row r="536" spans="1:62" s="20" customFormat="1" x14ac:dyDescent="0.7">
      <c r="A536" s="17"/>
      <c r="B536" s="19"/>
      <c r="C536" s="19"/>
      <c r="D536" s="19"/>
      <c r="E536" s="19"/>
      <c r="F536" s="19"/>
      <c r="G536" s="19"/>
      <c r="P536" s="29"/>
      <c r="Q536" s="29"/>
      <c r="Y536" s="29"/>
      <c r="Z536" s="29"/>
      <c r="AA536" s="29"/>
      <c r="AB536" s="29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</row>
    <row r="537" spans="1:62" s="20" customFormat="1" x14ac:dyDescent="0.7">
      <c r="A537" s="17"/>
      <c r="B537" s="19"/>
      <c r="C537" s="19"/>
      <c r="D537" s="19"/>
      <c r="E537" s="19"/>
      <c r="F537" s="19"/>
      <c r="G537" s="19"/>
      <c r="P537" s="29"/>
      <c r="Q537" s="29"/>
      <c r="Y537" s="29"/>
      <c r="Z537" s="29"/>
      <c r="AA537" s="29"/>
      <c r="AB537" s="29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</row>
    <row r="538" spans="1:62" s="20" customFormat="1" x14ac:dyDescent="0.7">
      <c r="A538" s="17"/>
      <c r="B538" s="19"/>
      <c r="C538" s="19"/>
      <c r="D538" s="19"/>
      <c r="E538" s="19"/>
      <c r="F538" s="19"/>
      <c r="G538" s="19"/>
      <c r="P538" s="29"/>
      <c r="Q538" s="29"/>
      <c r="Y538" s="29"/>
      <c r="Z538" s="29"/>
      <c r="AA538" s="29"/>
      <c r="AB538" s="29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</row>
    <row r="539" spans="1:62" s="20" customFormat="1" x14ac:dyDescent="0.7">
      <c r="A539" s="17"/>
      <c r="B539" s="19"/>
      <c r="C539" s="19"/>
      <c r="D539" s="19"/>
      <c r="E539" s="19"/>
      <c r="F539" s="19"/>
      <c r="G539" s="19"/>
      <c r="P539" s="29"/>
      <c r="Q539" s="29"/>
      <c r="Y539" s="29"/>
      <c r="Z539" s="29"/>
      <c r="AA539" s="29"/>
      <c r="AB539" s="29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</row>
    <row r="540" spans="1:62" s="20" customFormat="1" x14ac:dyDescent="0.7">
      <c r="A540" s="17"/>
      <c r="B540" s="19"/>
      <c r="C540" s="19"/>
      <c r="D540" s="19"/>
      <c r="E540" s="19"/>
      <c r="F540" s="19"/>
      <c r="G540" s="19"/>
      <c r="P540" s="29"/>
      <c r="Q540" s="29"/>
      <c r="Y540" s="29"/>
      <c r="Z540" s="29"/>
      <c r="AA540" s="29"/>
      <c r="AB540" s="29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</row>
    <row r="541" spans="1:62" s="20" customFormat="1" x14ac:dyDescent="0.7">
      <c r="A541" s="17"/>
      <c r="B541" s="19"/>
      <c r="C541" s="19"/>
      <c r="D541" s="19"/>
      <c r="E541" s="19"/>
      <c r="F541" s="19"/>
      <c r="G541" s="19"/>
      <c r="P541" s="29"/>
      <c r="Q541" s="29"/>
      <c r="Y541" s="29"/>
      <c r="Z541" s="29"/>
      <c r="AA541" s="29"/>
      <c r="AB541" s="29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</row>
    <row r="542" spans="1:62" s="20" customFormat="1" x14ac:dyDescent="0.7">
      <c r="A542" s="17"/>
      <c r="B542" s="19"/>
      <c r="C542" s="19"/>
      <c r="D542" s="19"/>
      <c r="E542" s="19"/>
      <c r="F542" s="19"/>
      <c r="G542" s="19"/>
      <c r="P542" s="29"/>
      <c r="Q542" s="29"/>
      <c r="Y542" s="29"/>
      <c r="Z542" s="29"/>
      <c r="AA542" s="29"/>
      <c r="AB542" s="29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</row>
    <row r="543" spans="1:62" s="20" customFormat="1" x14ac:dyDescent="0.7">
      <c r="A543" s="17"/>
      <c r="B543" s="19"/>
      <c r="C543" s="19"/>
      <c r="D543" s="19"/>
      <c r="E543" s="19"/>
      <c r="F543" s="19"/>
      <c r="G543" s="19"/>
      <c r="P543" s="29"/>
      <c r="Q543" s="29"/>
      <c r="Y543" s="29"/>
      <c r="Z543" s="29"/>
      <c r="AA543" s="29"/>
      <c r="AB543" s="29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</row>
    <row r="544" spans="1:62" s="20" customFormat="1" x14ac:dyDescent="0.7">
      <c r="A544" s="17"/>
      <c r="B544" s="19"/>
      <c r="C544" s="19"/>
      <c r="D544" s="19"/>
      <c r="E544" s="19"/>
      <c r="F544" s="19"/>
      <c r="G544" s="19"/>
      <c r="P544" s="29"/>
      <c r="Q544" s="29"/>
      <c r="Y544" s="29"/>
      <c r="Z544" s="29"/>
      <c r="AA544" s="29"/>
      <c r="AB544" s="29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</row>
    <row r="545" spans="1:62" s="20" customFormat="1" x14ac:dyDescent="0.7">
      <c r="A545" s="17"/>
      <c r="B545" s="19"/>
      <c r="C545" s="19"/>
      <c r="D545" s="19"/>
      <c r="E545" s="19"/>
      <c r="F545" s="19"/>
      <c r="G545" s="19"/>
      <c r="P545" s="29"/>
      <c r="Q545" s="29"/>
      <c r="Y545" s="29"/>
      <c r="Z545" s="29"/>
      <c r="AA545" s="29"/>
      <c r="AB545" s="29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</row>
    <row r="546" spans="1:62" s="20" customFormat="1" x14ac:dyDescent="0.7">
      <c r="A546" s="17"/>
      <c r="B546" s="19"/>
      <c r="C546" s="19"/>
      <c r="D546" s="19"/>
      <c r="E546" s="19"/>
      <c r="F546" s="19"/>
      <c r="G546" s="19"/>
      <c r="P546" s="29"/>
      <c r="Q546" s="29"/>
      <c r="Y546" s="29"/>
      <c r="Z546" s="29"/>
      <c r="AA546" s="29"/>
      <c r="AB546" s="29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</row>
    <row r="547" spans="1:62" s="20" customFormat="1" x14ac:dyDescent="0.7">
      <c r="A547" s="17"/>
      <c r="B547" s="19"/>
      <c r="C547" s="19"/>
      <c r="D547" s="19"/>
      <c r="E547" s="19"/>
      <c r="F547" s="19"/>
      <c r="G547" s="19"/>
      <c r="P547" s="29"/>
      <c r="Q547" s="29"/>
      <c r="Y547" s="29"/>
      <c r="Z547" s="29"/>
      <c r="AA547" s="29"/>
      <c r="AB547" s="29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</row>
    <row r="548" spans="1:62" s="20" customFormat="1" x14ac:dyDescent="0.7">
      <c r="A548" s="17"/>
      <c r="B548" s="19"/>
      <c r="C548" s="19"/>
      <c r="D548" s="19"/>
      <c r="E548" s="19"/>
      <c r="F548" s="19"/>
      <c r="G548" s="19"/>
      <c r="P548" s="29"/>
      <c r="Q548" s="29"/>
      <c r="Y548" s="29"/>
      <c r="Z548" s="29"/>
      <c r="AA548" s="29"/>
      <c r="AB548" s="29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</row>
    <row r="549" spans="1:62" s="20" customFormat="1" x14ac:dyDescent="0.7">
      <c r="A549" s="17"/>
      <c r="B549" s="19"/>
      <c r="C549" s="19"/>
      <c r="D549" s="19"/>
      <c r="E549" s="19"/>
      <c r="F549" s="19"/>
      <c r="G549" s="19"/>
      <c r="P549" s="29"/>
      <c r="Q549" s="29"/>
      <c r="Y549" s="29"/>
      <c r="Z549" s="29"/>
      <c r="AA549" s="29"/>
      <c r="AB549" s="29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</row>
    <row r="550" spans="1:62" s="20" customFormat="1" x14ac:dyDescent="0.7">
      <c r="A550" s="17"/>
      <c r="B550" s="19"/>
      <c r="C550" s="19"/>
      <c r="D550" s="19"/>
      <c r="E550" s="19"/>
      <c r="F550" s="19"/>
      <c r="G550" s="19"/>
      <c r="P550" s="29"/>
      <c r="Q550" s="29"/>
      <c r="Y550" s="29"/>
      <c r="Z550" s="29"/>
      <c r="AA550" s="29"/>
      <c r="AB550" s="29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</row>
    <row r="551" spans="1:62" s="20" customFormat="1" x14ac:dyDescent="0.7">
      <c r="A551" s="17"/>
      <c r="B551" s="19"/>
      <c r="C551" s="19"/>
      <c r="D551" s="19"/>
      <c r="E551" s="19"/>
      <c r="F551" s="19"/>
      <c r="G551" s="19"/>
      <c r="P551" s="29"/>
      <c r="Q551" s="29"/>
      <c r="Y551" s="29"/>
      <c r="Z551" s="29"/>
      <c r="AA551" s="29"/>
      <c r="AB551" s="29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</row>
    <row r="552" spans="1:62" s="20" customFormat="1" x14ac:dyDescent="0.7">
      <c r="A552" s="17"/>
      <c r="B552" s="19"/>
      <c r="C552" s="19"/>
      <c r="D552" s="19"/>
      <c r="E552" s="19"/>
      <c r="F552" s="19"/>
      <c r="G552" s="19"/>
      <c r="P552" s="29"/>
      <c r="Q552" s="29"/>
      <c r="Y552" s="29"/>
      <c r="Z552" s="29"/>
      <c r="AA552" s="29"/>
      <c r="AB552" s="29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</row>
    <row r="553" spans="1:62" s="20" customFormat="1" x14ac:dyDescent="0.7">
      <c r="A553" s="17"/>
      <c r="B553" s="19"/>
      <c r="C553" s="19"/>
      <c r="D553" s="19"/>
      <c r="E553" s="19"/>
      <c r="F553" s="19"/>
      <c r="G553" s="19"/>
      <c r="P553" s="29"/>
      <c r="Q553" s="29"/>
      <c r="Y553" s="29"/>
      <c r="Z553" s="29"/>
      <c r="AA553" s="29"/>
      <c r="AB553" s="29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</row>
    <row r="554" spans="1:62" s="20" customFormat="1" x14ac:dyDescent="0.7">
      <c r="A554" s="17"/>
      <c r="B554" s="19"/>
      <c r="C554" s="19"/>
      <c r="D554" s="19"/>
      <c r="E554" s="19"/>
      <c r="F554" s="19"/>
      <c r="G554" s="19"/>
      <c r="P554" s="29"/>
      <c r="Q554" s="29"/>
      <c r="Y554" s="29"/>
      <c r="Z554" s="29"/>
      <c r="AA554" s="29"/>
      <c r="AB554" s="29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</row>
    <row r="555" spans="1:62" s="20" customFormat="1" x14ac:dyDescent="0.7">
      <c r="A555" s="17"/>
      <c r="B555" s="19"/>
      <c r="C555" s="19"/>
      <c r="D555" s="19"/>
      <c r="E555" s="19"/>
      <c r="F555" s="19"/>
      <c r="G555" s="19"/>
      <c r="P555" s="29"/>
      <c r="Q555" s="29"/>
      <c r="Y555" s="29"/>
      <c r="Z555" s="29"/>
      <c r="AA555" s="29"/>
      <c r="AB555" s="29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</row>
    <row r="556" spans="1:62" s="20" customFormat="1" x14ac:dyDescent="0.7">
      <c r="A556" s="17"/>
      <c r="B556" s="19"/>
      <c r="C556" s="19"/>
      <c r="D556" s="19"/>
      <c r="E556" s="19"/>
      <c r="F556" s="19"/>
      <c r="G556" s="19"/>
      <c r="P556" s="29"/>
      <c r="Q556" s="29"/>
      <c r="Y556" s="29"/>
      <c r="Z556" s="29"/>
      <c r="AA556" s="29"/>
      <c r="AB556" s="29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</row>
    <row r="557" spans="1:62" s="20" customFormat="1" x14ac:dyDescent="0.7">
      <c r="A557" s="17"/>
      <c r="B557" s="19"/>
      <c r="C557" s="19"/>
      <c r="D557" s="19"/>
      <c r="E557" s="19"/>
      <c r="F557" s="19"/>
      <c r="G557" s="19"/>
      <c r="P557" s="29"/>
      <c r="Q557" s="29"/>
      <c r="Y557" s="29"/>
      <c r="Z557" s="29"/>
      <c r="AA557" s="29"/>
      <c r="AB557" s="29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</row>
    <row r="558" spans="1:62" s="20" customFormat="1" x14ac:dyDescent="0.7">
      <c r="A558" s="17"/>
      <c r="B558" s="19"/>
      <c r="C558" s="19"/>
      <c r="D558" s="19"/>
      <c r="E558" s="19"/>
      <c r="F558" s="19"/>
      <c r="G558" s="19"/>
      <c r="P558" s="29"/>
      <c r="Q558" s="29"/>
      <c r="Y558" s="29"/>
      <c r="Z558" s="29"/>
      <c r="AA558" s="29"/>
      <c r="AB558" s="29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</row>
    <row r="559" spans="1:62" s="20" customFormat="1" x14ac:dyDescent="0.7">
      <c r="A559" s="17"/>
      <c r="B559" s="19"/>
      <c r="C559" s="19"/>
      <c r="D559" s="19"/>
      <c r="E559" s="19"/>
      <c r="F559" s="19"/>
      <c r="G559" s="19"/>
      <c r="P559" s="29"/>
      <c r="Q559" s="29"/>
      <c r="Y559" s="29"/>
      <c r="Z559" s="29"/>
      <c r="AA559" s="29"/>
      <c r="AB559" s="29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</row>
    <row r="560" spans="1:62" s="20" customFormat="1" x14ac:dyDescent="0.7">
      <c r="A560" s="17"/>
      <c r="B560" s="19"/>
      <c r="C560" s="19"/>
      <c r="D560" s="19"/>
      <c r="E560" s="19"/>
      <c r="F560" s="19"/>
      <c r="G560" s="19"/>
      <c r="P560" s="29"/>
      <c r="Q560" s="29"/>
      <c r="Y560" s="29"/>
      <c r="Z560" s="29"/>
      <c r="AA560" s="29"/>
      <c r="AB560" s="29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</row>
    <row r="561" spans="1:62" s="20" customFormat="1" x14ac:dyDescent="0.7">
      <c r="A561" s="17"/>
      <c r="B561" s="19"/>
      <c r="C561" s="19"/>
      <c r="D561" s="19"/>
      <c r="E561" s="19"/>
      <c r="F561" s="19"/>
      <c r="G561" s="19"/>
      <c r="P561" s="29"/>
      <c r="Q561" s="29"/>
      <c r="Y561" s="29"/>
      <c r="Z561" s="29"/>
      <c r="AA561" s="29"/>
      <c r="AB561" s="29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</row>
    <row r="562" spans="1:62" s="20" customFormat="1" x14ac:dyDescent="0.7">
      <c r="A562" s="17"/>
      <c r="B562" s="19"/>
      <c r="C562" s="19"/>
      <c r="D562" s="19"/>
      <c r="E562" s="19"/>
      <c r="F562" s="19"/>
      <c r="G562" s="19"/>
      <c r="P562" s="29"/>
      <c r="Q562" s="29"/>
      <c r="Y562" s="29"/>
      <c r="Z562" s="29"/>
      <c r="AA562" s="29"/>
      <c r="AB562" s="29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</row>
    <row r="563" spans="1:62" s="20" customFormat="1" x14ac:dyDescent="0.7">
      <c r="A563" s="17"/>
      <c r="B563" s="19"/>
      <c r="C563" s="19"/>
      <c r="D563" s="19"/>
      <c r="E563" s="19"/>
      <c r="F563" s="19"/>
      <c r="G563" s="19"/>
      <c r="P563" s="29"/>
      <c r="Q563" s="29"/>
      <c r="Y563" s="29"/>
      <c r="Z563" s="29"/>
      <c r="AA563" s="29"/>
      <c r="AB563" s="29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</row>
    <row r="564" spans="1:62" s="20" customFormat="1" x14ac:dyDescent="0.7">
      <c r="A564" s="17"/>
      <c r="B564" s="19"/>
      <c r="C564" s="19"/>
      <c r="D564" s="19"/>
      <c r="E564" s="19"/>
      <c r="F564" s="19"/>
      <c r="G564" s="19"/>
      <c r="P564" s="29"/>
      <c r="Q564" s="29"/>
      <c r="Y564" s="29"/>
      <c r="Z564" s="29"/>
      <c r="AA564" s="29"/>
      <c r="AB564" s="29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</row>
    <row r="565" spans="1:62" s="20" customFormat="1" x14ac:dyDescent="0.7">
      <c r="A565" s="17"/>
      <c r="B565" s="19"/>
      <c r="C565" s="19"/>
      <c r="D565" s="19"/>
      <c r="E565" s="19"/>
      <c r="F565" s="19"/>
      <c r="G565" s="19"/>
      <c r="P565" s="29"/>
      <c r="Q565" s="29"/>
      <c r="Y565" s="29"/>
      <c r="Z565" s="29"/>
      <c r="AA565" s="29"/>
      <c r="AB565" s="29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</row>
    <row r="566" spans="1:62" s="20" customFormat="1" x14ac:dyDescent="0.7">
      <c r="A566" s="17"/>
      <c r="B566" s="19"/>
      <c r="C566" s="19"/>
      <c r="D566" s="19"/>
      <c r="E566" s="19"/>
      <c r="F566" s="19"/>
      <c r="G566" s="19"/>
      <c r="P566" s="29"/>
      <c r="Q566" s="29"/>
      <c r="Y566" s="29"/>
      <c r="Z566" s="29"/>
      <c r="AA566" s="29"/>
      <c r="AB566" s="29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</row>
    <row r="567" spans="1:62" s="20" customFormat="1" x14ac:dyDescent="0.7">
      <c r="A567" s="17"/>
      <c r="B567" s="19"/>
      <c r="C567" s="19"/>
      <c r="D567" s="19"/>
      <c r="E567" s="19"/>
      <c r="F567" s="19"/>
      <c r="G567" s="19"/>
      <c r="P567" s="29"/>
      <c r="Q567" s="29"/>
      <c r="Y567" s="29"/>
      <c r="Z567" s="29"/>
      <c r="AA567" s="29"/>
      <c r="AB567" s="29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</row>
    <row r="568" spans="1:62" s="20" customFormat="1" x14ac:dyDescent="0.7">
      <c r="A568" s="17"/>
      <c r="B568" s="19"/>
      <c r="C568" s="19"/>
      <c r="D568" s="19"/>
      <c r="E568" s="19"/>
      <c r="F568" s="19"/>
      <c r="G568" s="19"/>
      <c r="P568" s="29"/>
      <c r="Q568" s="29"/>
      <c r="Y568" s="29"/>
      <c r="Z568" s="29"/>
      <c r="AA568" s="29"/>
      <c r="AB568" s="29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</row>
    <row r="569" spans="1:62" s="20" customFormat="1" x14ac:dyDescent="0.7">
      <c r="A569" s="17"/>
      <c r="B569" s="19"/>
      <c r="C569" s="19"/>
      <c r="D569" s="19"/>
      <c r="E569" s="19"/>
      <c r="F569" s="19"/>
      <c r="G569" s="19"/>
      <c r="P569" s="29"/>
      <c r="Q569" s="29"/>
      <c r="Y569" s="29"/>
      <c r="Z569" s="29"/>
      <c r="AA569" s="29"/>
      <c r="AB569" s="29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</row>
    <row r="570" spans="1:62" s="20" customFormat="1" x14ac:dyDescent="0.7">
      <c r="A570" s="17"/>
      <c r="B570" s="19"/>
      <c r="C570" s="19"/>
      <c r="D570" s="19"/>
      <c r="E570" s="19"/>
      <c r="F570" s="19"/>
      <c r="G570" s="19"/>
      <c r="P570" s="29"/>
      <c r="Q570" s="29"/>
      <c r="Y570" s="29"/>
      <c r="Z570" s="29"/>
      <c r="AA570" s="29"/>
      <c r="AB570" s="29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</row>
    <row r="571" spans="1:62" s="20" customFormat="1" x14ac:dyDescent="0.7">
      <c r="A571" s="17"/>
      <c r="B571" s="19"/>
      <c r="C571" s="19"/>
      <c r="D571" s="19"/>
      <c r="E571" s="19"/>
      <c r="F571" s="19"/>
      <c r="G571" s="19"/>
      <c r="P571" s="29"/>
      <c r="Q571" s="29"/>
      <c r="Y571" s="29"/>
      <c r="Z571" s="29"/>
      <c r="AA571" s="29"/>
      <c r="AB571" s="29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</row>
    <row r="572" spans="1:62" s="20" customFormat="1" x14ac:dyDescent="0.7">
      <c r="A572" s="17"/>
      <c r="B572" s="19"/>
      <c r="C572" s="19"/>
      <c r="D572" s="19"/>
      <c r="E572" s="19"/>
      <c r="F572" s="19"/>
      <c r="G572" s="19"/>
      <c r="P572" s="29"/>
      <c r="Q572" s="29"/>
      <c r="Y572" s="29"/>
      <c r="Z572" s="29"/>
      <c r="AA572" s="29"/>
      <c r="AB572" s="29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</row>
    <row r="573" spans="1:62" s="20" customFormat="1" x14ac:dyDescent="0.7">
      <c r="A573" s="17"/>
      <c r="B573" s="19"/>
      <c r="C573" s="19"/>
      <c r="D573" s="19"/>
      <c r="E573" s="19"/>
      <c r="F573" s="19"/>
      <c r="G573" s="19"/>
      <c r="P573" s="29"/>
      <c r="Q573" s="29"/>
      <c r="Y573" s="29"/>
      <c r="Z573" s="29"/>
      <c r="AA573" s="29"/>
      <c r="AB573" s="29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</row>
    <row r="574" spans="1:62" s="20" customFormat="1" x14ac:dyDescent="0.7">
      <c r="A574" s="17"/>
      <c r="B574" s="19"/>
      <c r="C574" s="19"/>
      <c r="D574" s="19"/>
      <c r="E574" s="19"/>
      <c r="F574" s="19"/>
      <c r="G574" s="19"/>
      <c r="P574" s="29"/>
      <c r="Q574" s="29"/>
      <c r="Y574" s="29"/>
      <c r="Z574" s="29"/>
      <c r="AA574" s="29"/>
      <c r="AB574" s="29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</row>
    <row r="575" spans="1:62" s="20" customFormat="1" x14ac:dyDescent="0.7">
      <c r="A575" s="17"/>
      <c r="B575" s="19"/>
      <c r="C575" s="19"/>
      <c r="D575" s="19"/>
      <c r="E575" s="19"/>
      <c r="F575" s="19"/>
      <c r="G575" s="19"/>
      <c r="P575" s="29"/>
      <c r="Q575" s="29"/>
      <c r="Y575" s="29"/>
      <c r="Z575" s="29"/>
      <c r="AA575" s="29"/>
      <c r="AB575" s="29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</row>
    <row r="576" spans="1:62" s="20" customFormat="1" x14ac:dyDescent="0.7">
      <c r="A576" s="17"/>
      <c r="B576" s="19"/>
      <c r="C576" s="19"/>
      <c r="D576" s="19"/>
      <c r="E576" s="19"/>
      <c r="F576" s="19"/>
      <c r="G576" s="19"/>
      <c r="P576" s="29"/>
      <c r="Q576" s="29"/>
      <c r="Y576" s="29"/>
      <c r="Z576" s="29"/>
      <c r="AA576" s="29"/>
      <c r="AB576" s="29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</row>
    <row r="577" spans="1:62" s="20" customFormat="1" x14ac:dyDescent="0.7">
      <c r="A577" s="17"/>
      <c r="B577" s="19"/>
      <c r="C577" s="19"/>
      <c r="D577" s="19"/>
      <c r="E577" s="19"/>
      <c r="F577" s="19"/>
      <c r="G577" s="19"/>
      <c r="P577" s="29"/>
      <c r="Q577" s="29"/>
      <c r="Y577" s="29"/>
      <c r="Z577" s="29"/>
      <c r="AA577" s="29"/>
      <c r="AB577" s="29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</row>
    <row r="578" spans="1:62" s="20" customFormat="1" x14ac:dyDescent="0.7">
      <c r="A578" s="17"/>
      <c r="B578" s="19"/>
      <c r="C578" s="19"/>
      <c r="D578" s="19"/>
      <c r="E578" s="19"/>
      <c r="F578" s="19"/>
      <c r="G578" s="19"/>
      <c r="P578" s="29"/>
      <c r="Q578" s="29"/>
      <c r="Y578" s="29"/>
      <c r="Z578" s="29"/>
      <c r="AA578" s="29"/>
      <c r="AB578" s="29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</row>
    <row r="579" spans="1:62" s="20" customFormat="1" x14ac:dyDescent="0.7">
      <c r="A579" s="17"/>
      <c r="B579" s="19"/>
      <c r="C579" s="19"/>
      <c r="D579" s="19"/>
      <c r="E579" s="19"/>
      <c r="F579" s="19"/>
      <c r="G579" s="19"/>
      <c r="P579" s="29"/>
      <c r="Q579" s="29"/>
      <c r="Y579" s="29"/>
      <c r="Z579" s="29"/>
      <c r="AA579" s="29"/>
      <c r="AB579" s="29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</row>
    <row r="580" spans="1:62" s="20" customFormat="1" x14ac:dyDescent="0.7">
      <c r="A580" s="17"/>
      <c r="B580" s="19"/>
      <c r="C580" s="19"/>
      <c r="D580" s="19"/>
      <c r="E580" s="19"/>
      <c r="F580" s="19"/>
      <c r="G580" s="19"/>
      <c r="P580" s="29"/>
      <c r="Q580" s="29"/>
      <c r="Y580" s="29"/>
      <c r="Z580" s="29"/>
      <c r="AA580" s="29"/>
      <c r="AB580" s="29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</row>
    <row r="581" spans="1:62" s="20" customFormat="1" x14ac:dyDescent="0.7">
      <c r="A581" s="17"/>
      <c r="B581" s="19"/>
      <c r="C581" s="19"/>
      <c r="D581" s="19"/>
      <c r="E581" s="19"/>
      <c r="F581" s="19"/>
      <c r="G581" s="19"/>
      <c r="P581" s="29"/>
      <c r="Q581" s="29"/>
      <c r="Y581" s="29"/>
      <c r="Z581" s="29"/>
      <c r="AA581" s="29"/>
      <c r="AB581" s="29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</row>
    <row r="582" spans="1:62" s="20" customFormat="1" x14ac:dyDescent="0.7">
      <c r="A582" s="17"/>
      <c r="B582" s="19"/>
      <c r="C582" s="19"/>
      <c r="D582" s="19"/>
      <c r="E582" s="19"/>
      <c r="F582" s="19"/>
      <c r="G582" s="19"/>
      <c r="P582" s="29"/>
      <c r="Q582" s="29"/>
      <c r="Y582" s="29"/>
      <c r="Z582" s="29"/>
      <c r="AA582" s="29"/>
      <c r="AB582" s="29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</row>
    <row r="583" spans="1:62" s="20" customFormat="1" x14ac:dyDescent="0.7">
      <c r="A583" s="17"/>
      <c r="B583" s="19"/>
      <c r="C583" s="19"/>
      <c r="D583" s="19"/>
      <c r="E583" s="19"/>
      <c r="F583" s="19"/>
      <c r="G583" s="19"/>
      <c r="P583" s="29"/>
      <c r="Q583" s="29"/>
      <c r="Y583" s="29"/>
      <c r="Z583" s="29"/>
      <c r="AA583" s="29"/>
      <c r="AB583" s="29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</row>
    <row r="584" spans="1:62" s="20" customFormat="1" x14ac:dyDescent="0.7">
      <c r="A584" s="17"/>
      <c r="B584" s="19"/>
      <c r="C584" s="19"/>
      <c r="D584" s="19"/>
      <c r="E584" s="19"/>
      <c r="F584" s="19"/>
      <c r="G584" s="19"/>
      <c r="P584" s="29"/>
      <c r="Q584" s="29"/>
      <c r="Y584" s="29"/>
      <c r="Z584" s="29"/>
      <c r="AA584" s="29"/>
      <c r="AB584" s="29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</row>
    <row r="585" spans="1:62" s="20" customFormat="1" x14ac:dyDescent="0.7">
      <c r="A585" s="17"/>
      <c r="B585" s="19"/>
      <c r="C585" s="19"/>
      <c r="D585" s="19"/>
      <c r="E585" s="19"/>
      <c r="F585" s="19"/>
      <c r="G585" s="19"/>
      <c r="P585" s="29"/>
      <c r="Q585" s="29"/>
      <c r="Y585" s="29"/>
      <c r="Z585" s="29"/>
      <c r="AA585" s="29"/>
      <c r="AB585" s="29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</row>
    <row r="586" spans="1:62" s="20" customFormat="1" x14ac:dyDescent="0.7">
      <c r="A586" s="17"/>
      <c r="B586" s="19"/>
      <c r="C586" s="19"/>
      <c r="D586" s="19"/>
      <c r="E586" s="19"/>
      <c r="F586" s="19"/>
      <c r="G586" s="19"/>
      <c r="P586" s="29"/>
      <c r="Q586" s="29"/>
      <c r="Y586" s="29"/>
      <c r="Z586" s="29"/>
      <c r="AA586" s="29"/>
      <c r="AB586" s="29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</row>
    <row r="587" spans="1:62" s="20" customFormat="1" x14ac:dyDescent="0.7">
      <c r="A587" s="17"/>
      <c r="B587" s="19"/>
      <c r="C587" s="19"/>
      <c r="D587" s="19"/>
      <c r="E587" s="19"/>
      <c r="F587" s="19"/>
      <c r="G587" s="19"/>
      <c r="P587" s="29"/>
      <c r="Q587" s="29"/>
      <c r="Y587" s="29"/>
      <c r="Z587" s="29"/>
      <c r="AA587" s="29"/>
      <c r="AB587" s="29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</row>
    <row r="588" spans="1:62" s="20" customFormat="1" x14ac:dyDescent="0.7">
      <c r="A588" s="17"/>
      <c r="B588" s="19"/>
      <c r="C588" s="19"/>
      <c r="D588" s="19"/>
      <c r="E588" s="19"/>
      <c r="F588" s="19"/>
      <c r="G588" s="19"/>
      <c r="P588" s="29"/>
      <c r="Q588" s="29"/>
      <c r="Y588" s="29"/>
      <c r="Z588" s="29"/>
      <c r="AA588" s="29"/>
      <c r="AB588" s="29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</row>
    <row r="589" spans="1:62" s="20" customFormat="1" x14ac:dyDescent="0.7">
      <c r="A589" s="17"/>
      <c r="B589" s="19"/>
      <c r="C589" s="19"/>
      <c r="D589" s="19"/>
      <c r="E589" s="19"/>
      <c r="F589" s="19"/>
      <c r="G589" s="19"/>
      <c r="P589" s="29"/>
      <c r="Q589" s="29"/>
      <c r="Y589" s="29"/>
      <c r="Z589" s="29"/>
      <c r="AA589" s="29"/>
      <c r="AB589" s="29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</row>
    <row r="590" spans="1:62" s="20" customFormat="1" x14ac:dyDescent="0.7">
      <c r="A590" s="17"/>
      <c r="B590" s="19"/>
      <c r="C590" s="19"/>
      <c r="D590" s="19"/>
      <c r="E590" s="19"/>
      <c r="F590" s="19"/>
      <c r="G590" s="19"/>
      <c r="P590" s="29"/>
      <c r="Q590" s="29"/>
      <c r="Y590" s="29"/>
      <c r="Z590" s="29"/>
      <c r="AA590" s="29"/>
      <c r="AB590" s="29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</row>
    <row r="591" spans="1:62" s="20" customFormat="1" x14ac:dyDescent="0.7">
      <c r="A591" s="17"/>
      <c r="B591" s="19"/>
      <c r="C591" s="19"/>
      <c r="D591" s="19"/>
      <c r="E591" s="19"/>
      <c r="F591" s="19"/>
      <c r="G591" s="19"/>
      <c r="P591" s="29"/>
      <c r="Q591" s="29"/>
      <c r="Y591" s="29"/>
      <c r="Z591" s="29"/>
      <c r="AA591" s="29"/>
      <c r="AB591" s="29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</row>
    <row r="592" spans="1:62" s="20" customFormat="1" x14ac:dyDescent="0.7">
      <c r="A592" s="17"/>
      <c r="B592" s="19"/>
      <c r="C592" s="19"/>
      <c r="D592" s="19"/>
      <c r="E592" s="19"/>
      <c r="F592" s="19"/>
      <c r="G592" s="19"/>
      <c r="P592" s="29"/>
      <c r="Q592" s="29"/>
      <c r="Y592" s="29"/>
      <c r="Z592" s="29"/>
      <c r="AA592" s="29"/>
      <c r="AB592" s="29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</row>
    <row r="593" spans="1:62" s="20" customFormat="1" x14ac:dyDescent="0.7">
      <c r="A593" s="17"/>
      <c r="B593" s="19"/>
      <c r="C593" s="19"/>
      <c r="D593" s="19"/>
      <c r="E593" s="19"/>
      <c r="F593" s="19"/>
      <c r="G593" s="19"/>
      <c r="P593" s="29"/>
      <c r="Q593" s="29"/>
      <c r="Y593" s="29"/>
      <c r="Z593" s="29"/>
      <c r="AA593" s="29"/>
      <c r="AB593" s="29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</row>
    <row r="594" spans="1:62" s="20" customFormat="1" x14ac:dyDescent="0.7">
      <c r="A594" s="17"/>
      <c r="B594" s="19"/>
      <c r="C594" s="19"/>
      <c r="D594" s="19"/>
      <c r="E594" s="19"/>
      <c r="F594" s="19"/>
      <c r="G594" s="19"/>
      <c r="P594" s="29"/>
      <c r="Q594" s="29"/>
      <c r="Y594" s="29"/>
      <c r="Z594" s="29"/>
      <c r="AA594" s="29"/>
      <c r="AB594" s="29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</row>
    <row r="595" spans="1:62" s="20" customFormat="1" x14ac:dyDescent="0.7">
      <c r="A595" s="17"/>
      <c r="B595" s="19"/>
      <c r="C595" s="19"/>
      <c r="D595" s="19"/>
      <c r="E595" s="19"/>
      <c r="F595" s="19"/>
      <c r="G595" s="19"/>
      <c r="P595" s="29"/>
      <c r="Q595" s="29"/>
      <c r="Y595" s="29"/>
      <c r="Z595" s="29"/>
      <c r="AA595" s="29"/>
      <c r="AB595" s="29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</row>
    <row r="596" spans="1:62" s="20" customFormat="1" x14ac:dyDescent="0.7">
      <c r="A596" s="17"/>
      <c r="B596" s="19"/>
      <c r="C596" s="19"/>
      <c r="D596" s="19"/>
      <c r="E596" s="19"/>
      <c r="F596" s="19"/>
      <c r="G596" s="19"/>
      <c r="P596" s="29"/>
      <c r="Q596" s="29"/>
      <c r="Y596" s="29"/>
      <c r="Z596" s="29"/>
      <c r="AA596" s="29"/>
      <c r="AB596" s="29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</row>
    <row r="597" spans="1:62" s="20" customFormat="1" x14ac:dyDescent="0.7">
      <c r="A597" s="17"/>
      <c r="B597" s="19"/>
      <c r="C597" s="19"/>
      <c r="D597" s="19"/>
      <c r="E597" s="19"/>
      <c r="F597" s="19"/>
      <c r="G597" s="19"/>
      <c r="P597" s="29"/>
      <c r="Q597" s="29"/>
      <c r="Y597" s="29"/>
      <c r="Z597" s="29"/>
      <c r="AA597" s="29"/>
      <c r="AB597" s="29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</row>
    <row r="598" spans="1:62" s="20" customFormat="1" x14ac:dyDescent="0.7">
      <c r="A598" s="17"/>
      <c r="B598" s="19"/>
      <c r="C598" s="19"/>
      <c r="D598" s="19"/>
      <c r="E598" s="19"/>
      <c r="F598" s="19"/>
      <c r="G598" s="19"/>
      <c r="P598" s="29"/>
      <c r="Q598" s="29"/>
      <c r="Y598" s="29"/>
      <c r="Z598" s="29"/>
      <c r="AA598" s="29"/>
      <c r="AB598" s="29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</row>
    <row r="599" spans="1:62" s="20" customFormat="1" x14ac:dyDescent="0.7">
      <c r="A599" s="17"/>
      <c r="B599" s="19"/>
      <c r="C599" s="19"/>
      <c r="D599" s="19"/>
      <c r="E599" s="19"/>
      <c r="F599" s="19"/>
      <c r="G599" s="19"/>
      <c r="P599" s="29"/>
      <c r="Q599" s="29"/>
      <c r="Y599" s="29"/>
      <c r="Z599" s="29"/>
      <c r="AA599" s="29"/>
      <c r="AB599" s="29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</row>
    <row r="600" spans="1:62" s="20" customFormat="1" x14ac:dyDescent="0.7">
      <c r="A600" s="17"/>
      <c r="B600" s="19"/>
      <c r="C600" s="19"/>
      <c r="D600" s="19"/>
      <c r="E600" s="19"/>
      <c r="F600" s="19"/>
      <c r="G600" s="19"/>
      <c r="P600" s="29"/>
      <c r="Q600" s="29"/>
      <c r="Y600" s="29"/>
      <c r="Z600" s="29"/>
      <c r="AA600" s="29"/>
      <c r="AB600" s="29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</row>
    <row r="601" spans="1:62" s="20" customFormat="1" x14ac:dyDescent="0.7">
      <c r="A601" s="17"/>
      <c r="B601" s="19"/>
      <c r="C601" s="19"/>
      <c r="D601" s="19"/>
      <c r="E601" s="19"/>
      <c r="F601" s="19"/>
      <c r="G601" s="19"/>
      <c r="P601" s="29"/>
      <c r="Q601" s="29"/>
      <c r="Y601" s="29"/>
      <c r="Z601" s="29"/>
      <c r="AA601" s="29"/>
      <c r="AB601" s="29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/>
      <c r="BF601" s="17"/>
      <c r="BG601" s="17"/>
      <c r="BH601" s="17"/>
      <c r="BI601" s="17"/>
      <c r="BJ601" s="17"/>
    </row>
    <row r="602" spans="1:62" s="20" customFormat="1" x14ac:dyDescent="0.7">
      <c r="A602" s="17"/>
      <c r="B602" s="19"/>
      <c r="C602" s="19"/>
      <c r="D602" s="19"/>
      <c r="E602" s="19"/>
      <c r="F602" s="19"/>
      <c r="G602" s="19"/>
      <c r="P602" s="29"/>
      <c r="Q602" s="29"/>
      <c r="Y602" s="29"/>
      <c r="Z602" s="29"/>
      <c r="AA602" s="29"/>
      <c r="AB602" s="29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</row>
    <row r="603" spans="1:62" s="20" customFormat="1" x14ac:dyDescent="0.7">
      <c r="A603" s="17"/>
      <c r="B603" s="19"/>
      <c r="C603" s="19"/>
      <c r="D603" s="19"/>
      <c r="E603" s="19"/>
      <c r="F603" s="19"/>
      <c r="G603" s="19"/>
      <c r="P603" s="29"/>
      <c r="Q603" s="29"/>
      <c r="Y603" s="29"/>
      <c r="Z603" s="29"/>
      <c r="AA603" s="29"/>
      <c r="AB603" s="29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</row>
    <row r="604" spans="1:62" s="20" customFormat="1" x14ac:dyDescent="0.7">
      <c r="A604" s="17"/>
      <c r="B604" s="19"/>
      <c r="C604" s="19"/>
      <c r="D604" s="19"/>
      <c r="E604" s="19"/>
      <c r="F604" s="19"/>
      <c r="G604" s="19"/>
      <c r="P604" s="29"/>
      <c r="Q604" s="29"/>
      <c r="Y604" s="29"/>
      <c r="Z604" s="29"/>
      <c r="AA604" s="29"/>
      <c r="AB604" s="29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</row>
    <row r="605" spans="1:62" s="20" customFormat="1" x14ac:dyDescent="0.7">
      <c r="A605" s="17"/>
      <c r="B605" s="19"/>
      <c r="C605" s="19"/>
      <c r="D605" s="19"/>
      <c r="E605" s="19"/>
      <c r="F605" s="19"/>
      <c r="G605" s="19"/>
      <c r="P605" s="29"/>
      <c r="Q605" s="29"/>
      <c r="Y605" s="29"/>
      <c r="Z605" s="29"/>
      <c r="AA605" s="29"/>
      <c r="AB605" s="29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</row>
    <row r="606" spans="1:62" s="20" customFormat="1" x14ac:dyDescent="0.7">
      <c r="A606" s="17"/>
      <c r="B606" s="19"/>
      <c r="C606" s="19"/>
      <c r="D606" s="19"/>
      <c r="E606" s="19"/>
      <c r="F606" s="19"/>
      <c r="G606" s="19"/>
      <c r="P606" s="29"/>
      <c r="Q606" s="29"/>
      <c r="Y606" s="29"/>
      <c r="Z606" s="29"/>
      <c r="AA606" s="29"/>
      <c r="AB606" s="29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</row>
    <row r="607" spans="1:62" s="20" customFormat="1" x14ac:dyDescent="0.7">
      <c r="A607" s="17"/>
      <c r="B607" s="19"/>
      <c r="C607" s="19"/>
      <c r="D607" s="19"/>
      <c r="E607" s="19"/>
      <c r="F607" s="19"/>
      <c r="G607" s="19"/>
      <c r="P607" s="29"/>
      <c r="Q607" s="29"/>
      <c r="Y607" s="29"/>
      <c r="Z607" s="29"/>
      <c r="AA607" s="29"/>
      <c r="AB607" s="29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</row>
    <row r="608" spans="1:62" s="20" customFormat="1" x14ac:dyDescent="0.7">
      <c r="A608" s="17"/>
      <c r="B608" s="19"/>
      <c r="C608" s="19"/>
      <c r="D608" s="19"/>
      <c r="E608" s="19"/>
      <c r="F608" s="19"/>
      <c r="G608" s="19"/>
      <c r="P608" s="29"/>
      <c r="Q608" s="29"/>
      <c r="Y608" s="29"/>
      <c r="Z608" s="29"/>
      <c r="AA608" s="29"/>
      <c r="AB608" s="29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</row>
    <row r="609" spans="1:62" s="20" customFormat="1" x14ac:dyDescent="0.7">
      <c r="A609" s="17"/>
      <c r="B609" s="19"/>
      <c r="C609" s="19"/>
      <c r="D609" s="19"/>
      <c r="E609" s="19"/>
      <c r="F609" s="19"/>
      <c r="G609" s="19"/>
      <c r="P609" s="29"/>
      <c r="Q609" s="29"/>
      <c r="Y609" s="29"/>
      <c r="Z609" s="29"/>
      <c r="AA609" s="29"/>
      <c r="AB609" s="29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/>
      <c r="BF609" s="17"/>
      <c r="BG609" s="17"/>
      <c r="BH609" s="17"/>
      <c r="BI609" s="17"/>
      <c r="BJ609" s="17"/>
    </row>
    <row r="610" spans="1:62" s="20" customFormat="1" x14ac:dyDescent="0.7">
      <c r="A610" s="17"/>
      <c r="B610" s="19"/>
      <c r="C610" s="19"/>
      <c r="D610" s="19"/>
      <c r="E610" s="19"/>
      <c r="F610" s="19"/>
      <c r="G610" s="19"/>
      <c r="P610" s="29"/>
      <c r="Q610" s="29"/>
      <c r="Y610" s="29"/>
      <c r="Z610" s="29"/>
      <c r="AA610" s="29"/>
      <c r="AB610" s="29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17"/>
      <c r="BH610" s="17"/>
      <c r="BI610" s="17"/>
      <c r="BJ610" s="17"/>
    </row>
    <row r="611" spans="1:62" s="20" customFormat="1" x14ac:dyDescent="0.7">
      <c r="A611" s="17"/>
      <c r="B611" s="19"/>
      <c r="C611" s="19"/>
      <c r="D611" s="19"/>
      <c r="E611" s="19"/>
      <c r="F611" s="19"/>
      <c r="G611" s="19"/>
      <c r="P611" s="29"/>
      <c r="Q611" s="29"/>
      <c r="Y611" s="29"/>
      <c r="Z611" s="29"/>
      <c r="AA611" s="29"/>
      <c r="AB611" s="29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/>
      <c r="BF611" s="17"/>
      <c r="BG611" s="17"/>
      <c r="BH611" s="17"/>
      <c r="BI611" s="17"/>
      <c r="BJ611" s="17"/>
    </row>
    <row r="612" spans="1:62" s="20" customFormat="1" x14ac:dyDescent="0.7">
      <c r="A612" s="17"/>
      <c r="B612" s="19"/>
      <c r="C612" s="19"/>
      <c r="D612" s="19"/>
      <c r="E612" s="19"/>
      <c r="F612" s="19"/>
      <c r="G612" s="19"/>
      <c r="P612" s="29"/>
      <c r="Q612" s="29"/>
      <c r="Y612" s="29"/>
      <c r="Z612" s="29"/>
      <c r="AA612" s="29"/>
      <c r="AB612" s="29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</row>
    <row r="613" spans="1:62" s="20" customFormat="1" x14ac:dyDescent="0.7">
      <c r="A613" s="17"/>
      <c r="B613" s="19"/>
      <c r="C613" s="19"/>
      <c r="D613" s="19"/>
      <c r="E613" s="19"/>
      <c r="F613" s="19"/>
      <c r="G613" s="19"/>
      <c r="P613" s="29"/>
      <c r="Q613" s="29"/>
      <c r="Y613" s="29"/>
      <c r="Z613" s="29"/>
      <c r="AA613" s="29"/>
      <c r="AB613" s="29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/>
      <c r="BF613" s="17"/>
      <c r="BG613" s="17"/>
      <c r="BH613" s="17"/>
      <c r="BI613" s="17"/>
      <c r="BJ613" s="17"/>
    </row>
    <row r="614" spans="1:62" s="20" customFormat="1" x14ac:dyDescent="0.7">
      <c r="A614" s="17"/>
      <c r="B614" s="19"/>
      <c r="C614" s="19"/>
      <c r="D614" s="19"/>
      <c r="E614" s="19"/>
      <c r="F614" s="19"/>
      <c r="G614" s="19"/>
      <c r="P614" s="29"/>
      <c r="Q614" s="29"/>
      <c r="Y614" s="29"/>
      <c r="Z614" s="29"/>
      <c r="AA614" s="29"/>
      <c r="AB614" s="29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/>
      <c r="BF614" s="17"/>
      <c r="BG614" s="17"/>
      <c r="BH614" s="17"/>
      <c r="BI614" s="17"/>
      <c r="BJ614" s="17"/>
    </row>
    <row r="615" spans="1:62" s="20" customFormat="1" x14ac:dyDescent="0.7">
      <c r="A615" s="17"/>
      <c r="B615" s="19"/>
      <c r="C615" s="19"/>
      <c r="D615" s="19"/>
      <c r="E615" s="19"/>
      <c r="F615" s="19"/>
      <c r="G615" s="19"/>
      <c r="P615" s="29"/>
      <c r="Q615" s="29"/>
      <c r="Y615" s="29"/>
      <c r="Z615" s="29"/>
      <c r="AA615" s="29"/>
      <c r="AB615" s="29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/>
      <c r="BF615" s="17"/>
      <c r="BG615" s="17"/>
      <c r="BH615" s="17"/>
      <c r="BI615" s="17"/>
      <c r="BJ615" s="17"/>
    </row>
    <row r="616" spans="1:62" s="20" customFormat="1" x14ac:dyDescent="0.7">
      <c r="A616" s="17"/>
      <c r="B616" s="19"/>
      <c r="C616" s="19"/>
      <c r="D616" s="19"/>
      <c r="E616" s="19"/>
      <c r="F616" s="19"/>
      <c r="G616" s="19"/>
      <c r="P616" s="29"/>
      <c r="Q616" s="29"/>
      <c r="Y616" s="29"/>
      <c r="Z616" s="29"/>
      <c r="AA616" s="29"/>
      <c r="AB616" s="29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/>
      <c r="BG616" s="17"/>
      <c r="BH616" s="17"/>
      <c r="BI616" s="17"/>
      <c r="BJ616" s="17"/>
    </row>
    <row r="617" spans="1:62" s="20" customFormat="1" x14ac:dyDescent="0.7">
      <c r="A617" s="17"/>
      <c r="B617" s="19"/>
      <c r="C617" s="19"/>
      <c r="D617" s="19"/>
      <c r="E617" s="19"/>
      <c r="F617" s="19"/>
      <c r="G617" s="19"/>
      <c r="P617" s="29"/>
      <c r="Q617" s="29"/>
      <c r="Y617" s="29"/>
      <c r="Z617" s="29"/>
      <c r="AA617" s="29"/>
      <c r="AB617" s="29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/>
      <c r="BF617" s="17"/>
      <c r="BG617" s="17"/>
      <c r="BH617" s="17"/>
      <c r="BI617" s="17"/>
      <c r="BJ617" s="17"/>
    </row>
    <row r="618" spans="1:62" s="20" customFormat="1" x14ac:dyDescent="0.7">
      <c r="A618" s="17"/>
      <c r="B618" s="19"/>
      <c r="C618" s="19"/>
      <c r="D618" s="19"/>
      <c r="E618" s="19"/>
      <c r="F618" s="19"/>
      <c r="G618" s="19"/>
      <c r="P618" s="29"/>
      <c r="Q618" s="29"/>
      <c r="Y618" s="29"/>
      <c r="Z618" s="29"/>
      <c r="AA618" s="29"/>
      <c r="AB618" s="29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/>
      <c r="BF618" s="17"/>
      <c r="BG618" s="17"/>
      <c r="BH618" s="17"/>
      <c r="BI618" s="17"/>
      <c r="BJ618" s="17"/>
    </row>
    <row r="619" spans="1:62" s="20" customFormat="1" x14ac:dyDescent="0.7">
      <c r="A619" s="17"/>
      <c r="B619" s="19"/>
      <c r="C619" s="19"/>
      <c r="D619" s="19"/>
      <c r="E619" s="19"/>
      <c r="F619" s="19"/>
      <c r="G619" s="19"/>
      <c r="P619" s="29"/>
      <c r="Q619" s="29"/>
      <c r="Y619" s="29"/>
      <c r="Z619" s="29"/>
      <c r="AA619" s="29"/>
      <c r="AB619" s="29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17"/>
      <c r="BH619" s="17"/>
      <c r="BI619" s="17"/>
      <c r="BJ619" s="17"/>
    </row>
    <row r="620" spans="1:62" s="20" customFormat="1" x14ac:dyDescent="0.7">
      <c r="A620" s="17"/>
      <c r="B620" s="19"/>
      <c r="C620" s="19"/>
      <c r="D620" s="19"/>
      <c r="E620" s="19"/>
      <c r="F620" s="19"/>
      <c r="G620" s="19"/>
      <c r="P620" s="29"/>
      <c r="Q620" s="29"/>
      <c r="Y620" s="29"/>
      <c r="Z620" s="29"/>
      <c r="AA620" s="29"/>
      <c r="AB620" s="29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/>
      <c r="BF620" s="17"/>
      <c r="BG620" s="17"/>
      <c r="BH620" s="17"/>
      <c r="BI620" s="17"/>
      <c r="BJ620" s="17"/>
    </row>
    <row r="621" spans="1:62" s="20" customFormat="1" x14ac:dyDescent="0.7">
      <c r="A621" s="17"/>
      <c r="B621" s="19"/>
      <c r="C621" s="19"/>
      <c r="D621" s="19"/>
      <c r="E621" s="19"/>
      <c r="F621" s="19"/>
      <c r="G621" s="19"/>
      <c r="P621" s="29"/>
      <c r="Q621" s="29"/>
      <c r="Y621" s="29"/>
      <c r="Z621" s="29"/>
      <c r="AA621" s="29"/>
      <c r="AB621" s="29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/>
      <c r="BF621" s="17"/>
      <c r="BG621" s="17"/>
      <c r="BH621" s="17"/>
      <c r="BI621" s="17"/>
      <c r="BJ621" s="17"/>
    </row>
    <row r="622" spans="1:62" s="20" customFormat="1" x14ac:dyDescent="0.7">
      <c r="A622" s="17"/>
      <c r="B622" s="19"/>
      <c r="C622" s="19"/>
      <c r="D622" s="19"/>
      <c r="E622" s="19"/>
      <c r="F622" s="19"/>
      <c r="G622" s="19"/>
      <c r="P622" s="29"/>
      <c r="Q622" s="29"/>
      <c r="Y622" s="29"/>
      <c r="Z622" s="29"/>
      <c r="AA622" s="29"/>
      <c r="AB622" s="29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/>
      <c r="BF622" s="17"/>
      <c r="BG622" s="17"/>
      <c r="BH622" s="17"/>
      <c r="BI622" s="17"/>
      <c r="BJ622" s="17"/>
    </row>
    <row r="623" spans="1:62" s="20" customFormat="1" x14ac:dyDescent="0.7">
      <c r="A623" s="17"/>
      <c r="B623" s="19"/>
      <c r="C623" s="19"/>
      <c r="D623" s="19"/>
      <c r="E623" s="19"/>
      <c r="F623" s="19"/>
      <c r="G623" s="19"/>
      <c r="P623" s="29"/>
      <c r="Q623" s="29"/>
      <c r="Y623" s="29"/>
      <c r="Z623" s="29"/>
      <c r="AA623" s="29"/>
      <c r="AB623" s="29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  <c r="BA623" s="17"/>
      <c r="BB623" s="17"/>
      <c r="BC623" s="17"/>
      <c r="BD623" s="17"/>
      <c r="BE623" s="17"/>
      <c r="BF623" s="17"/>
      <c r="BG623" s="17"/>
      <c r="BH623" s="17"/>
      <c r="BI623" s="17"/>
      <c r="BJ623" s="17"/>
    </row>
    <row r="624" spans="1:62" s="20" customFormat="1" x14ac:dyDescent="0.7">
      <c r="A624" s="17"/>
      <c r="B624" s="19"/>
      <c r="C624" s="19"/>
      <c r="D624" s="19"/>
      <c r="E624" s="19"/>
      <c r="F624" s="19"/>
      <c r="G624" s="19"/>
      <c r="P624" s="29"/>
      <c r="Q624" s="29"/>
      <c r="Y624" s="29"/>
      <c r="Z624" s="29"/>
      <c r="AA624" s="29"/>
      <c r="AB624" s="29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/>
      <c r="BF624" s="17"/>
      <c r="BG624" s="17"/>
      <c r="BH624" s="17"/>
      <c r="BI624" s="17"/>
      <c r="BJ624" s="17"/>
    </row>
    <row r="625" spans="1:62" s="20" customFormat="1" x14ac:dyDescent="0.7">
      <c r="A625" s="17"/>
      <c r="B625" s="19"/>
      <c r="C625" s="19"/>
      <c r="D625" s="19"/>
      <c r="E625" s="19"/>
      <c r="F625" s="19"/>
      <c r="G625" s="19"/>
      <c r="P625" s="29"/>
      <c r="Q625" s="29"/>
      <c r="Y625" s="29"/>
      <c r="Z625" s="29"/>
      <c r="AA625" s="29"/>
      <c r="AB625" s="29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/>
      <c r="BF625" s="17"/>
      <c r="BG625" s="17"/>
      <c r="BH625" s="17"/>
      <c r="BI625" s="17"/>
      <c r="BJ625" s="17"/>
    </row>
    <row r="626" spans="1:62" s="20" customFormat="1" x14ac:dyDescent="0.7">
      <c r="A626" s="17"/>
      <c r="B626" s="19"/>
      <c r="C626" s="19"/>
      <c r="D626" s="19"/>
      <c r="E626" s="19"/>
      <c r="F626" s="19"/>
      <c r="G626" s="19"/>
      <c r="P626" s="29"/>
      <c r="Q626" s="29"/>
      <c r="Y626" s="29"/>
      <c r="Z626" s="29"/>
      <c r="AA626" s="29"/>
      <c r="AB626" s="29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/>
      <c r="BF626" s="17"/>
      <c r="BG626" s="17"/>
      <c r="BH626" s="17"/>
      <c r="BI626" s="17"/>
      <c r="BJ626" s="17"/>
    </row>
    <row r="627" spans="1:62" s="20" customFormat="1" x14ac:dyDescent="0.7">
      <c r="A627" s="17"/>
      <c r="B627" s="19"/>
      <c r="C627" s="19"/>
      <c r="D627" s="19"/>
      <c r="E627" s="19"/>
      <c r="F627" s="19"/>
      <c r="G627" s="19"/>
      <c r="P627" s="29"/>
      <c r="Q627" s="29"/>
      <c r="Y627" s="29"/>
      <c r="Z627" s="29"/>
      <c r="AA627" s="29"/>
      <c r="AB627" s="29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/>
      <c r="BF627" s="17"/>
      <c r="BG627" s="17"/>
      <c r="BH627" s="17"/>
      <c r="BI627" s="17"/>
      <c r="BJ627" s="17"/>
    </row>
    <row r="628" spans="1:62" s="20" customFormat="1" x14ac:dyDescent="0.7">
      <c r="A628" s="17"/>
      <c r="B628" s="19"/>
      <c r="C628" s="19"/>
      <c r="D628" s="19"/>
      <c r="E628" s="19"/>
      <c r="F628" s="19"/>
      <c r="G628" s="19"/>
      <c r="P628" s="29"/>
      <c r="Q628" s="29"/>
      <c r="Y628" s="29"/>
      <c r="Z628" s="29"/>
      <c r="AA628" s="29"/>
      <c r="AB628" s="29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17"/>
      <c r="BH628" s="17"/>
      <c r="BI628" s="17"/>
      <c r="BJ628" s="17"/>
    </row>
    <row r="629" spans="1:62" s="20" customFormat="1" x14ac:dyDescent="0.7">
      <c r="A629" s="17"/>
      <c r="B629" s="19"/>
      <c r="C629" s="19"/>
      <c r="D629" s="19"/>
      <c r="E629" s="19"/>
      <c r="F629" s="19"/>
      <c r="G629" s="19"/>
      <c r="P629" s="29"/>
      <c r="Q629" s="29"/>
      <c r="Y629" s="29"/>
      <c r="Z629" s="29"/>
      <c r="AA629" s="29"/>
      <c r="AB629" s="29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/>
      <c r="BF629" s="17"/>
      <c r="BG629" s="17"/>
      <c r="BH629" s="17"/>
      <c r="BI629" s="17"/>
      <c r="BJ629" s="17"/>
    </row>
    <row r="630" spans="1:62" s="20" customFormat="1" x14ac:dyDescent="0.7">
      <c r="A630" s="17"/>
      <c r="B630" s="19"/>
      <c r="C630" s="19"/>
      <c r="D630" s="19"/>
      <c r="E630" s="19"/>
      <c r="F630" s="19"/>
      <c r="G630" s="19"/>
      <c r="P630" s="29"/>
      <c r="Q630" s="29"/>
      <c r="Y630" s="29"/>
      <c r="Z630" s="29"/>
      <c r="AA630" s="29"/>
      <c r="AB630" s="29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</row>
    <row r="631" spans="1:62" s="20" customFormat="1" x14ac:dyDescent="0.7">
      <c r="A631" s="17"/>
      <c r="B631" s="19"/>
      <c r="C631" s="19"/>
      <c r="D631" s="19"/>
      <c r="E631" s="19"/>
      <c r="F631" s="19"/>
      <c r="G631" s="19"/>
      <c r="P631" s="29"/>
      <c r="Q631" s="29"/>
      <c r="Y631" s="29"/>
      <c r="Z631" s="29"/>
      <c r="AA631" s="29"/>
      <c r="AB631" s="29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</row>
    <row r="632" spans="1:62" s="20" customFormat="1" x14ac:dyDescent="0.7">
      <c r="A632" s="17"/>
      <c r="B632" s="19"/>
      <c r="C632" s="19"/>
      <c r="D632" s="19"/>
      <c r="E632" s="19"/>
      <c r="F632" s="19"/>
      <c r="G632" s="19"/>
      <c r="P632" s="29"/>
      <c r="Q632" s="29"/>
      <c r="Y632" s="29"/>
      <c r="Z632" s="29"/>
      <c r="AA632" s="29"/>
      <c r="AB632" s="29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</row>
    <row r="633" spans="1:62" s="20" customFormat="1" x14ac:dyDescent="0.7">
      <c r="A633" s="17"/>
      <c r="B633" s="19"/>
      <c r="C633" s="19"/>
      <c r="D633" s="19"/>
      <c r="E633" s="19"/>
      <c r="F633" s="19"/>
      <c r="G633" s="19"/>
      <c r="P633" s="29"/>
      <c r="Q633" s="29"/>
      <c r="Y633" s="29"/>
      <c r="Z633" s="29"/>
      <c r="AA633" s="29"/>
      <c r="AB633" s="29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</row>
    <row r="634" spans="1:62" s="20" customFormat="1" x14ac:dyDescent="0.7">
      <c r="A634" s="17"/>
      <c r="B634" s="19"/>
      <c r="C634" s="19"/>
      <c r="D634" s="19"/>
      <c r="E634" s="19"/>
      <c r="F634" s="19"/>
      <c r="G634" s="19"/>
      <c r="P634" s="29"/>
      <c r="Q634" s="29"/>
      <c r="Y634" s="29"/>
      <c r="Z634" s="29"/>
      <c r="AA634" s="29"/>
      <c r="AB634" s="29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</row>
    <row r="635" spans="1:62" s="20" customFormat="1" x14ac:dyDescent="0.7">
      <c r="A635" s="17"/>
      <c r="B635" s="19"/>
      <c r="C635" s="19"/>
      <c r="D635" s="19"/>
      <c r="E635" s="19"/>
      <c r="F635" s="19"/>
      <c r="G635" s="19"/>
      <c r="P635" s="29"/>
      <c r="Q635" s="29"/>
      <c r="Y635" s="29"/>
      <c r="Z635" s="29"/>
      <c r="AA635" s="29"/>
      <c r="AB635" s="29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/>
      <c r="BF635" s="17"/>
      <c r="BG635" s="17"/>
      <c r="BH635" s="17"/>
      <c r="BI635" s="17"/>
      <c r="BJ635" s="17"/>
    </row>
    <row r="636" spans="1:62" s="20" customFormat="1" x14ac:dyDescent="0.7">
      <c r="A636" s="17"/>
      <c r="B636" s="19"/>
      <c r="C636" s="19"/>
      <c r="D636" s="19"/>
      <c r="E636" s="19"/>
      <c r="F636" s="19"/>
      <c r="G636" s="19"/>
      <c r="P636" s="29"/>
      <c r="Q636" s="29"/>
      <c r="Y636" s="29"/>
      <c r="Z636" s="29"/>
      <c r="AA636" s="29"/>
      <c r="AB636" s="29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/>
      <c r="BF636" s="17"/>
      <c r="BG636" s="17"/>
      <c r="BH636" s="17"/>
      <c r="BI636" s="17"/>
      <c r="BJ636" s="17"/>
    </row>
    <row r="637" spans="1:62" s="20" customFormat="1" x14ac:dyDescent="0.7">
      <c r="A637" s="17"/>
      <c r="B637" s="19"/>
      <c r="C637" s="19"/>
      <c r="D637" s="19"/>
      <c r="E637" s="19"/>
      <c r="F637" s="19"/>
      <c r="G637" s="19"/>
      <c r="P637" s="29"/>
      <c r="Q637" s="29"/>
      <c r="Y637" s="29"/>
      <c r="Z637" s="29"/>
      <c r="AA637" s="29"/>
      <c r="AB637" s="29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/>
      <c r="BF637" s="17"/>
      <c r="BG637" s="17"/>
      <c r="BH637" s="17"/>
      <c r="BI637" s="17"/>
      <c r="BJ637" s="17"/>
    </row>
    <row r="638" spans="1:62" s="20" customFormat="1" x14ac:dyDescent="0.7">
      <c r="A638" s="17"/>
      <c r="B638" s="19"/>
      <c r="C638" s="19"/>
      <c r="D638" s="19"/>
      <c r="E638" s="19"/>
      <c r="F638" s="19"/>
      <c r="G638" s="19"/>
      <c r="P638" s="29"/>
      <c r="Q638" s="29"/>
      <c r="Y638" s="29"/>
      <c r="Z638" s="29"/>
      <c r="AA638" s="29"/>
      <c r="AB638" s="29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/>
      <c r="BF638" s="17"/>
      <c r="BG638" s="17"/>
      <c r="BH638" s="17"/>
      <c r="BI638" s="17"/>
      <c r="BJ638" s="17"/>
    </row>
    <row r="639" spans="1:62" s="20" customFormat="1" x14ac:dyDescent="0.7">
      <c r="A639" s="17"/>
      <c r="B639" s="19"/>
      <c r="C639" s="19"/>
      <c r="D639" s="19"/>
      <c r="E639" s="19"/>
      <c r="F639" s="19"/>
      <c r="G639" s="19"/>
      <c r="P639" s="29"/>
      <c r="Q639" s="29"/>
      <c r="Y639" s="29"/>
      <c r="Z639" s="29"/>
      <c r="AA639" s="29"/>
      <c r="AB639" s="29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/>
      <c r="BF639" s="17"/>
      <c r="BG639" s="17"/>
      <c r="BH639" s="17"/>
      <c r="BI639" s="17"/>
      <c r="BJ639" s="17"/>
    </row>
    <row r="640" spans="1:62" s="20" customFormat="1" x14ac:dyDescent="0.7">
      <c r="A640" s="17"/>
      <c r="B640" s="19"/>
      <c r="C640" s="19"/>
      <c r="D640" s="19"/>
      <c r="E640" s="19"/>
      <c r="F640" s="19"/>
      <c r="G640" s="19"/>
      <c r="P640" s="29"/>
      <c r="Q640" s="29"/>
      <c r="Y640" s="29"/>
      <c r="Z640" s="29"/>
      <c r="AA640" s="29"/>
      <c r="AB640" s="29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</row>
    <row r="641" spans="1:62" s="20" customFormat="1" x14ac:dyDescent="0.7">
      <c r="A641" s="17"/>
      <c r="B641" s="19"/>
      <c r="C641" s="19"/>
      <c r="D641" s="19"/>
      <c r="E641" s="19"/>
      <c r="F641" s="19"/>
      <c r="G641" s="19"/>
      <c r="P641" s="29"/>
      <c r="Q641" s="29"/>
      <c r="Y641" s="29"/>
      <c r="Z641" s="29"/>
      <c r="AA641" s="29"/>
      <c r="AB641" s="29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</row>
    <row r="642" spans="1:62" s="20" customFormat="1" x14ac:dyDescent="0.7">
      <c r="A642" s="17"/>
      <c r="B642" s="19"/>
      <c r="C642" s="19"/>
      <c r="D642" s="19"/>
      <c r="E642" s="19"/>
      <c r="F642" s="19"/>
      <c r="G642" s="19"/>
      <c r="P642" s="29"/>
      <c r="Q642" s="29"/>
      <c r="Y642" s="29"/>
      <c r="Z642" s="29"/>
      <c r="AA642" s="29"/>
      <c r="AB642" s="29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</row>
    <row r="643" spans="1:62" s="20" customFormat="1" x14ac:dyDescent="0.7">
      <c r="A643" s="17"/>
      <c r="B643" s="19"/>
      <c r="C643" s="19"/>
      <c r="D643" s="19"/>
      <c r="E643" s="19"/>
      <c r="F643" s="19"/>
      <c r="G643" s="19"/>
      <c r="P643" s="29"/>
      <c r="Q643" s="29"/>
      <c r="Y643" s="29"/>
      <c r="Z643" s="29"/>
      <c r="AA643" s="29"/>
      <c r="AB643" s="29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</row>
    <row r="644" spans="1:62" s="20" customFormat="1" x14ac:dyDescent="0.7">
      <c r="A644" s="17"/>
      <c r="B644" s="19"/>
      <c r="C644" s="19"/>
      <c r="D644" s="19"/>
      <c r="E644" s="19"/>
      <c r="F644" s="19"/>
      <c r="G644" s="19"/>
      <c r="P644" s="29"/>
      <c r="Q644" s="29"/>
      <c r="Y644" s="29"/>
      <c r="Z644" s="29"/>
      <c r="AA644" s="29"/>
      <c r="AB644" s="29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</row>
    <row r="645" spans="1:62" s="20" customFormat="1" x14ac:dyDescent="0.7">
      <c r="A645" s="17"/>
      <c r="B645" s="19"/>
      <c r="C645" s="19"/>
      <c r="D645" s="19"/>
      <c r="E645" s="19"/>
      <c r="F645" s="19"/>
      <c r="G645" s="19"/>
      <c r="P645" s="29"/>
      <c r="Q645" s="29"/>
      <c r="Y645" s="29"/>
      <c r="Z645" s="29"/>
      <c r="AA645" s="29"/>
      <c r="AB645" s="29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  <c r="BA645" s="17"/>
      <c r="BB645" s="17"/>
      <c r="BC645" s="17"/>
      <c r="BD645" s="17"/>
      <c r="BE645" s="17"/>
      <c r="BF645" s="17"/>
      <c r="BG645" s="17"/>
      <c r="BH645" s="17"/>
      <c r="BI645" s="17"/>
      <c r="BJ645" s="17"/>
    </row>
    <row r="646" spans="1:62" s="20" customFormat="1" x14ac:dyDescent="0.7">
      <c r="A646" s="17"/>
      <c r="B646" s="19"/>
      <c r="C646" s="19"/>
      <c r="D646" s="19"/>
      <c r="E646" s="19"/>
      <c r="F646" s="19"/>
      <c r="G646" s="19"/>
      <c r="P646" s="29"/>
      <c r="Q646" s="29"/>
      <c r="Y646" s="29"/>
      <c r="Z646" s="29"/>
      <c r="AA646" s="29"/>
      <c r="AB646" s="29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  <c r="BA646" s="17"/>
      <c r="BB646" s="17"/>
      <c r="BC646" s="17"/>
      <c r="BD646" s="17"/>
      <c r="BE646" s="17"/>
      <c r="BF646" s="17"/>
      <c r="BG646" s="17"/>
      <c r="BH646" s="17"/>
      <c r="BI646" s="17"/>
      <c r="BJ646" s="17"/>
    </row>
    <row r="647" spans="1:62" s="20" customFormat="1" x14ac:dyDescent="0.7">
      <c r="A647" s="17"/>
      <c r="B647" s="19"/>
      <c r="C647" s="19"/>
      <c r="D647" s="19"/>
      <c r="E647" s="19"/>
      <c r="F647" s="19"/>
      <c r="G647" s="19"/>
      <c r="P647" s="29"/>
      <c r="Q647" s="29"/>
      <c r="Y647" s="29"/>
      <c r="Z647" s="29"/>
      <c r="AA647" s="29"/>
      <c r="AB647" s="29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  <c r="BA647" s="17"/>
      <c r="BB647" s="17"/>
      <c r="BC647" s="17"/>
      <c r="BD647" s="17"/>
      <c r="BE647" s="17"/>
      <c r="BF647" s="17"/>
      <c r="BG647" s="17"/>
      <c r="BH647" s="17"/>
      <c r="BI647" s="17"/>
      <c r="BJ647" s="17"/>
    </row>
    <row r="648" spans="1:62" s="20" customFormat="1" x14ac:dyDescent="0.7">
      <c r="A648" s="17"/>
      <c r="B648" s="19"/>
      <c r="C648" s="19"/>
      <c r="D648" s="19"/>
      <c r="E648" s="19"/>
      <c r="F648" s="19"/>
      <c r="G648" s="19"/>
      <c r="P648" s="29"/>
      <c r="Q648" s="29"/>
      <c r="Y648" s="29"/>
      <c r="Z648" s="29"/>
      <c r="AA648" s="29"/>
      <c r="AB648" s="29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  <c r="BA648" s="17"/>
      <c r="BB648" s="17"/>
      <c r="BC648" s="17"/>
      <c r="BD648" s="17"/>
      <c r="BE648" s="17"/>
      <c r="BF648" s="17"/>
      <c r="BG648" s="17"/>
      <c r="BH648" s="17"/>
      <c r="BI648" s="17"/>
      <c r="BJ648" s="17"/>
    </row>
    <row r="649" spans="1:62" s="20" customFormat="1" x14ac:dyDescent="0.7">
      <c r="A649" s="17"/>
      <c r="B649" s="19"/>
      <c r="C649" s="19"/>
      <c r="D649" s="19"/>
      <c r="E649" s="19"/>
      <c r="F649" s="19"/>
      <c r="G649" s="19"/>
      <c r="P649" s="29"/>
      <c r="Q649" s="29"/>
      <c r="Y649" s="29"/>
      <c r="Z649" s="29"/>
      <c r="AA649" s="29"/>
      <c r="AB649" s="29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  <c r="BA649" s="17"/>
      <c r="BB649" s="17"/>
      <c r="BC649" s="17"/>
      <c r="BD649" s="17"/>
      <c r="BE649" s="17"/>
      <c r="BF649" s="17"/>
      <c r="BG649" s="17"/>
      <c r="BH649" s="17"/>
      <c r="BI649" s="17"/>
      <c r="BJ649" s="17"/>
    </row>
    <row r="650" spans="1:62" s="20" customFormat="1" x14ac:dyDescent="0.7">
      <c r="A650" s="17"/>
      <c r="B650" s="19"/>
      <c r="C650" s="19"/>
      <c r="D650" s="19"/>
      <c r="E650" s="19"/>
      <c r="F650" s="19"/>
      <c r="G650" s="19"/>
      <c r="P650" s="29"/>
      <c r="Q650" s="29"/>
      <c r="Y650" s="29"/>
      <c r="Z650" s="29"/>
      <c r="AA650" s="29"/>
      <c r="AB650" s="29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  <c r="BA650" s="17"/>
      <c r="BB650" s="17"/>
      <c r="BC650" s="17"/>
      <c r="BD650" s="17"/>
      <c r="BE650" s="17"/>
      <c r="BF650" s="17"/>
      <c r="BG650" s="17"/>
      <c r="BH650" s="17"/>
      <c r="BI650" s="17"/>
      <c r="BJ650" s="17"/>
    </row>
    <row r="651" spans="1:62" s="20" customFormat="1" x14ac:dyDescent="0.7">
      <c r="A651" s="17"/>
      <c r="B651" s="19"/>
      <c r="C651" s="19"/>
      <c r="D651" s="19"/>
      <c r="E651" s="19"/>
      <c r="F651" s="19"/>
      <c r="G651" s="19"/>
      <c r="P651" s="29"/>
      <c r="Q651" s="29"/>
      <c r="Y651" s="29"/>
      <c r="Z651" s="29"/>
      <c r="AA651" s="29"/>
      <c r="AB651" s="29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  <c r="BA651" s="17"/>
      <c r="BB651" s="17"/>
      <c r="BC651" s="17"/>
      <c r="BD651" s="17"/>
      <c r="BE651" s="17"/>
      <c r="BF651" s="17"/>
      <c r="BG651" s="17"/>
      <c r="BH651" s="17"/>
      <c r="BI651" s="17"/>
      <c r="BJ651" s="17"/>
    </row>
    <row r="652" spans="1:62" s="20" customFormat="1" x14ac:dyDescent="0.7">
      <c r="A652" s="17"/>
      <c r="B652" s="19"/>
      <c r="C652" s="19"/>
      <c r="D652" s="19"/>
      <c r="E652" s="19"/>
      <c r="F652" s="19"/>
      <c r="G652" s="19"/>
      <c r="P652" s="29"/>
      <c r="Q652" s="29"/>
      <c r="Y652" s="29"/>
      <c r="Z652" s="29"/>
      <c r="AA652" s="29"/>
      <c r="AB652" s="29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  <c r="BA652" s="17"/>
      <c r="BB652" s="17"/>
      <c r="BC652" s="17"/>
      <c r="BD652" s="17"/>
      <c r="BE652" s="17"/>
      <c r="BF652" s="17"/>
      <c r="BG652" s="17"/>
      <c r="BH652" s="17"/>
      <c r="BI652" s="17"/>
      <c r="BJ652" s="17"/>
    </row>
    <row r="653" spans="1:62" s="20" customFormat="1" x14ac:dyDescent="0.7">
      <c r="A653" s="17"/>
      <c r="B653" s="19"/>
      <c r="C653" s="19"/>
      <c r="D653" s="19"/>
      <c r="E653" s="19"/>
      <c r="F653" s="19"/>
      <c r="G653" s="19"/>
      <c r="P653" s="29"/>
      <c r="Q653" s="29"/>
      <c r="Y653" s="29"/>
      <c r="Z653" s="29"/>
      <c r="AA653" s="29"/>
      <c r="AB653" s="29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</row>
    <row r="654" spans="1:62" s="20" customFormat="1" x14ac:dyDescent="0.7">
      <c r="A654" s="17"/>
      <c r="B654" s="19"/>
      <c r="C654" s="19"/>
      <c r="D654" s="19"/>
      <c r="E654" s="19"/>
      <c r="F654" s="19"/>
      <c r="G654" s="19"/>
      <c r="P654" s="29"/>
      <c r="Q654" s="29"/>
      <c r="Y654" s="29"/>
      <c r="Z654" s="29"/>
      <c r="AA654" s="29"/>
      <c r="AB654" s="29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  <c r="BA654" s="17"/>
      <c r="BB654" s="17"/>
      <c r="BC654" s="17"/>
      <c r="BD654" s="17"/>
      <c r="BE654" s="17"/>
      <c r="BF654" s="17"/>
      <c r="BG654" s="17"/>
      <c r="BH654" s="17"/>
      <c r="BI654" s="17"/>
      <c r="BJ654" s="17"/>
    </row>
    <row r="655" spans="1:62" s="20" customFormat="1" x14ac:dyDescent="0.7">
      <c r="A655" s="17"/>
      <c r="B655" s="19"/>
      <c r="C655" s="19"/>
      <c r="D655" s="19"/>
      <c r="E655" s="19"/>
      <c r="F655" s="19"/>
      <c r="G655" s="19"/>
      <c r="P655" s="29"/>
      <c r="Q655" s="29"/>
      <c r="Y655" s="29"/>
      <c r="Z655" s="29"/>
      <c r="AA655" s="29"/>
      <c r="AB655" s="29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</row>
    <row r="656" spans="1:62" s="20" customFormat="1" x14ac:dyDescent="0.7">
      <c r="A656" s="17"/>
      <c r="B656" s="19"/>
      <c r="C656" s="19"/>
      <c r="D656" s="19"/>
      <c r="E656" s="19"/>
      <c r="F656" s="19"/>
      <c r="G656" s="19"/>
      <c r="P656" s="29"/>
      <c r="Q656" s="29"/>
      <c r="Y656" s="29"/>
      <c r="Z656" s="29"/>
      <c r="AA656" s="29"/>
      <c r="AB656" s="29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17"/>
      <c r="BH656" s="17"/>
      <c r="BI656" s="17"/>
      <c r="BJ656" s="17"/>
    </row>
    <row r="657" spans="1:62" s="20" customFormat="1" x14ac:dyDescent="0.7">
      <c r="A657" s="17"/>
      <c r="B657" s="19"/>
      <c r="C657" s="19"/>
      <c r="D657" s="19"/>
      <c r="E657" s="19"/>
      <c r="F657" s="19"/>
      <c r="G657" s="19"/>
      <c r="P657" s="29"/>
      <c r="Q657" s="29"/>
      <c r="Y657" s="29"/>
      <c r="Z657" s="29"/>
      <c r="AA657" s="29"/>
      <c r="AB657" s="29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  <c r="BA657" s="17"/>
      <c r="BB657" s="17"/>
      <c r="BC657" s="17"/>
      <c r="BD657" s="17"/>
      <c r="BE657" s="17"/>
      <c r="BF657" s="17"/>
      <c r="BG657" s="17"/>
      <c r="BH657" s="17"/>
      <c r="BI657" s="17"/>
      <c r="BJ657" s="17"/>
    </row>
    <row r="658" spans="1:62" s="20" customFormat="1" x14ac:dyDescent="0.7">
      <c r="A658" s="17"/>
      <c r="B658" s="19"/>
      <c r="C658" s="19"/>
      <c r="D658" s="19"/>
      <c r="E658" s="19"/>
      <c r="F658" s="19"/>
      <c r="G658" s="19"/>
      <c r="P658" s="29"/>
      <c r="Q658" s="29"/>
      <c r="Y658" s="29"/>
      <c r="Z658" s="29"/>
      <c r="AA658" s="29"/>
      <c r="AB658" s="29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  <c r="BA658" s="17"/>
      <c r="BB658" s="17"/>
      <c r="BC658" s="17"/>
      <c r="BD658" s="17"/>
      <c r="BE658" s="17"/>
      <c r="BF658" s="17"/>
      <c r="BG658" s="17"/>
      <c r="BH658" s="17"/>
      <c r="BI658" s="17"/>
      <c r="BJ658" s="17"/>
    </row>
    <row r="659" spans="1:62" s="20" customFormat="1" x14ac:dyDescent="0.7">
      <c r="A659" s="17"/>
      <c r="B659" s="19"/>
      <c r="C659" s="19"/>
      <c r="D659" s="19"/>
      <c r="E659" s="19"/>
      <c r="F659" s="19"/>
      <c r="G659" s="19"/>
      <c r="P659" s="29"/>
      <c r="Q659" s="29"/>
      <c r="Y659" s="29"/>
      <c r="Z659" s="29"/>
      <c r="AA659" s="29"/>
      <c r="AB659" s="29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17"/>
      <c r="BH659" s="17"/>
      <c r="BI659" s="17"/>
      <c r="BJ659" s="17"/>
    </row>
    <row r="660" spans="1:62" s="20" customFormat="1" x14ac:dyDescent="0.7">
      <c r="A660" s="17"/>
      <c r="B660" s="19"/>
      <c r="C660" s="19"/>
      <c r="D660" s="19"/>
      <c r="E660" s="19"/>
      <c r="F660" s="19"/>
      <c r="G660" s="19"/>
      <c r="P660" s="29"/>
      <c r="Q660" s="29"/>
      <c r="Y660" s="29"/>
      <c r="Z660" s="29"/>
      <c r="AA660" s="29"/>
      <c r="AB660" s="29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17"/>
      <c r="BH660" s="17"/>
      <c r="BI660" s="17"/>
      <c r="BJ660" s="17"/>
    </row>
    <row r="661" spans="1:62" s="20" customFormat="1" x14ac:dyDescent="0.7">
      <c r="A661" s="17"/>
      <c r="B661" s="19"/>
      <c r="C661" s="19"/>
      <c r="D661" s="19"/>
      <c r="E661" s="19"/>
      <c r="F661" s="19"/>
      <c r="G661" s="19"/>
      <c r="P661" s="29"/>
      <c r="Q661" s="29"/>
      <c r="Y661" s="29"/>
      <c r="Z661" s="29"/>
      <c r="AA661" s="29"/>
      <c r="AB661" s="29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/>
      <c r="BC661" s="17"/>
      <c r="BD661" s="17"/>
      <c r="BE661" s="17"/>
      <c r="BF661" s="17"/>
      <c r="BG661" s="17"/>
      <c r="BH661" s="17"/>
      <c r="BI661" s="17"/>
      <c r="BJ661" s="17"/>
    </row>
    <row r="662" spans="1:62" s="20" customFormat="1" x14ac:dyDescent="0.7">
      <c r="A662" s="17"/>
      <c r="B662" s="19"/>
      <c r="C662" s="19"/>
      <c r="D662" s="19"/>
      <c r="E662" s="19"/>
      <c r="F662" s="19"/>
      <c r="G662" s="19"/>
      <c r="P662" s="29"/>
      <c r="Q662" s="29"/>
      <c r="Y662" s="29"/>
      <c r="Z662" s="29"/>
      <c r="AA662" s="29"/>
      <c r="AB662" s="29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  <c r="BA662" s="17"/>
      <c r="BB662" s="17"/>
      <c r="BC662" s="17"/>
      <c r="BD662" s="17"/>
      <c r="BE662" s="17"/>
      <c r="BF662" s="17"/>
      <c r="BG662" s="17"/>
      <c r="BH662" s="17"/>
      <c r="BI662" s="17"/>
      <c r="BJ662" s="17"/>
    </row>
    <row r="663" spans="1:62" s="20" customFormat="1" x14ac:dyDescent="0.7">
      <c r="A663" s="17"/>
      <c r="B663" s="19"/>
      <c r="C663" s="19"/>
      <c r="D663" s="19"/>
      <c r="E663" s="19"/>
      <c r="F663" s="19"/>
      <c r="G663" s="19"/>
      <c r="P663" s="29"/>
      <c r="Q663" s="29"/>
      <c r="Y663" s="29"/>
      <c r="Z663" s="29"/>
      <c r="AA663" s="29"/>
      <c r="AB663" s="29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17"/>
      <c r="BH663" s="17"/>
      <c r="BI663" s="17"/>
      <c r="BJ663" s="17"/>
    </row>
    <row r="664" spans="1:62" s="20" customFormat="1" x14ac:dyDescent="0.7">
      <c r="A664" s="17"/>
      <c r="B664" s="19"/>
      <c r="C664" s="19"/>
      <c r="D664" s="19"/>
      <c r="E664" s="19"/>
      <c r="F664" s="19"/>
      <c r="G664" s="19"/>
      <c r="P664" s="29"/>
      <c r="Q664" s="29"/>
      <c r="Y664" s="29"/>
      <c r="Z664" s="29"/>
      <c r="AA664" s="29"/>
      <c r="AB664" s="29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  <c r="BA664" s="17"/>
      <c r="BB664" s="17"/>
      <c r="BC664" s="17"/>
      <c r="BD664" s="17"/>
      <c r="BE664" s="17"/>
      <c r="BF664" s="17"/>
      <c r="BG664" s="17"/>
      <c r="BH664" s="17"/>
      <c r="BI664" s="17"/>
      <c r="BJ664" s="17"/>
    </row>
    <row r="665" spans="1:62" s="20" customFormat="1" x14ac:dyDescent="0.7">
      <c r="A665" s="17"/>
      <c r="B665" s="19"/>
      <c r="C665" s="19"/>
      <c r="D665" s="19"/>
      <c r="E665" s="19"/>
      <c r="F665" s="19"/>
      <c r="G665" s="19"/>
      <c r="P665" s="29"/>
      <c r="Q665" s="29"/>
      <c r="Y665" s="29"/>
      <c r="Z665" s="29"/>
      <c r="AA665" s="29"/>
      <c r="AB665" s="29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  <c r="BA665" s="17"/>
      <c r="BB665" s="17"/>
      <c r="BC665" s="17"/>
      <c r="BD665" s="17"/>
      <c r="BE665" s="17"/>
      <c r="BF665" s="17"/>
      <c r="BG665" s="17"/>
      <c r="BH665" s="17"/>
      <c r="BI665" s="17"/>
      <c r="BJ665" s="17"/>
    </row>
    <row r="666" spans="1:62" s="20" customFormat="1" x14ac:dyDescent="0.7">
      <c r="A666" s="17"/>
      <c r="B666" s="19"/>
      <c r="C666" s="19"/>
      <c r="D666" s="19"/>
      <c r="E666" s="19"/>
      <c r="F666" s="19"/>
      <c r="G666" s="19"/>
      <c r="P666" s="29"/>
      <c r="Q666" s="29"/>
      <c r="Y666" s="29"/>
      <c r="Z666" s="29"/>
      <c r="AA666" s="29"/>
      <c r="AB666" s="29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  <c r="BA666" s="17"/>
      <c r="BB666" s="17"/>
      <c r="BC666" s="17"/>
      <c r="BD666" s="17"/>
      <c r="BE666" s="17"/>
      <c r="BF666" s="17"/>
      <c r="BG666" s="17"/>
      <c r="BH666" s="17"/>
      <c r="BI666" s="17"/>
      <c r="BJ666" s="17"/>
    </row>
    <row r="667" spans="1:62" s="20" customFormat="1" x14ac:dyDescent="0.7">
      <c r="A667" s="17"/>
      <c r="B667" s="19"/>
      <c r="C667" s="19"/>
      <c r="D667" s="19"/>
      <c r="E667" s="19"/>
      <c r="F667" s="19"/>
      <c r="G667" s="19"/>
      <c r="P667" s="29"/>
      <c r="Q667" s="29"/>
      <c r="Y667" s="29"/>
      <c r="Z667" s="29"/>
      <c r="AA667" s="29"/>
      <c r="AB667" s="29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  <c r="BA667" s="17"/>
      <c r="BB667" s="17"/>
      <c r="BC667" s="17"/>
      <c r="BD667" s="17"/>
      <c r="BE667" s="17"/>
      <c r="BF667" s="17"/>
      <c r="BG667" s="17"/>
      <c r="BH667" s="17"/>
      <c r="BI667" s="17"/>
      <c r="BJ667" s="17"/>
    </row>
    <row r="668" spans="1:62" s="20" customFormat="1" x14ac:dyDescent="0.7">
      <c r="A668" s="17"/>
      <c r="B668" s="19"/>
      <c r="C668" s="19"/>
      <c r="D668" s="19"/>
      <c r="E668" s="19"/>
      <c r="F668" s="19"/>
      <c r="G668" s="19"/>
      <c r="P668" s="29"/>
      <c r="Q668" s="29"/>
      <c r="Y668" s="29"/>
      <c r="Z668" s="29"/>
      <c r="AA668" s="29"/>
      <c r="AB668" s="29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  <c r="BA668" s="17"/>
      <c r="BB668" s="17"/>
      <c r="BC668" s="17"/>
      <c r="BD668" s="17"/>
      <c r="BE668" s="17"/>
      <c r="BF668" s="17"/>
      <c r="BG668" s="17"/>
      <c r="BH668" s="17"/>
      <c r="BI668" s="17"/>
      <c r="BJ668" s="17"/>
    </row>
    <row r="669" spans="1:62" s="20" customFormat="1" x14ac:dyDescent="0.7">
      <c r="A669" s="17"/>
      <c r="B669" s="19"/>
      <c r="C669" s="19"/>
      <c r="D669" s="19"/>
      <c r="E669" s="19"/>
      <c r="F669" s="19"/>
      <c r="G669" s="19"/>
      <c r="P669" s="29"/>
      <c r="Q669" s="29"/>
      <c r="Y669" s="29"/>
      <c r="Z669" s="29"/>
      <c r="AA669" s="29"/>
      <c r="AB669" s="29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  <c r="BA669" s="17"/>
      <c r="BB669" s="17"/>
      <c r="BC669" s="17"/>
      <c r="BD669" s="17"/>
      <c r="BE669" s="17"/>
      <c r="BF669" s="17"/>
      <c r="BG669" s="17"/>
      <c r="BH669" s="17"/>
      <c r="BI669" s="17"/>
      <c r="BJ669" s="17"/>
    </row>
    <row r="670" spans="1:62" s="20" customFormat="1" x14ac:dyDescent="0.7">
      <c r="A670" s="17"/>
      <c r="B670" s="19"/>
      <c r="C670" s="19"/>
      <c r="D670" s="19"/>
      <c r="E670" s="19"/>
      <c r="F670" s="19"/>
      <c r="G670" s="19"/>
      <c r="P670" s="29"/>
      <c r="Q670" s="29"/>
      <c r="Y670" s="29"/>
      <c r="Z670" s="29"/>
      <c r="AA670" s="29"/>
      <c r="AB670" s="29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  <c r="BA670" s="17"/>
      <c r="BB670" s="17"/>
      <c r="BC670" s="17"/>
      <c r="BD670" s="17"/>
      <c r="BE670" s="17"/>
      <c r="BF670" s="17"/>
      <c r="BG670" s="17"/>
      <c r="BH670" s="17"/>
      <c r="BI670" s="17"/>
      <c r="BJ670" s="17"/>
    </row>
    <row r="671" spans="1:62" s="20" customFormat="1" x14ac:dyDescent="0.7">
      <c r="A671" s="17"/>
      <c r="B671" s="19"/>
      <c r="C671" s="19"/>
      <c r="D671" s="19"/>
      <c r="E671" s="19"/>
      <c r="F671" s="19"/>
      <c r="G671" s="19"/>
      <c r="P671" s="29"/>
      <c r="Q671" s="29"/>
      <c r="Y671" s="29"/>
      <c r="Z671" s="29"/>
      <c r="AA671" s="29"/>
      <c r="AB671" s="29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  <c r="BA671" s="17"/>
      <c r="BB671" s="17"/>
      <c r="BC671" s="17"/>
      <c r="BD671" s="17"/>
      <c r="BE671" s="17"/>
      <c r="BF671" s="17"/>
      <c r="BG671" s="17"/>
      <c r="BH671" s="17"/>
      <c r="BI671" s="17"/>
      <c r="BJ671" s="17"/>
    </row>
    <row r="672" spans="1:62" s="20" customFormat="1" x14ac:dyDescent="0.7">
      <c r="A672" s="17"/>
      <c r="B672" s="19"/>
      <c r="C672" s="19"/>
      <c r="D672" s="19"/>
      <c r="E672" s="19"/>
      <c r="F672" s="19"/>
      <c r="G672" s="19"/>
      <c r="P672" s="29"/>
      <c r="Q672" s="29"/>
      <c r="Y672" s="29"/>
      <c r="Z672" s="29"/>
      <c r="AA672" s="29"/>
      <c r="AB672" s="29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  <c r="BA672" s="17"/>
      <c r="BB672" s="17"/>
      <c r="BC672" s="17"/>
      <c r="BD672" s="17"/>
      <c r="BE672" s="17"/>
      <c r="BF672" s="17"/>
      <c r="BG672" s="17"/>
      <c r="BH672" s="17"/>
      <c r="BI672" s="17"/>
      <c r="BJ672" s="17"/>
    </row>
    <row r="673" spans="1:62" s="20" customFormat="1" x14ac:dyDescent="0.7">
      <c r="A673" s="17"/>
      <c r="B673" s="19"/>
      <c r="C673" s="19"/>
      <c r="D673" s="19"/>
      <c r="E673" s="19"/>
      <c r="F673" s="19"/>
      <c r="G673" s="19"/>
      <c r="P673" s="29"/>
      <c r="Q673" s="29"/>
      <c r="Y673" s="29"/>
      <c r="Z673" s="29"/>
      <c r="AA673" s="29"/>
      <c r="AB673" s="29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  <c r="BA673" s="17"/>
      <c r="BB673" s="17"/>
      <c r="BC673" s="17"/>
      <c r="BD673" s="17"/>
      <c r="BE673" s="17"/>
      <c r="BF673" s="17"/>
      <c r="BG673" s="17"/>
      <c r="BH673" s="17"/>
      <c r="BI673" s="17"/>
      <c r="BJ673" s="17"/>
    </row>
    <row r="674" spans="1:62" s="20" customFormat="1" x14ac:dyDescent="0.7">
      <c r="A674" s="17"/>
      <c r="B674" s="19"/>
      <c r="C674" s="19"/>
      <c r="D674" s="19"/>
      <c r="E674" s="19"/>
      <c r="F674" s="19"/>
      <c r="G674" s="19"/>
      <c r="P674" s="29"/>
      <c r="Q674" s="29"/>
      <c r="Y674" s="29"/>
      <c r="Z674" s="29"/>
      <c r="AA674" s="29"/>
      <c r="AB674" s="29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  <c r="BA674" s="17"/>
      <c r="BB674" s="17"/>
      <c r="BC674" s="17"/>
      <c r="BD674" s="17"/>
      <c r="BE674" s="17"/>
      <c r="BF674" s="17"/>
      <c r="BG674" s="17"/>
      <c r="BH674" s="17"/>
      <c r="BI674" s="17"/>
      <c r="BJ674" s="17"/>
    </row>
    <row r="675" spans="1:62" s="20" customFormat="1" x14ac:dyDescent="0.7">
      <c r="A675" s="17"/>
      <c r="B675" s="19"/>
      <c r="C675" s="19"/>
      <c r="D675" s="19"/>
      <c r="E675" s="19"/>
      <c r="F675" s="19"/>
      <c r="G675" s="19"/>
      <c r="P675" s="29"/>
      <c r="Q675" s="29"/>
      <c r="Y675" s="29"/>
      <c r="Z675" s="29"/>
      <c r="AA675" s="29"/>
      <c r="AB675" s="29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  <c r="BA675" s="17"/>
      <c r="BB675" s="17"/>
      <c r="BC675" s="17"/>
      <c r="BD675" s="17"/>
      <c r="BE675" s="17"/>
      <c r="BF675" s="17"/>
      <c r="BG675" s="17"/>
      <c r="BH675" s="17"/>
      <c r="BI675" s="17"/>
      <c r="BJ675" s="17"/>
    </row>
    <row r="676" spans="1:62" s="20" customFormat="1" x14ac:dyDescent="0.7">
      <c r="A676" s="17"/>
      <c r="B676" s="19"/>
      <c r="C676" s="19"/>
      <c r="D676" s="19"/>
      <c r="E676" s="19"/>
      <c r="F676" s="19"/>
      <c r="G676" s="19"/>
      <c r="P676" s="29"/>
      <c r="Q676" s="29"/>
      <c r="Y676" s="29"/>
      <c r="Z676" s="29"/>
      <c r="AA676" s="29"/>
      <c r="AB676" s="29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  <c r="BA676" s="17"/>
      <c r="BB676" s="17"/>
      <c r="BC676" s="17"/>
      <c r="BD676" s="17"/>
      <c r="BE676" s="17"/>
      <c r="BF676" s="17"/>
      <c r="BG676" s="17"/>
      <c r="BH676" s="17"/>
      <c r="BI676" s="17"/>
      <c r="BJ676" s="17"/>
    </row>
    <row r="677" spans="1:62" s="20" customFormat="1" x14ac:dyDescent="0.7">
      <c r="A677" s="17"/>
      <c r="B677" s="19"/>
      <c r="C677" s="19"/>
      <c r="D677" s="19"/>
      <c r="E677" s="19"/>
      <c r="F677" s="19"/>
      <c r="G677" s="19"/>
      <c r="P677" s="29"/>
      <c r="Q677" s="29"/>
      <c r="Y677" s="29"/>
      <c r="Z677" s="29"/>
      <c r="AA677" s="29"/>
      <c r="AB677" s="29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  <c r="BA677" s="17"/>
      <c r="BB677" s="17"/>
      <c r="BC677" s="17"/>
      <c r="BD677" s="17"/>
      <c r="BE677" s="17"/>
      <c r="BF677" s="17"/>
      <c r="BG677" s="17"/>
      <c r="BH677" s="17"/>
      <c r="BI677" s="17"/>
      <c r="BJ677" s="17"/>
    </row>
    <row r="678" spans="1:62" s="20" customFormat="1" x14ac:dyDescent="0.7">
      <c r="A678" s="17"/>
      <c r="B678" s="19"/>
      <c r="C678" s="19"/>
      <c r="D678" s="19"/>
      <c r="E678" s="19"/>
      <c r="F678" s="19"/>
      <c r="G678" s="19"/>
      <c r="P678" s="29"/>
      <c r="Q678" s="29"/>
      <c r="Y678" s="29"/>
      <c r="Z678" s="29"/>
      <c r="AA678" s="29"/>
      <c r="AB678" s="29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  <c r="BA678" s="17"/>
      <c r="BB678" s="17"/>
      <c r="BC678" s="17"/>
      <c r="BD678" s="17"/>
      <c r="BE678" s="17"/>
      <c r="BF678" s="17"/>
      <c r="BG678" s="17"/>
      <c r="BH678" s="17"/>
      <c r="BI678" s="17"/>
      <c r="BJ678" s="17"/>
    </row>
    <row r="679" spans="1:62" s="20" customFormat="1" x14ac:dyDescent="0.7">
      <c r="A679" s="17"/>
      <c r="B679" s="19"/>
      <c r="C679" s="19"/>
      <c r="D679" s="19"/>
      <c r="E679" s="19"/>
      <c r="F679" s="19"/>
      <c r="G679" s="19"/>
      <c r="P679" s="29"/>
      <c r="Q679" s="29"/>
      <c r="Y679" s="29"/>
      <c r="Z679" s="29"/>
      <c r="AA679" s="29"/>
      <c r="AB679" s="29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  <c r="BA679" s="17"/>
      <c r="BB679" s="17"/>
      <c r="BC679" s="17"/>
      <c r="BD679" s="17"/>
      <c r="BE679" s="17"/>
      <c r="BF679" s="17"/>
      <c r="BG679" s="17"/>
      <c r="BH679" s="17"/>
      <c r="BI679" s="17"/>
      <c r="BJ679" s="17"/>
    </row>
    <row r="680" spans="1:62" s="20" customFormat="1" x14ac:dyDescent="0.7">
      <c r="A680" s="17"/>
      <c r="B680" s="19"/>
      <c r="C680" s="19"/>
      <c r="D680" s="19"/>
      <c r="E680" s="19"/>
      <c r="F680" s="19"/>
      <c r="G680" s="19"/>
      <c r="P680" s="29"/>
      <c r="Q680" s="29"/>
      <c r="Y680" s="29"/>
      <c r="Z680" s="29"/>
      <c r="AA680" s="29"/>
      <c r="AB680" s="29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  <c r="BA680" s="17"/>
      <c r="BB680" s="17"/>
      <c r="BC680" s="17"/>
      <c r="BD680" s="17"/>
      <c r="BE680" s="17"/>
      <c r="BF680" s="17"/>
      <c r="BG680" s="17"/>
      <c r="BH680" s="17"/>
      <c r="BI680" s="17"/>
      <c r="BJ680" s="17"/>
    </row>
    <row r="681" spans="1:62" s="20" customFormat="1" x14ac:dyDescent="0.7">
      <c r="A681" s="17"/>
      <c r="B681" s="19"/>
      <c r="C681" s="19"/>
      <c r="D681" s="19"/>
      <c r="E681" s="19"/>
      <c r="F681" s="19"/>
      <c r="G681" s="19"/>
      <c r="P681" s="29"/>
      <c r="Q681" s="29"/>
      <c r="Y681" s="29"/>
      <c r="Z681" s="29"/>
      <c r="AA681" s="29"/>
      <c r="AB681" s="29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/>
      <c r="BG681" s="17"/>
      <c r="BH681" s="17"/>
      <c r="BI681" s="17"/>
      <c r="BJ681" s="17"/>
    </row>
    <row r="682" spans="1:62" s="20" customFormat="1" x14ac:dyDescent="0.7">
      <c r="A682" s="17"/>
      <c r="B682" s="19"/>
      <c r="C682" s="19"/>
      <c r="D682" s="19"/>
      <c r="E682" s="19"/>
      <c r="F682" s="19"/>
      <c r="G682" s="19"/>
      <c r="P682" s="29"/>
      <c r="Q682" s="29"/>
      <c r="Y682" s="29"/>
      <c r="Z682" s="29"/>
      <c r="AA682" s="29"/>
      <c r="AB682" s="29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  <c r="BA682" s="17"/>
      <c r="BB682" s="17"/>
      <c r="BC682" s="17"/>
      <c r="BD682" s="17"/>
      <c r="BE682" s="17"/>
      <c r="BF682" s="17"/>
      <c r="BG682" s="17"/>
      <c r="BH682" s="17"/>
      <c r="BI682" s="17"/>
      <c r="BJ682" s="17"/>
    </row>
    <row r="683" spans="1:62" s="20" customFormat="1" x14ac:dyDescent="0.7">
      <c r="A683" s="17"/>
      <c r="B683" s="19"/>
      <c r="C683" s="19"/>
      <c r="D683" s="19"/>
      <c r="E683" s="19"/>
      <c r="F683" s="19"/>
      <c r="G683" s="19"/>
      <c r="P683" s="29"/>
      <c r="Q683" s="29"/>
      <c r="Y683" s="29"/>
      <c r="Z683" s="29"/>
      <c r="AA683" s="29"/>
      <c r="AB683" s="29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  <c r="BA683" s="17"/>
      <c r="BB683" s="17"/>
      <c r="BC683" s="17"/>
      <c r="BD683" s="17"/>
      <c r="BE683" s="17"/>
      <c r="BF683" s="17"/>
      <c r="BG683" s="17"/>
      <c r="BH683" s="17"/>
      <c r="BI683" s="17"/>
      <c r="BJ683" s="17"/>
    </row>
    <row r="684" spans="1:62" s="20" customFormat="1" x14ac:dyDescent="0.7">
      <c r="A684" s="17"/>
      <c r="B684" s="19"/>
      <c r="C684" s="19"/>
      <c r="D684" s="19"/>
      <c r="E684" s="19"/>
      <c r="F684" s="19"/>
      <c r="G684" s="19"/>
      <c r="P684" s="29"/>
      <c r="Q684" s="29"/>
      <c r="Y684" s="29"/>
      <c r="Z684" s="29"/>
      <c r="AA684" s="29"/>
      <c r="AB684" s="29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  <c r="BA684" s="17"/>
      <c r="BB684" s="17"/>
      <c r="BC684" s="17"/>
      <c r="BD684" s="17"/>
      <c r="BE684" s="17"/>
      <c r="BF684" s="17"/>
      <c r="BG684" s="17"/>
      <c r="BH684" s="17"/>
      <c r="BI684" s="17"/>
      <c r="BJ684" s="17"/>
    </row>
    <row r="685" spans="1:62" s="20" customFormat="1" x14ac:dyDescent="0.7">
      <c r="A685" s="17"/>
      <c r="B685" s="19"/>
      <c r="C685" s="19"/>
      <c r="D685" s="19"/>
      <c r="E685" s="19"/>
      <c r="F685" s="19"/>
      <c r="G685" s="19"/>
      <c r="P685" s="29"/>
      <c r="Q685" s="29"/>
      <c r="Y685" s="29"/>
      <c r="Z685" s="29"/>
      <c r="AA685" s="29"/>
      <c r="AB685" s="29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  <c r="BA685" s="17"/>
      <c r="BB685" s="17"/>
      <c r="BC685" s="17"/>
      <c r="BD685" s="17"/>
      <c r="BE685" s="17"/>
      <c r="BF685" s="17"/>
      <c r="BG685" s="17"/>
      <c r="BH685" s="17"/>
      <c r="BI685" s="17"/>
      <c r="BJ685" s="17"/>
    </row>
    <row r="686" spans="1:62" s="20" customFormat="1" x14ac:dyDescent="0.7">
      <c r="A686" s="17"/>
      <c r="B686" s="19"/>
      <c r="C686" s="19"/>
      <c r="D686" s="19"/>
      <c r="E686" s="19"/>
      <c r="F686" s="19"/>
      <c r="G686" s="19"/>
      <c r="P686" s="29"/>
      <c r="Q686" s="29"/>
      <c r="Y686" s="29"/>
      <c r="Z686" s="29"/>
      <c r="AA686" s="29"/>
      <c r="AB686" s="29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  <c r="BA686" s="17"/>
      <c r="BB686" s="17"/>
      <c r="BC686" s="17"/>
      <c r="BD686" s="17"/>
      <c r="BE686" s="17"/>
      <c r="BF686" s="17"/>
      <c r="BG686" s="17"/>
      <c r="BH686" s="17"/>
      <c r="BI686" s="17"/>
      <c r="BJ686" s="17"/>
    </row>
    <row r="687" spans="1:62" s="20" customFormat="1" x14ac:dyDescent="0.7">
      <c r="A687" s="17"/>
      <c r="B687" s="19"/>
      <c r="C687" s="19"/>
      <c r="D687" s="19"/>
      <c r="E687" s="19"/>
      <c r="F687" s="19"/>
      <c r="G687" s="19"/>
      <c r="P687" s="29"/>
      <c r="Q687" s="29"/>
      <c r="Y687" s="29"/>
      <c r="Z687" s="29"/>
      <c r="AA687" s="29"/>
      <c r="AB687" s="29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  <c r="BA687" s="17"/>
      <c r="BB687" s="17"/>
      <c r="BC687" s="17"/>
      <c r="BD687" s="17"/>
      <c r="BE687" s="17"/>
      <c r="BF687" s="17"/>
      <c r="BG687" s="17"/>
      <c r="BH687" s="17"/>
      <c r="BI687" s="17"/>
      <c r="BJ687" s="17"/>
    </row>
    <row r="688" spans="1:62" s="20" customFormat="1" x14ac:dyDescent="0.7">
      <c r="A688" s="17"/>
      <c r="B688" s="19"/>
      <c r="C688" s="19"/>
      <c r="D688" s="19"/>
      <c r="E688" s="19"/>
      <c r="F688" s="19"/>
      <c r="G688" s="19"/>
      <c r="P688" s="29"/>
      <c r="Q688" s="29"/>
      <c r="Y688" s="29"/>
      <c r="Z688" s="29"/>
      <c r="AA688" s="29"/>
      <c r="AB688" s="29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  <c r="BA688" s="17"/>
      <c r="BB688" s="17"/>
      <c r="BC688" s="17"/>
      <c r="BD688" s="17"/>
      <c r="BE688" s="17"/>
      <c r="BF688" s="17"/>
      <c r="BG688" s="17"/>
      <c r="BH688" s="17"/>
      <c r="BI688" s="17"/>
      <c r="BJ688" s="17"/>
    </row>
    <row r="689" spans="1:62" s="20" customFormat="1" x14ac:dyDescent="0.7">
      <c r="A689" s="17"/>
      <c r="B689" s="19"/>
      <c r="C689" s="19"/>
      <c r="D689" s="19"/>
      <c r="E689" s="19"/>
      <c r="F689" s="19"/>
      <c r="G689" s="19"/>
      <c r="P689" s="29"/>
      <c r="Q689" s="29"/>
      <c r="Y689" s="29"/>
      <c r="Z689" s="29"/>
      <c r="AA689" s="29"/>
      <c r="AB689" s="29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  <c r="BA689" s="17"/>
      <c r="BB689" s="17"/>
      <c r="BC689" s="17"/>
      <c r="BD689" s="17"/>
      <c r="BE689" s="17"/>
      <c r="BF689" s="17"/>
      <c r="BG689" s="17"/>
      <c r="BH689" s="17"/>
      <c r="BI689" s="17"/>
      <c r="BJ689" s="17"/>
    </row>
    <row r="690" spans="1:62" s="20" customFormat="1" x14ac:dyDescent="0.7">
      <c r="A690" s="17"/>
      <c r="B690" s="19"/>
      <c r="C690" s="19"/>
      <c r="D690" s="19"/>
      <c r="E690" s="19"/>
      <c r="F690" s="19"/>
      <c r="G690" s="19"/>
      <c r="P690" s="29"/>
      <c r="Q690" s="29"/>
      <c r="Y690" s="29"/>
      <c r="Z690" s="29"/>
      <c r="AA690" s="29"/>
      <c r="AB690" s="29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  <c r="BA690" s="17"/>
      <c r="BB690" s="17"/>
      <c r="BC690" s="17"/>
      <c r="BD690" s="17"/>
      <c r="BE690" s="17"/>
      <c r="BF690" s="17"/>
      <c r="BG690" s="17"/>
      <c r="BH690" s="17"/>
      <c r="BI690" s="17"/>
      <c r="BJ690" s="17"/>
    </row>
    <row r="691" spans="1:62" s="20" customFormat="1" x14ac:dyDescent="0.7">
      <c r="A691" s="17"/>
      <c r="B691" s="19"/>
      <c r="C691" s="19"/>
      <c r="D691" s="19"/>
      <c r="E691" s="19"/>
      <c r="F691" s="19"/>
      <c r="G691" s="19"/>
      <c r="P691" s="29"/>
      <c r="Q691" s="29"/>
      <c r="Y691" s="29"/>
      <c r="Z691" s="29"/>
      <c r="AA691" s="29"/>
      <c r="AB691" s="29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  <c r="BA691" s="17"/>
      <c r="BB691" s="17"/>
      <c r="BC691" s="17"/>
      <c r="BD691" s="17"/>
      <c r="BE691" s="17"/>
      <c r="BF691" s="17"/>
      <c r="BG691" s="17"/>
      <c r="BH691" s="17"/>
      <c r="BI691" s="17"/>
      <c r="BJ691" s="17"/>
    </row>
    <row r="692" spans="1:62" s="20" customFormat="1" x14ac:dyDescent="0.7">
      <c r="A692" s="17"/>
      <c r="B692" s="19"/>
      <c r="C692" s="19"/>
      <c r="D692" s="19"/>
      <c r="E692" s="19"/>
      <c r="F692" s="19"/>
      <c r="G692" s="19"/>
      <c r="P692" s="29"/>
      <c r="Q692" s="29"/>
      <c r="Y692" s="29"/>
      <c r="Z692" s="29"/>
      <c r="AA692" s="29"/>
      <c r="AB692" s="29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  <c r="BA692" s="17"/>
      <c r="BB692" s="17"/>
      <c r="BC692" s="17"/>
      <c r="BD692" s="17"/>
      <c r="BE692" s="17"/>
      <c r="BF692" s="17"/>
      <c r="BG692" s="17"/>
      <c r="BH692" s="17"/>
      <c r="BI692" s="17"/>
      <c r="BJ692" s="17"/>
    </row>
    <row r="693" spans="1:62" s="20" customFormat="1" x14ac:dyDescent="0.7">
      <c r="A693" s="17"/>
      <c r="B693" s="19"/>
      <c r="C693" s="19"/>
      <c r="D693" s="19"/>
      <c r="E693" s="19"/>
      <c r="F693" s="19"/>
      <c r="G693" s="19"/>
      <c r="P693" s="29"/>
      <c r="Q693" s="29"/>
      <c r="Y693" s="29"/>
      <c r="Z693" s="29"/>
      <c r="AA693" s="29"/>
      <c r="AB693" s="29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  <c r="BA693" s="17"/>
      <c r="BB693" s="17"/>
      <c r="BC693" s="17"/>
      <c r="BD693" s="17"/>
      <c r="BE693" s="17"/>
      <c r="BF693" s="17"/>
      <c r="BG693" s="17"/>
      <c r="BH693" s="17"/>
      <c r="BI693" s="17"/>
      <c r="BJ693" s="17"/>
    </row>
    <row r="694" spans="1:62" s="20" customFormat="1" x14ac:dyDescent="0.7">
      <c r="A694" s="17"/>
      <c r="B694" s="19"/>
      <c r="C694" s="19"/>
      <c r="D694" s="19"/>
      <c r="E694" s="19"/>
      <c r="F694" s="19"/>
      <c r="G694" s="19"/>
      <c r="P694" s="29"/>
      <c r="Q694" s="29"/>
      <c r="Y694" s="29"/>
      <c r="Z694" s="29"/>
      <c r="AA694" s="29"/>
      <c r="AB694" s="29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  <c r="BA694" s="17"/>
      <c r="BB694" s="17"/>
      <c r="BC694" s="17"/>
      <c r="BD694" s="17"/>
      <c r="BE694" s="17"/>
      <c r="BF694" s="17"/>
      <c r="BG694" s="17"/>
      <c r="BH694" s="17"/>
      <c r="BI694" s="17"/>
      <c r="BJ694" s="17"/>
    </row>
    <row r="695" spans="1:62" s="20" customFormat="1" x14ac:dyDescent="0.7">
      <c r="A695" s="17"/>
      <c r="B695" s="19"/>
      <c r="C695" s="19"/>
      <c r="D695" s="19"/>
      <c r="E695" s="19"/>
      <c r="F695" s="19"/>
      <c r="G695" s="19"/>
      <c r="P695" s="29"/>
      <c r="Q695" s="29"/>
      <c r="Y695" s="29"/>
      <c r="Z695" s="29"/>
      <c r="AA695" s="29"/>
      <c r="AB695" s="29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  <c r="BA695" s="17"/>
      <c r="BB695" s="17"/>
      <c r="BC695" s="17"/>
      <c r="BD695" s="17"/>
      <c r="BE695" s="17"/>
      <c r="BF695" s="17"/>
      <c r="BG695" s="17"/>
      <c r="BH695" s="17"/>
      <c r="BI695" s="17"/>
      <c r="BJ695" s="17"/>
    </row>
    <row r="696" spans="1:62" s="20" customFormat="1" x14ac:dyDescent="0.7">
      <c r="A696" s="17"/>
      <c r="B696" s="19"/>
      <c r="C696" s="19"/>
      <c r="D696" s="19"/>
      <c r="E696" s="19"/>
      <c r="F696" s="19"/>
      <c r="G696" s="19"/>
      <c r="P696" s="29"/>
      <c r="Q696" s="29"/>
      <c r="Y696" s="29"/>
      <c r="Z696" s="29"/>
      <c r="AA696" s="29"/>
      <c r="AB696" s="29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  <c r="BA696" s="17"/>
      <c r="BB696" s="17"/>
      <c r="BC696" s="17"/>
      <c r="BD696" s="17"/>
      <c r="BE696" s="17"/>
      <c r="BF696" s="17"/>
      <c r="BG696" s="17"/>
      <c r="BH696" s="17"/>
      <c r="BI696" s="17"/>
      <c r="BJ696" s="17"/>
    </row>
    <row r="697" spans="1:62" s="20" customFormat="1" x14ac:dyDescent="0.7">
      <c r="A697" s="17"/>
      <c r="B697" s="19"/>
      <c r="C697" s="19"/>
      <c r="D697" s="19"/>
      <c r="E697" s="19"/>
      <c r="F697" s="19"/>
      <c r="G697" s="19"/>
      <c r="P697" s="29"/>
      <c r="Q697" s="29"/>
      <c r="Y697" s="29"/>
      <c r="Z697" s="29"/>
      <c r="AA697" s="29"/>
      <c r="AB697" s="29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  <c r="BA697" s="17"/>
      <c r="BB697" s="17"/>
      <c r="BC697" s="17"/>
      <c r="BD697" s="17"/>
      <c r="BE697" s="17"/>
      <c r="BF697" s="17"/>
      <c r="BG697" s="17"/>
      <c r="BH697" s="17"/>
      <c r="BI697" s="17"/>
      <c r="BJ697" s="17"/>
    </row>
    <row r="698" spans="1:62" s="20" customFormat="1" x14ac:dyDescent="0.7">
      <c r="A698" s="17"/>
      <c r="B698" s="19"/>
      <c r="C698" s="19"/>
      <c r="D698" s="19"/>
      <c r="E698" s="19"/>
      <c r="F698" s="19"/>
      <c r="G698" s="19"/>
      <c r="P698" s="29"/>
      <c r="Q698" s="29"/>
      <c r="Y698" s="29"/>
      <c r="Z698" s="29"/>
      <c r="AA698" s="29"/>
      <c r="AB698" s="29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  <c r="BA698" s="17"/>
      <c r="BB698" s="17"/>
      <c r="BC698" s="17"/>
      <c r="BD698" s="17"/>
      <c r="BE698" s="17"/>
      <c r="BF698" s="17"/>
      <c r="BG698" s="17"/>
      <c r="BH698" s="17"/>
      <c r="BI698" s="17"/>
      <c r="BJ698" s="17"/>
    </row>
    <row r="699" spans="1:62" s="20" customFormat="1" x14ac:dyDescent="0.7">
      <c r="A699" s="17"/>
      <c r="B699" s="19"/>
      <c r="C699" s="19"/>
      <c r="D699" s="19"/>
      <c r="E699" s="19"/>
      <c r="F699" s="19"/>
      <c r="G699" s="19"/>
      <c r="P699" s="29"/>
      <c r="Q699" s="29"/>
      <c r="Y699" s="29"/>
      <c r="Z699" s="29"/>
      <c r="AA699" s="29"/>
      <c r="AB699" s="29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  <c r="BA699" s="17"/>
      <c r="BB699" s="17"/>
      <c r="BC699" s="17"/>
      <c r="BD699" s="17"/>
      <c r="BE699" s="17"/>
      <c r="BF699" s="17"/>
      <c r="BG699" s="17"/>
      <c r="BH699" s="17"/>
      <c r="BI699" s="17"/>
      <c r="BJ699" s="17"/>
    </row>
    <row r="700" spans="1:62" s="20" customFormat="1" x14ac:dyDescent="0.7">
      <c r="A700" s="17"/>
      <c r="B700" s="19"/>
      <c r="C700" s="19"/>
      <c r="D700" s="19"/>
      <c r="E700" s="19"/>
      <c r="F700" s="19"/>
      <c r="G700" s="19"/>
      <c r="P700" s="29"/>
      <c r="Q700" s="29"/>
      <c r="Y700" s="29"/>
      <c r="Z700" s="29"/>
      <c r="AA700" s="29"/>
      <c r="AB700" s="29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  <c r="BA700" s="17"/>
      <c r="BB700" s="17"/>
      <c r="BC700" s="17"/>
      <c r="BD700" s="17"/>
      <c r="BE700" s="17"/>
      <c r="BF700" s="17"/>
      <c r="BG700" s="17"/>
      <c r="BH700" s="17"/>
      <c r="BI700" s="17"/>
      <c r="BJ700" s="17"/>
    </row>
    <row r="701" spans="1:62" s="20" customFormat="1" x14ac:dyDescent="0.7">
      <c r="A701" s="17"/>
      <c r="B701" s="19"/>
      <c r="C701" s="19"/>
      <c r="D701" s="19"/>
      <c r="E701" s="19"/>
      <c r="F701" s="19"/>
      <c r="G701" s="19"/>
      <c r="P701" s="29"/>
      <c r="Q701" s="29"/>
      <c r="Y701" s="29"/>
      <c r="Z701" s="29"/>
      <c r="AA701" s="29"/>
      <c r="AB701" s="29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  <c r="BA701" s="17"/>
      <c r="BB701" s="17"/>
      <c r="BC701" s="17"/>
      <c r="BD701" s="17"/>
      <c r="BE701" s="17"/>
      <c r="BF701" s="17"/>
      <c r="BG701" s="17"/>
      <c r="BH701" s="17"/>
      <c r="BI701" s="17"/>
      <c r="BJ701" s="17"/>
    </row>
    <row r="702" spans="1:62" s="20" customFormat="1" x14ac:dyDescent="0.7">
      <c r="A702" s="17"/>
      <c r="B702" s="19"/>
      <c r="C702" s="19"/>
      <c r="D702" s="19"/>
      <c r="E702" s="19"/>
      <c r="F702" s="19"/>
      <c r="G702" s="19"/>
      <c r="P702" s="29"/>
      <c r="Q702" s="29"/>
      <c r="Y702" s="29"/>
      <c r="Z702" s="29"/>
      <c r="AA702" s="29"/>
      <c r="AB702" s="29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  <c r="BA702" s="17"/>
      <c r="BB702" s="17"/>
      <c r="BC702" s="17"/>
      <c r="BD702" s="17"/>
      <c r="BE702" s="17"/>
      <c r="BF702" s="17"/>
      <c r="BG702" s="17"/>
      <c r="BH702" s="17"/>
      <c r="BI702" s="17"/>
      <c r="BJ702" s="17"/>
    </row>
    <row r="703" spans="1:62" s="20" customFormat="1" x14ac:dyDescent="0.7">
      <c r="A703" s="17"/>
      <c r="B703" s="19"/>
      <c r="C703" s="19"/>
      <c r="D703" s="19"/>
      <c r="E703" s="19"/>
      <c r="F703" s="19"/>
      <c r="G703" s="19"/>
      <c r="P703" s="29"/>
      <c r="Q703" s="29"/>
      <c r="Y703" s="29"/>
      <c r="Z703" s="29"/>
      <c r="AA703" s="29"/>
      <c r="AB703" s="29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  <c r="BA703" s="17"/>
      <c r="BB703" s="17"/>
      <c r="BC703" s="17"/>
      <c r="BD703" s="17"/>
      <c r="BE703" s="17"/>
      <c r="BF703" s="17"/>
      <c r="BG703" s="17"/>
      <c r="BH703" s="17"/>
      <c r="BI703" s="17"/>
      <c r="BJ703" s="17"/>
    </row>
    <row r="704" spans="1:62" s="20" customFormat="1" x14ac:dyDescent="0.7">
      <c r="A704" s="17"/>
      <c r="B704" s="19"/>
      <c r="C704" s="19"/>
      <c r="D704" s="19"/>
      <c r="E704" s="19"/>
      <c r="F704" s="19"/>
      <c r="G704" s="19"/>
      <c r="P704" s="29"/>
      <c r="Q704" s="29"/>
      <c r="Y704" s="29"/>
      <c r="Z704" s="29"/>
      <c r="AA704" s="29"/>
      <c r="AB704" s="29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/>
      <c r="BC704" s="17"/>
      <c r="BD704" s="17"/>
      <c r="BE704" s="17"/>
      <c r="BF704" s="17"/>
      <c r="BG704" s="17"/>
      <c r="BH704" s="17"/>
      <c r="BI704" s="17"/>
      <c r="BJ704" s="17"/>
    </row>
    <row r="705" spans="1:62" s="20" customFormat="1" x14ac:dyDescent="0.7">
      <c r="A705" s="17"/>
      <c r="B705" s="19"/>
      <c r="C705" s="19"/>
      <c r="D705" s="19"/>
      <c r="E705" s="19"/>
      <c r="F705" s="19"/>
      <c r="G705" s="19"/>
      <c r="P705" s="29"/>
      <c r="Q705" s="29"/>
      <c r="Y705" s="29"/>
      <c r="Z705" s="29"/>
      <c r="AA705" s="29"/>
      <c r="AB705" s="29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  <c r="BA705" s="17"/>
      <c r="BB705" s="17"/>
      <c r="BC705" s="17"/>
      <c r="BD705" s="17"/>
      <c r="BE705" s="17"/>
      <c r="BF705" s="17"/>
      <c r="BG705" s="17"/>
      <c r="BH705" s="17"/>
      <c r="BI705" s="17"/>
      <c r="BJ705" s="17"/>
    </row>
    <row r="706" spans="1:62" s="20" customFormat="1" x14ac:dyDescent="0.7">
      <c r="A706" s="17"/>
      <c r="B706" s="19"/>
      <c r="C706" s="19"/>
      <c r="D706" s="19"/>
      <c r="E706" s="19"/>
      <c r="F706" s="19"/>
      <c r="G706" s="19"/>
      <c r="P706" s="29"/>
      <c r="Q706" s="29"/>
      <c r="Y706" s="29"/>
      <c r="Z706" s="29"/>
      <c r="AA706" s="29"/>
      <c r="AB706" s="29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17"/>
      <c r="BH706" s="17"/>
      <c r="BI706" s="17"/>
      <c r="BJ706" s="17"/>
    </row>
    <row r="707" spans="1:62" s="20" customFormat="1" x14ac:dyDescent="0.7">
      <c r="A707" s="17"/>
      <c r="B707" s="19"/>
      <c r="C707" s="19"/>
      <c r="D707" s="19"/>
      <c r="E707" s="19"/>
      <c r="F707" s="19"/>
      <c r="G707" s="19"/>
      <c r="P707" s="29"/>
      <c r="Q707" s="29"/>
      <c r="Y707" s="29"/>
      <c r="Z707" s="29"/>
      <c r="AA707" s="29"/>
      <c r="AB707" s="29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17"/>
      <c r="BH707" s="17"/>
      <c r="BI707" s="17"/>
      <c r="BJ707" s="17"/>
    </row>
    <row r="708" spans="1:62" s="20" customFormat="1" x14ac:dyDescent="0.7">
      <c r="A708" s="17"/>
      <c r="B708" s="19"/>
      <c r="C708" s="19"/>
      <c r="D708" s="19"/>
      <c r="E708" s="19"/>
      <c r="F708" s="19"/>
      <c r="G708" s="19"/>
      <c r="P708" s="29"/>
      <c r="Q708" s="29"/>
      <c r="Y708" s="29"/>
      <c r="Z708" s="29"/>
      <c r="AA708" s="29"/>
      <c r="AB708" s="29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  <c r="BA708" s="17"/>
      <c r="BB708" s="17"/>
      <c r="BC708" s="17"/>
      <c r="BD708" s="17"/>
      <c r="BE708" s="17"/>
      <c r="BF708" s="17"/>
      <c r="BG708" s="17"/>
      <c r="BH708" s="17"/>
      <c r="BI708" s="17"/>
      <c r="BJ708" s="17"/>
    </row>
    <row r="709" spans="1:62" s="20" customFormat="1" x14ac:dyDescent="0.7">
      <c r="A709" s="17"/>
      <c r="B709" s="19"/>
      <c r="C709" s="19"/>
      <c r="D709" s="19"/>
      <c r="E709" s="19"/>
      <c r="F709" s="19"/>
      <c r="G709" s="19"/>
      <c r="P709" s="29"/>
      <c r="Q709" s="29"/>
      <c r="Y709" s="29"/>
      <c r="Z709" s="29"/>
      <c r="AA709" s="29"/>
      <c r="AB709" s="29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  <c r="BA709" s="17"/>
      <c r="BB709" s="17"/>
      <c r="BC709" s="17"/>
      <c r="BD709" s="17"/>
      <c r="BE709" s="17"/>
      <c r="BF709" s="17"/>
      <c r="BG709" s="17"/>
      <c r="BH709" s="17"/>
      <c r="BI709" s="17"/>
      <c r="BJ709" s="17"/>
    </row>
    <row r="710" spans="1:62" s="20" customFormat="1" x14ac:dyDescent="0.7">
      <c r="A710" s="17"/>
      <c r="B710" s="19"/>
      <c r="C710" s="19"/>
      <c r="D710" s="19"/>
      <c r="E710" s="19"/>
      <c r="F710" s="19"/>
      <c r="G710" s="19"/>
      <c r="P710" s="29"/>
      <c r="Q710" s="29"/>
      <c r="Y710" s="29"/>
      <c r="Z710" s="29"/>
      <c r="AA710" s="29"/>
      <c r="AB710" s="29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17"/>
      <c r="BH710" s="17"/>
      <c r="BI710" s="17"/>
      <c r="BJ710" s="17"/>
    </row>
    <row r="711" spans="1:62" s="20" customFormat="1" x14ac:dyDescent="0.7">
      <c r="A711" s="17"/>
      <c r="B711" s="19"/>
      <c r="C711" s="19"/>
      <c r="D711" s="19"/>
      <c r="E711" s="19"/>
      <c r="F711" s="19"/>
      <c r="G711" s="19"/>
      <c r="P711" s="29"/>
      <c r="Q711" s="29"/>
      <c r="Y711" s="29"/>
      <c r="Z711" s="29"/>
      <c r="AA711" s="29"/>
      <c r="AB711" s="29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/>
      <c r="BF711" s="17"/>
      <c r="BG711" s="17"/>
      <c r="BH711" s="17"/>
      <c r="BI711" s="17"/>
      <c r="BJ711" s="17"/>
    </row>
    <row r="712" spans="1:62" s="20" customFormat="1" x14ac:dyDescent="0.7">
      <c r="A712" s="17"/>
      <c r="B712" s="19"/>
      <c r="C712" s="19"/>
      <c r="D712" s="19"/>
      <c r="E712" s="19"/>
      <c r="F712" s="19"/>
      <c r="G712" s="19"/>
      <c r="P712" s="29"/>
      <c r="Q712" s="29"/>
      <c r="Y712" s="29"/>
      <c r="Z712" s="29"/>
      <c r="AA712" s="29"/>
      <c r="AB712" s="29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17"/>
      <c r="BH712" s="17"/>
      <c r="BI712" s="17"/>
      <c r="BJ712" s="17"/>
    </row>
    <row r="713" spans="1:62" s="20" customFormat="1" x14ac:dyDescent="0.7">
      <c r="A713" s="17"/>
      <c r="B713" s="19"/>
      <c r="C713" s="19"/>
      <c r="D713" s="19"/>
      <c r="E713" s="19"/>
      <c r="F713" s="19"/>
      <c r="G713" s="19"/>
      <c r="P713" s="29"/>
      <c r="Q713" s="29"/>
      <c r="Y713" s="29"/>
      <c r="Z713" s="29"/>
      <c r="AA713" s="29"/>
      <c r="AB713" s="29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  <c r="BA713" s="17"/>
      <c r="BB713" s="17"/>
      <c r="BC713" s="17"/>
      <c r="BD713" s="17"/>
      <c r="BE713" s="17"/>
      <c r="BF713" s="17"/>
      <c r="BG713" s="17"/>
      <c r="BH713" s="17"/>
      <c r="BI713" s="17"/>
      <c r="BJ713" s="17"/>
    </row>
    <row r="714" spans="1:62" s="20" customFormat="1" x14ac:dyDescent="0.7">
      <c r="A714" s="17"/>
      <c r="B714" s="19"/>
      <c r="C714" s="19"/>
      <c r="D714" s="19"/>
      <c r="E714" s="19"/>
      <c r="F714" s="19"/>
      <c r="G714" s="19"/>
      <c r="P714" s="29"/>
      <c r="Q714" s="29"/>
      <c r="Y714" s="29"/>
      <c r="Z714" s="29"/>
      <c r="AA714" s="29"/>
      <c r="AB714" s="29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  <c r="BA714" s="17"/>
      <c r="BB714" s="17"/>
      <c r="BC714" s="17"/>
      <c r="BD714" s="17"/>
      <c r="BE714" s="17"/>
      <c r="BF714" s="17"/>
      <c r="BG714" s="17"/>
      <c r="BH714" s="17"/>
      <c r="BI714" s="17"/>
      <c r="BJ714" s="17"/>
    </row>
    <row r="715" spans="1:62" s="20" customFormat="1" x14ac:dyDescent="0.7">
      <c r="A715" s="17"/>
      <c r="B715" s="19"/>
      <c r="C715" s="19"/>
      <c r="D715" s="19"/>
      <c r="E715" s="19"/>
      <c r="F715" s="19"/>
      <c r="G715" s="19"/>
      <c r="P715" s="29"/>
      <c r="Q715" s="29"/>
      <c r="Y715" s="29"/>
      <c r="Z715" s="29"/>
      <c r="AA715" s="29"/>
      <c r="AB715" s="29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/>
      <c r="BG715" s="17"/>
      <c r="BH715" s="17"/>
      <c r="BI715" s="17"/>
      <c r="BJ715" s="17"/>
    </row>
    <row r="716" spans="1:62" s="20" customFormat="1" x14ac:dyDescent="0.7">
      <c r="A716" s="17"/>
      <c r="B716" s="19"/>
      <c r="C716" s="19"/>
      <c r="D716" s="19"/>
      <c r="E716" s="19"/>
      <c r="F716" s="19"/>
      <c r="G716" s="19"/>
      <c r="P716" s="29"/>
      <c r="Q716" s="29"/>
      <c r="Y716" s="29"/>
      <c r="Z716" s="29"/>
      <c r="AA716" s="29"/>
      <c r="AB716" s="29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  <c r="BA716" s="17"/>
      <c r="BB716" s="17"/>
      <c r="BC716" s="17"/>
      <c r="BD716" s="17"/>
      <c r="BE716" s="17"/>
      <c r="BF716" s="17"/>
      <c r="BG716" s="17"/>
      <c r="BH716" s="17"/>
      <c r="BI716" s="17"/>
      <c r="BJ716" s="17"/>
    </row>
    <row r="717" spans="1:62" s="20" customFormat="1" x14ac:dyDescent="0.7">
      <c r="A717" s="17"/>
      <c r="B717" s="19"/>
      <c r="C717" s="19"/>
      <c r="D717" s="19"/>
      <c r="E717" s="19"/>
      <c r="F717" s="19"/>
      <c r="G717" s="19"/>
      <c r="P717" s="29"/>
      <c r="Q717" s="29"/>
      <c r="Y717" s="29"/>
      <c r="Z717" s="29"/>
      <c r="AA717" s="29"/>
      <c r="AB717" s="29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  <c r="BA717" s="17"/>
      <c r="BB717" s="17"/>
      <c r="BC717" s="17"/>
      <c r="BD717" s="17"/>
      <c r="BE717" s="17"/>
      <c r="BF717" s="17"/>
      <c r="BG717" s="17"/>
      <c r="BH717" s="17"/>
      <c r="BI717" s="17"/>
      <c r="BJ717" s="17"/>
    </row>
    <row r="718" spans="1:62" s="20" customFormat="1" x14ac:dyDescent="0.7">
      <c r="A718" s="17"/>
      <c r="B718" s="19"/>
      <c r="C718" s="19"/>
      <c r="D718" s="19"/>
      <c r="E718" s="19"/>
      <c r="F718" s="19"/>
      <c r="G718" s="19"/>
      <c r="P718" s="29"/>
      <c r="Q718" s="29"/>
      <c r="Y718" s="29"/>
      <c r="Z718" s="29"/>
      <c r="AA718" s="29"/>
      <c r="AB718" s="29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  <c r="BA718" s="17"/>
      <c r="BB718" s="17"/>
      <c r="BC718" s="17"/>
      <c r="BD718" s="17"/>
      <c r="BE718" s="17"/>
      <c r="BF718" s="17"/>
      <c r="BG718" s="17"/>
      <c r="BH718" s="17"/>
      <c r="BI718" s="17"/>
      <c r="BJ718" s="17"/>
    </row>
    <row r="719" spans="1:62" s="20" customFormat="1" x14ac:dyDescent="0.7">
      <c r="A719" s="17"/>
      <c r="B719" s="19"/>
      <c r="C719" s="19"/>
      <c r="D719" s="19"/>
      <c r="E719" s="19"/>
      <c r="F719" s="19"/>
      <c r="G719" s="19"/>
      <c r="P719" s="29"/>
      <c r="Q719" s="29"/>
      <c r="Y719" s="29"/>
      <c r="Z719" s="29"/>
      <c r="AA719" s="29"/>
      <c r="AB719" s="29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  <c r="BA719" s="17"/>
      <c r="BB719" s="17"/>
      <c r="BC719" s="17"/>
      <c r="BD719" s="17"/>
      <c r="BE719" s="17"/>
      <c r="BF719" s="17"/>
      <c r="BG719" s="17"/>
      <c r="BH719" s="17"/>
      <c r="BI719" s="17"/>
      <c r="BJ719" s="17"/>
    </row>
    <row r="720" spans="1:62" s="20" customFormat="1" x14ac:dyDescent="0.7">
      <c r="A720" s="17"/>
      <c r="B720" s="19"/>
      <c r="C720" s="19"/>
      <c r="D720" s="19"/>
      <c r="E720" s="19"/>
      <c r="F720" s="19"/>
      <c r="G720" s="19"/>
      <c r="P720" s="29"/>
      <c r="Q720" s="29"/>
      <c r="Y720" s="29"/>
      <c r="Z720" s="29"/>
      <c r="AA720" s="29"/>
      <c r="AB720" s="29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  <c r="BA720" s="17"/>
      <c r="BB720" s="17"/>
      <c r="BC720" s="17"/>
      <c r="BD720" s="17"/>
      <c r="BE720" s="17"/>
      <c r="BF720" s="17"/>
      <c r="BG720" s="17"/>
      <c r="BH720" s="17"/>
      <c r="BI720" s="17"/>
      <c r="BJ720" s="17"/>
    </row>
    <row r="721" spans="1:62" s="20" customFormat="1" x14ac:dyDescent="0.7">
      <c r="A721" s="17"/>
      <c r="B721" s="19"/>
      <c r="C721" s="19"/>
      <c r="D721" s="19"/>
      <c r="E721" s="19"/>
      <c r="F721" s="19"/>
      <c r="G721" s="19"/>
      <c r="P721" s="29"/>
      <c r="Q721" s="29"/>
      <c r="Y721" s="29"/>
      <c r="Z721" s="29"/>
      <c r="AA721" s="29"/>
      <c r="AB721" s="29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/>
      <c r="BF721" s="17"/>
      <c r="BG721" s="17"/>
      <c r="BH721" s="17"/>
      <c r="BI721" s="17"/>
      <c r="BJ721" s="17"/>
    </row>
    <row r="722" spans="1:62" s="20" customFormat="1" x14ac:dyDescent="0.7">
      <c r="A722" s="17"/>
      <c r="B722" s="19"/>
      <c r="C722" s="19"/>
      <c r="D722" s="19"/>
      <c r="E722" s="19"/>
      <c r="F722" s="19"/>
      <c r="G722" s="19"/>
      <c r="P722" s="29"/>
      <c r="Q722" s="29"/>
      <c r="Y722" s="29"/>
      <c r="Z722" s="29"/>
      <c r="AA722" s="29"/>
      <c r="AB722" s="29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</row>
    <row r="723" spans="1:62" s="20" customFormat="1" x14ac:dyDescent="0.7">
      <c r="A723" s="17"/>
      <c r="B723" s="19"/>
      <c r="C723" s="19"/>
      <c r="D723" s="19"/>
      <c r="E723" s="19"/>
      <c r="F723" s="19"/>
      <c r="G723" s="19"/>
      <c r="P723" s="29"/>
      <c r="Q723" s="29"/>
      <c r="Y723" s="29"/>
      <c r="Z723" s="29"/>
      <c r="AA723" s="29"/>
      <c r="AB723" s="29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  <c r="BA723" s="17"/>
      <c r="BB723" s="17"/>
      <c r="BC723" s="17"/>
      <c r="BD723" s="17"/>
      <c r="BE723" s="17"/>
      <c r="BF723" s="17"/>
      <c r="BG723" s="17"/>
      <c r="BH723" s="17"/>
      <c r="BI723" s="17"/>
      <c r="BJ723" s="17"/>
    </row>
    <row r="724" spans="1:62" s="20" customFormat="1" x14ac:dyDescent="0.7">
      <c r="A724" s="17"/>
      <c r="B724" s="19"/>
      <c r="C724" s="19"/>
      <c r="D724" s="19"/>
      <c r="E724" s="19"/>
      <c r="F724" s="19"/>
      <c r="G724" s="19"/>
      <c r="P724" s="29"/>
      <c r="Q724" s="29"/>
      <c r="Y724" s="29"/>
      <c r="Z724" s="29"/>
      <c r="AA724" s="29"/>
      <c r="AB724" s="29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</row>
    <row r="725" spans="1:62" s="20" customFormat="1" x14ac:dyDescent="0.7">
      <c r="A725" s="17"/>
      <c r="B725" s="19"/>
      <c r="C725" s="19"/>
      <c r="D725" s="19"/>
      <c r="E725" s="19"/>
      <c r="F725" s="19"/>
      <c r="G725" s="19"/>
      <c r="P725" s="29"/>
      <c r="Q725" s="29"/>
      <c r="Y725" s="29"/>
      <c r="Z725" s="29"/>
      <c r="AA725" s="29"/>
      <c r="AB725" s="29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</row>
    <row r="726" spans="1:62" s="20" customFormat="1" x14ac:dyDescent="0.7">
      <c r="A726" s="17"/>
      <c r="B726" s="19"/>
      <c r="C726" s="19"/>
      <c r="D726" s="19"/>
      <c r="E726" s="19"/>
      <c r="F726" s="19"/>
      <c r="G726" s="19"/>
      <c r="P726" s="29"/>
      <c r="Q726" s="29"/>
      <c r="Y726" s="29"/>
      <c r="Z726" s="29"/>
      <c r="AA726" s="29"/>
      <c r="AB726" s="29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17"/>
      <c r="BH726" s="17"/>
      <c r="BI726" s="17"/>
      <c r="BJ726" s="17"/>
    </row>
    <row r="727" spans="1:62" s="20" customFormat="1" x14ac:dyDescent="0.7">
      <c r="A727" s="17"/>
      <c r="B727" s="19"/>
      <c r="C727" s="19"/>
      <c r="D727" s="19"/>
      <c r="E727" s="19"/>
      <c r="F727" s="19"/>
      <c r="G727" s="19"/>
      <c r="P727" s="29"/>
      <c r="Q727" s="29"/>
      <c r="Y727" s="29"/>
      <c r="Z727" s="29"/>
      <c r="AA727" s="29"/>
      <c r="AB727" s="29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/>
      <c r="BB727" s="17"/>
      <c r="BC727" s="17"/>
      <c r="BD727" s="17"/>
      <c r="BE727" s="17"/>
      <c r="BF727" s="17"/>
      <c r="BG727" s="17"/>
      <c r="BH727" s="17"/>
      <c r="BI727" s="17"/>
      <c r="BJ727" s="17"/>
    </row>
    <row r="728" spans="1:62" s="20" customFormat="1" x14ac:dyDescent="0.7">
      <c r="A728" s="17"/>
      <c r="B728" s="19"/>
      <c r="C728" s="19"/>
      <c r="D728" s="19"/>
      <c r="E728" s="19"/>
      <c r="F728" s="19"/>
      <c r="G728" s="19"/>
      <c r="P728" s="29"/>
      <c r="Q728" s="29"/>
      <c r="Y728" s="29"/>
      <c r="Z728" s="29"/>
      <c r="AA728" s="29"/>
      <c r="AB728" s="29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</row>
    <row r="729" spans="1:62" s="20" customFormat="1" x14ac:dyDescent="0.7">
      <c r="A729" s="17"/>
      <c r="B729" s="19"/>
      <c r="C729" s="19"/>
      <c r="D729" s="19"/>
      <c r="E729" s="19"/>
      <c r="F729" s="19"/>
      <c r="G729" s="19"/>
      <c r="P729" s="29"/>
      <c r="Q729" s="29"/>
      <c r="Y729" s="29"/>
      <c r="Z729" s="29"/>
      <c r="AA729" s="29"/>
      <c r="AB729" s="29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</row>
    <row r="730" spans="1:62" s="20" customFormat="1" x14ac:dyDescent="0.7">
      <c r="A730" s="17"/>
      <c r="B730" s="19"/>
      <c r="C730" s="19"/>
      <c r="D730" s="19"/>
      <c r="E730" s="19"/>
      <c r="F730" s="19"/>
      <c r="G730" s="19"/>
      <c r="P730" s="29"/>
      <c r="Q730" s="29"/>
      <c r="Y730" s="29"/>
      <c r="Z730" s="29"/>
      <c r="AA730" s="29"/>
      <c r="AB730" s="29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  <c r="BA730" s="17"/>
      <c r="BB730" s="17"/>
      <c r="BC730" s="17"/>
      <c r="BD730" s="17"/>
      <c r="BE730" s="17"/>
      <c r="BF730" s="17"/>
      <c r="BG730" s="17"/>
      <c r="BH730" s="17"/>
      <c r="BI730" s="17"/>
      <c r="BJ730" s="17"/>
    </row>
    <row r="731" spans="1:62" s="20" customFormat="1" x14ac:dyDescent="0.7">
      <c r="A731" s="17"/>
      <c r="B731" s="19"/>
      <c r="C731" s="19"/>
      <c r="D731" s="19"/>
      <c r="E731" s="19"/>
      <c r="F731" s="19"/>
      <c r="G731" s="19"/>
      <c r="P731" s="29"/>
      <c r="Q731" s="29"/>
      <c r="Y731" s="29"/>
      <c r="Z731" s="29"/>
      <c r="AA731" s="29"/>
      <c r="AB731" s="29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17"/>
      <c r="BH731" s="17"/>
      <c r="BI731" s="17"/>
      <c r="BJ731" s="17"/>
    </row>
    <row r="732" spans="1:62" s="20" customFormat="1" x14ac:dyDescent="0.7">
      <c r="A732" s="17"/>
      <c r="B732" s="19"/>
      <c r="C732" s="19"/>
      <c r="D732" s="19"/>
      <c r="E732" s="19"/>
      <c r="F732" s="19"/>
      <c r="G732" s="19"/>
      <c r="P732" s="29"/>
      <c r="Q732" s="29"/>
      <c r="Y732" s="29"/>
      <c r="Z732" s="29"/>
      <c r="AA732" s="29"/>
      <c r="AB732" s="29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17"/>
      <c r="BH732" s="17"/>
      <c r="BI732" s="17"/>
      <c r="BJ732" s="17"/>
    </row>
    <row r="733" spans="1:62" s="20" customFormat="1" x14ac:dyDescent="0.7">
      <c r="A733" s="17"/>
      <c r="B733" s="19"/>
      <c r="C733" s="19"/>
      <c r="D733" s="19"/>
      <c r="E733" s="19"/>
      <c r="F733" s="19"/>
      <c r="G733" s="19"/>
      <c r="P733" s="29"/>
      <c r="Q733" s="29"/>
      <c r="Y733" s="29"/>
      <c r="Z733" s="29"/>
      <c r="AA733" s="29"/>
      <c r="AB733" s="29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</row>
    <row r="734" spans="1:62" s="20" customFormat="1" x14ac:dyDescent="0.7">
      <c r="A734" s="17"/>
      <c r="B734" s="19"/>
      <c r="C734" s="19"/>
      <c r="D734" s="19"/>
      <c r="E734" s="19"/>
      <c r="F734" s="19"/>
      <c r="G734" s="19"/>
      <c r="P734" s="29"/>
      <c r="Q734" s="29"/>
      <c r="Y734" s="29"/>
      <c r="Z734" s="29"/>
      <c r="AA734" s="29"/>
      <c r="AB734" s="29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</row>
    <row r="735" spans="1:62" s="20" customFormat="1" x14ac:dyDescent="0.7">
      <c r="A735" s="17"/>
      <c r="B735" s="19"/>
      <c r="C735" s="19"/>
      <c r="D735" s="19"/>
      <c r="E735" s="19"/>
      <c r="F735" s="19"/>
      <c r="G735" s="19"/>
      <c r="P735" s="29"/>
      <c r="Q735" s="29"/>
      <c r="Y735" s="29"/>
      <c r="Z735" s="29"/>
      <c r="AA735" s="29"/>
      <c r="AB735" s="29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</row>
    <row r="736" spans="1:62" s="20" customFormat="1" x14ac:dyDescent="0.7">
      <c r="A736" s="17"/>
      <c r="B736" s="19"/>
      <c r="C736" s="19"/>
      <c r="D736" s="19"/>
      <c r="E736" s="19"/>
      <c r="F736" s="19"/>
      <c r="G736" s="19"/>
      <c r="P736" s="29"/>
      <c r="Q736" s="29"/>
      <c r="Y736" s="29"/>
      <c r="Z736" s="29"/>
      <c r="AA736" s="29"/>
      <c r="AB736" s="29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</row>
    <row r="737" spans="1:62" s="20" customFormat="1" x14ac:dyDescent="0.7">
      <c r="A737" s="17"/>
      <c r="B737" s="19"/>
      <c r="C737" s="19"/>
      <c r="D737" s="19"/>
      <c r="E737" s="19"/>
      <c r="F737" s="19"/>
      <c r="G737" s="19"/>
      <c r="P737" s="29"/>
      <c r="Q737" s="29"/>
      <c r="Y737" s="29"/>
      <c r="Z737" s="29"/>
      <c r="AA737" s="29"/>
      <c r="AB737" s="29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/>
      <c r="BF737" s="17"/>
      <c r="BG737" s="17"/>
      <c r="BH737" s="17"/>
      <c r="BI737" s="17"/>
      <c r="BJ737" s="17"/>
    </row>
    <row r="738" spans="1:62" s="20" customFormat="1" x14ac:dyDescent="0.7">
      <c r="A738" s="17"/>
      <c r="B738" s="19"/>
      <c r="C738" s="19"/>
      <c r="D738" s="19"/>
      <c r="E738" s="19"/>
      <c r="F738" s="19"/>
      <c r="G738" s="19"/>
      <c r="P738" s="29"/>
      <c r="Q738" s="29"/>
      <c r="Y738" s="29"/>
      <c r="Z738" s="29"/>
      <c r="AA738" s="29"/>
      <c r="AB738" s="29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17"/>
      <c r="BH738" s="17"/>
      <c r="BI738" s="17"/>
      <c r="BJ738" s="17"/>
    </row>
    <row r="739" spans="1:62" s="20" customFormat="1" x14ac:dyDescent="0.7">
      <c r="A739" s="17"/>
      <c r="B739" s="19"/>
      <c r="C739" s="19"/>
      <c r="D739" s="19"/>
      <c r="E739" s="19"/>
      <c r="F739" s="19"/>
      <c r="G739" s="19"/>
      <c r="P739" s="29"/>
      <c r="Q739" s="29"/>
      <c r="Y739" s="29"/>
      <c r="Z739" s="29"/>
      <c r="AA739" s="29"/>
      <c r="AB739" s="29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17"/>
      <c r="BH739" s="17"/>
      <c r="BI739" s="17"/>
      <c r="BJ739" s="17"/>
    </row>
    <row r="740" spans="1:62" s="20" customFormat="1" x14ac:dyDescent="0.7">
      <c r="A740" s="17"/>
      <c r="B740" s="19"/>
      <c r="C740" s="19"/>
      <c r="D740" s="19"/>
      <c r="E740" s="19"/>
      <c r="F740" s="19"/>
      <c r="G740" s="19"/>
      <c r="P740" s="29"/>
      <c r="Q740" s="29"/>
      <c r="Y740" s="29"/>
      <c r="Z740" s="29"/>
      <c r="AA740" s="29"/>
      <c r="AB740" s="29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17"/>
      <c r="BH740" s="17"/>
      <c r="BI740" s="17"/>
      <c r="BJ740" s="17"/>
    </row>
    <row r="741" spans="1:62" s="20" customFormat="1" x14ac:dyDescent="0.7">
      <c r="A741" s="17"/>
      <c r="B741" s="19"/>
      <c r="C741" s="19"/>
      <c r="D741" s="19"/>
      <c r="E741" s="19"/>
      <c r="F741" s="19"/>
      <c r="G741" s="19"/>
      <c r="P741" s="29"/>
      <c r="Q741" s="29"/>
      <c r="Y741" s="29"/>
      <c r="Z741" s="29"/>
      <c r="AA741" s="29"/>
      <c r="AB741" s="29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17"/>
      <c r="BH741" s="17"/>
      <c r="BI741" s="17"/>
      <c r="BJ741" s="17"/>
    </row>
    <row r="742" spans="1:62" s="20" customFormat="1" x14ac:dyDescent="0.7">
      <c r="A742" s="17"/>
      <c r="B742" s="19"/>
      <c r="C742" s="19"/>
      <c r="D742" s="19"/>
      <c r="E742" s="19"/>
      <c r="F742" s="19"/>
      <c r="G742" s="19"/>
      <c r="P742" s="29"/>
      <c r="Q742" s="29"/>
      <c r="Y742" s="29"/>
      <c r="Z742" s="29"/>
      <c r="AA742" s="29"/>
      <c r="AB742" s="29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</row>
    <row r="743" spans="1:62" s="20" customFormat="1" x14ac:dyDescent="0.7">
      <c r="A743" s="17"/>
      <c r="B743" s="19"/>
      <c r="C743" s="19"/>
      <c r="D743" s="19"/>
      <c r="E743" s="19"/>
      <c r="F743" s="19"/>
      <c r="G743" s="19"/>
      <c r="P743" s="29"/>
      <c r="Q743" s="29"/>
      <c r="Y743" s="29"/>
      <c r="Z743" s="29"/>
      <c r="AA743" s="29"/>
      <c r="AB743" s="29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</row>
    <row r="744" spans="1:62" s="20" customFormat="1" x14ac:dyDescent="0.7">
      <c r="A744" s="17"/>
      <c r="B744" s="19"/>
      <c r="C744" s="19"/>
      <c r="D744" s="19"/>
      <c r="E744" s="19"/>
      <c r="F744" s="19"/>
      <c r="G744" s="19"/>
      <c r="P744" s="29"/>
      <c r="Q744" s="29"/>
      <c r="Y744" s="29"/>
      <c r="Z744" s="29"/>
      <c r="AA744" s="29"/>
      <c r="AB744" s="29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17"/>
      <c r="BH744" s="17"/>
      <c r="BI744" s="17"/>
      <c r="BJ744" s="17"/>
    </row>
    <row r="745" spans="1:62" s="20" customFormat="1" x14ac:dyDescent="0.7">
      <c r="A745" s="17"/>
      <c r="B745" s="19"/>
      <c r="C745" s="19"/>
      <c r="D745" s="19"/>
      <c r="E745" s="19"/>
      <c r="F745" s="19"/>
      <c r="G745" s="19"/>
      <c r="P745" s="29"/>
      <c r="Q745" s="29"/>
      <c r="Y745" s="29"/>
      <c r="Z745" s="29"/>
      <c r="AA745" s="29"/>
      <c r="AB745" s="29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</row>
    <row r="746" spans="1:62" s="20" customFormat="1" x14ac:dyDescent="0.7">
      <c r="A746" s="17"/>
      <c r="B746" s="19"/>
      <c r="C746" s="19"/>
      <c r="D746" s="19"/>
      <c r="E746" s="19"/>
      <c r="F746" s="19"/>
      <c r="G746" s="19"/>
      <c r="P746" s="29"/>
      <c r="Q746" s="29"/>
      <c r="Y746" s="29"/>
      <c r="Z746" s="29"/>
      <c r="AA746" s="29"/>
      <c r="AB746" s="29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</row>
    <row r="747" spans="1:62" s="20" customFormat="1" x14ac:dyDescent="0.7">
      <c r="A747" s="17"/>
      <c r="B747" s="19"/>
      <c r="C747" s="19"/>
      <c r="D747" s="19"/>
      <c r="E747" s="19"/>
      <c r="F747" s="19"/>
      <c r="G747" s="19"/>
      <c r="P747" s="29"/>
      <c r="Q747" s="29"/>
      <c r="Y747" s="29"/>
      <c r="Z747" s="29"/>
      <c r="AA747" s="29"/>
      <c r="AB747" s="29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</row>
    <row r="748" spans="1:62" s="20" customFormat="1" x14ac:dyDescent="0.7">
      <c r="A748" s="17"/>
      <c r="B748" s="19"/>
      <c r="C748" s="19"/>
      <c r="D748" s="19"/>
      <c r="E748" s="19"/>
      <c r="F748" s="19"/>
      <c r="G748" s="19"/>
      <c r="P748" s="29"/>
      <c r="Q748" s="29"/>
      <c r="Y748" s="29"/>
      <c r="Z748" s="29"/>
      <c r="AA748" s="29"/>
      <c r="AB748" s="29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</row>
    <row r="749" spans="1:62" s="20" customFormat="1" x14ac:dyDescent="0.7">
      <c r="A749" s="17"/>
      <c r="B749" s="19"/>
      <c r="C749" s="19"/>
      <c r="D749" s="19"/>
      <c r="E749" s="19"/>
      <c r="F749" s="19"/>
      <c r="G749" s="19"/>
      <c r="P749" s="29"/>
      <c r="Q749" s="29"/>
      <c r="Y749" s="29"/>
      <c r="Z749" s="29"/>
      <c r="AA749" s="29"/>
      <c r="AB749" s="29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  <c r="BA749" s="17"/>
      <c r="BB749" s="17"/>
      <c r="BC749" s="17"/>
      <c r="BD749" s="17"/>
      <c r="BE749" s="17"/>
      <c r="BF749" s="17"/>
      <c r="BG749" s="17"/>
      <c r="BH749" s="17"/>
      <c r="BI749" s="17"/>
      <c r="BJ749" s="17"/>
    </row>
    <row r="750" spans="1:62" s="20" customFormat="1" x14ac:dyDescent="0.7">
      <c r="A750" s="17"/>
      <c r="B750" s="19"/>
      <c r="C750" s="19"/>
      <c r="D750" s="19"/>
      <c r="E750" s="19"/>
      <c r="F750" s="19"/>
      <c r="G750" s="19"/>
      <c r="P750" s="29"/>
      <c r="Q750" s="29"/>
      <c r="Y750" s="29"/>
      <c r="Z750" s="29"/>
      <c r="AA750" s="29"/>
      <c r="AB750" s="29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  <c r="BA750" s="17"/>
      <c r="BB750" s="17"/>
      <c r="BC750" s="17"/>
      <c r="BD750" s="17"/>
      <c r="BE750" s="17"/>
      <c r="BF750" s="17"/>
      <c r="BG750" s="17"/>
      <c r="BH750" s="17"/>
      <c r="BI750" s="17"/>
      <c r="BJ750" s="17"/>
    </row>
    <row r="751" spans="1:62" s="20" customFormat="1" x14ac:dyDescent="0.7">
      <c r="A751" s="17"/>
      <c r="B751" s="19"/>
      <c r="C751" s="19"/>
      <c r="D751" s="19"/>
      <c r="E751" s="19"/>
      <c r="F751" s="19"/>
      <c r="G751" s="19"/>
      <c r="P751" s="29"/>
      <c r="Q751" s="29"/>
      <c r="Y751" s="29"/>
      <c r="Z751" s="29"/>
      <c r="AA751" s="29"/>
      <c r="AB751" s="29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  <c r="BA751" s="17"/>
      <c r="BB751" s="17"/>
      <c r="BC751" s="17"/>
      <c r="BD751" s="17"/>
      <c r="BE751" s="17"/>
      <c r="BF751" s="17"/>
      <c r="BG751" s="17"/>
      <c r="BH751" s="17"/>
      <c r="BI751" s="17"/>
      <c r="BJ751" s="17"/>
    </row>
    <row r="752" spans="1:62" s="20" customFormat="1" x14ac:dyDescent="0.7">
      <c r="A752" s="17"/>
      <c r="B752" s="19"/>
      <c r="C752" s="19"/>
      <c r="D752" s="19"/>
      <c r="E752" s="19"/>
      <c r="F752" s="19"/>
      <c r="G752" s="19"/>
      <c r="P752" s="29"/>
      <c r="Q752" s="29"/>
      <c r="Y752" s="29"/>
      <c r="Z752" s="29"/>
      <c r="AA752" s="29"/>
      <c r="AB752" s="29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</row>
    <row r="753" spans="1:62" s="20" customFormat="1" x14ac:dyDescent="0.7">
      <c r="A753" s="17"/>
      <c r="B753" s="19"/>
      <c r="C753" s="19"/>
      <c r="D753" s="19"/>
      <c r="E753" s="19"/>
      <c r="F753" s="19"/>
      <c r="G753" s="19"/>
      <c r="P753" s="29"/>
      <c r="Q753" s="29"/>
      <c r="Y753" s="29"/>
      <c r="Z753" s="29"/>
      <c r="AA753" s="29"/>
      <c r="AB753" s="29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  <c r="BA753" s="17"/>
      <c r="BB753" s="17"/>
      <c r="BC753" s="17"/>
      <c r="BD753" s="17"/>
      <c r="BE753" s="17"/>
      <c r="BF753" s="17"/>
      <c r="BG753" s="17"/>
      <c r="BH753" s="17"/>
      <c r="BI753" s="17"/>
      <c r="BJ753" s="17"/>
    </row>
    <row r="754" spans="1:62" s="20" customFormat="1" x14ac:dyDescent="0.7">
      <c r="A754" s="17"/>
      <c r="B754" s="19"/>
      <c r="C754" s="19"/>
      <c r="D754" s="19"/>
      <c r="E754" s="19"/>
      <c r="F754" s="19"/>
      <c r="G754" s="19"/>
      <c r="P754" s="29"/>
      <c r="Q754" s="29"/>
      <c r="Y754" s="29"/>
      <c r="Z754" s="29"/>
      <c r="AA754" s="29"/>
      <c r="AB754" s="29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  <c r="BA754" s="17"/>
      <c r="BB754" s="17"/>
      <c r="BC754" s="17"/>
      <c r="BD754" s="17"/>
      <c r="BE754" s="17"/>
      <c r="BF754" s="17"/>
      <c r="BG754" s="17"/>
      <c r="BH754" s="17"/>
      <c r="BI754" s="17"/>
      <c r="BJ754" s="17"/>
    </row>
    <row r="755" spans="1:62" s="20" customFormat="1" x14ac:dyDescent="0.7">
      <c r="A755" s="17"/>
      <c r="B755" s="19"/>
      <c r="C755" s="19"/>
      <c r="D755" s="19"/>
      <c r="E755" s="19"/>
      <c r="F755" s="19"/>
      <c r="G755" s="19"/>
      <c r="P755" s="29"/>
      <c r="Q755" s="29"/>
      <c r="Y755" s="29"/>
      <c r="Z755" s="29"/>
      <c r="AA755" s="29"/>
      <c r="AB755" s="29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  <c r="BA755" s="17"/>
      <c r="BB755" s="17"/>
      <c r="BC755" s="17"/>
      <c r="BD755" s="17"/>
      <c r="BE755" s="17"/>
      <c r="BF755" s="17"/>
      <c r="BG755" s="17"/>
      <c r="BH755" s="17"/>
      <c r="BI755" s="17"/>
      <c r="BJ755" s="17"/>
    </row>
    <row r="756" spans="1:62" s="20" customFormat="1" x14ac:dyDescent="0.7">
      <c r="A756" s="17"/>
      <c r="B756" s="19"/>
      <c r="C756" s="19"/>
      <c r="D756" s="19"/>
      <c r="E756" s="19"/>
      <c r="F756" s="19"/>
      <c r="G756" s="19"/>
      <c r="P756" s="29"/>
      <c r="Q756" s="29"/>
      <c r="Y756" s="29"/>
      <c r="Z756" s="29"/>
      <c r="AA756" s="29"/>
      <c r="AB756" s="29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</row>
    <row r="757" spans="1:62" s="20" customFormat="1" x14ac:dyDescent="0.7">
      <c r="A757" s="17"/>
      <c r="B757" s="19"/>
      <c r="C757" s="19"/>
      <c r="D757" s="19"/>
      <c r="E757" s="19"/>
      <c r="F757" s="19"/>
      <c r="G757" s="19"/>
      <c r="P757" s="29"/>
      <c r="Q757" s="29"/>
      <c r="Y757" s="29"/>
      <c r="Z757" s="29"/>
      <c r="AA757" s="29"/>
      <c r="AB757" s="29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</row>
    <row r="758" spans="1:62" s="20" customFormat="1" x14ac:dyDescent="0.7">
      <c r="A758" s="17"/>
      <c r="B758" s="19"/>
      <c r="C758" s="19"/>
      <c r="D758" s="19"/>
      <c r="E758" s="19"/>
      <c r="F758" s="19"/>
      <c r="G758" s="19"/>
      <c r="P758" s="29"/>
      <c r="Q758" s="29"/>
      <c r="Y758" s="29"/>
      <c r="Z758" s="29"/>
      <c r="AA758" s="29"/>
      <c r="AB758" s="29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</row>
    <row r="759" spans="1:62" s="20" customFormat="1" x14ac:dyDescent="0.7">
      <c r="A759" s="17"/>
      <c r="B759" s="19"/>
      <c r="C759" s="19"/>
      <c r="D759" s="19"/>
      <c r="E759" s="19"/>
      <c r="F759" s="19"/>
      <c r="G759" s="19"/>
      <c r="P759" s="29"/>
      <c r="Q759" s="29"/>
      <c r="Y759" s="29"/>
      <c r="Z759" s="29"/>
      <c r="AA759" s="29"/>
      <c r="AB759" s="29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  <c r="BA759" s="17"/>
      <c r="BB759" s="17"/>
      <c r="BC759" s="17"/>
      <c r="BD759" s="17"/>
      <c r="BE759" s="17"/>
      <c r="BF759" s="17"/>
      <c r="BG759" s="17"/>
      <c r="BH759" s="17"/>
      <c r="BI759" s="17"/>
      <c r="BJ759" s="17"/>
    </row>
    <row r="760" spans="1:62" s="20" customFormat="1" x14ac:dyDescent="0.7">
      <c r="A760" s="17"/>
      <c r="B760" s="19"/>
      <c r="C760" s="19"/>
      <c r="D760" s="19"/>
      <c r="E760" s="19"/>
      <c r="F760" s="19"/>
      <c r="G760" s="19"/>
      <c r="P760" s="29"/>
      <c r="Q760" s="29"/>
      <c r="Y760" s="29"/>
      <c r="Z760" s="29"/>
      <c r="AA760" s="29"/>
      <c r="AB760" s="29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  <c r="BA760" s="17"/>
      <c r="BB760" s="17"/>
      <c r="BC760" s="17"/>
      <c r="BD760" s="17"/>
      <c r="BE760" s="17"/>
      <c r="BF760" s="17"/>
      <c r="BG760" s="17"/>
      <c r="BH760" s="17"/>
      <c r="BI760" s="17"/>
      <c r="BJ760" s="17"/>
    </row>
    <row r="761" spans="1:62" s="20" customFormat="1" x14ac:dyDescent="0.7">
      <c r="A761" s="17"/>
      <c r="B761" s="19"/>
      <c r="C761" s="19"/>
      <c r="D761" s="19"/>
      <c r="E761" s="19"/>
      <c r="F761" s="19"/>
      <c r="G761" s="19"/>
      <c r="P761" s="29"/>
      <c r="Q761" s="29"/>
      <c r="Y761" s="29"/>
      <c r="Z761" s="29"/>
      <c r="AA761" s="29"/>
      <c r="AB761" s="29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17"/>
      <c r="BH761" s="17"/>
      <c r="BI761" s="17"/>
      <c r="BJ761" s="17"/>
    </row>
    <row r="762" spans="1:62" s="20" customFormat="1" x14ac:dyDescent="0.7">
      <c r="A762" s="17"/>
      <c r="B762" s="19"/>
      <c r="C762" s="19"/>
      <c r="D762" s="19"/>
      <c r="E762" s="19"/>
      <c r="F762" s="19"/>
      <c r="G762" s="19"/>
      <c r="P762" s="29"/>
      <c r="Q762" s="29"/>
      <c r="Y762" s="29"/>
      <c r="Z762" s="29"/>
      <c r="AA762" s="29"/>
      <c r="AB762" s="29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  <c r="BA762" s="17"/>
      <c r="BB762" s="17"/>
      <c r="BC762" s="17"/>
      <c r="BD762" s="17"/>
      <c r="BE762" s="17"/>
      <c r="BF762" s="17"/>
      <c r="BG762" s="17"/>
      <c r="BH762" s="17"/>
      <c r="BI762" s="17"/>
      <c r="BJ762" s="17"/>
    </row>
    <row r="763" spans="1:62" s="20" customFormat="1" x14ac:dyDescent="0.7">
      <c r="A763" s="17"/>
      <c r="B763" s="19"/>
      <c r="C763" s="19"/>
      <c r="D763" s="19"/>
      <c r="E763" s="19"/>
      <c r="F763" s="19"/>
      <c r="G763" s="19"/>
      <c r="P763" s="29"/>
      <c r="Q763" s="29"/>
      <c r="Y763" s="29"/>
      <c r="Z763" s="29"/>
      <c r="AA763" s="29"/>
      <c r="AB763" s="29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  <c r="BA763" s="17"/>
      <c r="BB763" s="17"/>
      <c r="BC763" s="17"/>
      <c r="BD763" s="17"/>
      <c r="BE763" s="17"/>
      <c r="BF763" s="17"/>
      <c r="BG763" s="17"/>
      <c r="BH763" s="17"/>
      <c r="BI763" s="17"/>
      <c r="BJ763" s="17"/>
    </row>
    <row r="764" spans="1:62" s="20" customFormat="1" x14ac:dyDescent="0.7">
      <c r="A764" s="17"/>
      <c r="B764" s="19"/>
      <c r="C764" s="19"/>
      <c r="D764" s="19"/>
      <c r="E764" s="19"/>
      <c r="F764" s="19"/>
      <c r="G764" s="19"/>
      <c r="P764" s="29"/>
      <c r="Q764" s="29"/>
      <c r="Y764" s="29"/>
      <c r="Z764" s="29"/>
      <c r="AA764" s="29"/>
      <c r="AB764" s="29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/>
      <c r="BE764" s="17"/>
      <c r="BF764" s="17"/>
      <c r="BG764" s="17"/>
      <c r="BH764" s="17"/>
      <c r="BI764" s="17"/>
      <c r="BJ764" s="17"/>
    </row>
    <row r="765" spans="1:62" s="20" customFormat="1" x14ac:dyDescent="0.7">
      <c r="A765" s="17"/>
      <c r="B765" s="19"/>
      <c r="C765" s="19"/>
      <c r="D765" s="19"/>
      <c r="E765" s="19"/>
      <c r="F765" s="19"/>
      <c r="G765" s="19"/>
      <c r="P765" s="29"/>
      <c r="Q765" s="29"/>
      <c r="Y765" s="29"/>
      <c r="Z765" s="29"/>
      <c r="AA765" s="29"/>
      <c r="AB765" s="29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  <c r="BA765" s="17"/>
      <c r="BB765" s="17"/>
      <c r="BC765" s="17"/>
      <c r="BD765" s="17"/>
      <c r="BE765" s="17"/>
      <c r="BF765" s="17"/>
      <c r="BG765" s="17"/>
      <c r="BH765" s="17"/>
      <c r="BI765" s="17"/>
      <c r="BJ765" s="17"/>
    </row>
    <row r="766" spans="1:62" s="20" customFormat="1" x14ac:dyDescent="0.7">
      <c r="A766" s="17"/>
      <c r="B766" s="19"/>
      <c r="C766" s="19"/>
      <c r="D766" s="19"/>
      <c r="E766" s="19"/>
      <c r="F766" s="19"/>
      <c r="G766" s="19"/>
      <c r="P766" s="29"/>
      <c r="Q766" s="29"/>
      <c r="Y766" s="29"/>
      <c r="Z766" s="29"/>
      <c r="AA766" s="29"/>
      <c r="AB766" s="29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  <c r="BA766" s="17"/>
      <c r="BB766" s="17"/>
      <c r="BC766" s="17"/>
      <c r="BD766" s="17"/>
      <c r="BE766" s="17"/>
      <c r="BF766" s="17"/>
      <c r="BG766" s="17"/>
      <c r="BH766" s="17"/>
      <c r="BI766" s="17"/>
      <c r="BJ766" s="17"/>
    </row>
    <row r="767" spans="1:62" s="20" customFormat="1" x14ac:dyDescent="0.7">
      <c r="A767" s="17"/>
      <c r="B767" s="19"/>
      <c r="C767" s="19"/>
      <c r="D767" s="19"/>
      <c r="E767" s="19"/>
      <c r="F767" s="19"/>
      <c r="G767" s="19"/>
      <c r="P767" s="29"/>
      <c r="Q767" s="29"/>
      <c r="Y767" s="29"/>
      <c r="Z767" s="29"/>
      <c r="AA767" s="29"/>
      <c r="AB767" s="29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17"/>
      <c r="BH767" s="17"/>
      <c r="BI767" s="17"/>
      <c r="BJ767" s="17"/>
    </row>
    <row r="768" spans="1:62" s="20" customFormat="1" x14ac:dyDescent="0.7">
      <c r="A768" s="17"/>
      <c r="B768" s="19"/>
      <c r="C768" s="19"/>
      <c r="D768" s="19"/>
      <c r="E768" s="19"/>
      <c r="F768" s="19"/>
      <c r="G768" s="19"/>
      <c r="P768" s="29"/>
      <c r="Q768" s="29"/>
      <c r="Y768" s="29"/>
      <c r="Z768" s="29"/>
      <c r="AA768" s="29"/>
      <c r="AB768" s="29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  <c r="BA768" s="17"/>
      <c r="BB768" s="17"/>
      <c r="BC768" s="17"/>
      <c r="BD768" s="17"/>
      <c r="BE768" s="17"/>
      <c r="BF768" s="17"/>
      <c r="BG768" s="17"/>
      <c r="BH768" s="17"/>
      <c r="BI768" s="17"/>
      <c r="BJ768" s="17"/>
    </row>
    <row r="769" spans="1:62" s="20" customFormat="1" x14ac:dyDescent="0.7">
      <c r="A769" s="17"/>
      <c r="B769" s="19"/>
      <c r="C769" s="19"/>
      <c r="D769" s="19"/>
      <c r="E769" s="19"/>
      <c r="F769" s="19"/>
      <c r="G769" s="19"/>
      <c r="P769" s="29"/>
      <c r="Q769" s="29"/>
      <c r="Y769" s="29"/>
      <c r="Z769" s="29"/>
      <c r="AA769" s="29"/>
      <c r="AB769" s="29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</row>
    <row r="770" spans="1:62" s="20" customFormat="1" x14ac:dyDescent="0.7">
      <c r="A770" s="17"/>
      <c r="B770" s="19"/>
      <c r="C770" s="19"/>
      <c r="D770" s="19"/>
      <c r="E770" s="19"/>
      <c r="F770" s="19"/>
      <c r="G770" s="19"/>
      <c r="P770" s="29"/>
      <c r="Q770" s="29"/>
      <c r="Y770" s="29"/>
      <c r="Z770" s="29"/>
      <c r="AA770" s="29"/>
      <c r="AB770" s="29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17"/>
      <c r="BH770" s="17"/>
      <c r="BI770" s="17"/>
      <c r="BJ770" s="17"/>
    </row>
    <row r="771" spans="1:62" s="20" customFormat="1" x14ac:dyDescent="0.7">
      <c r="A771" s="17"/>
      <c r="B771" s="19"/>
      <c r="C771" s="19"/>
      <c r="D771" s="19"/>
      <c r="E771" s="19"/>
      <c r="F771" s="19"/>
      <c r="G771" s="19"/>
      <c r="P771" s="29"/>
      <c r="Q771" s="29"/>
      <c r="Y771" s="29"/>
      <c r="Z771" s="29"/>
      <c r="AA771" s="29"/>
      <c r="AB771" s="29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</row>
    <row r="772" spans="1:62" s="20" customFormat="1" x14ac:dyDescent="0.7">
      <c r="A772" s="17"/>
      <c r="B772" s="19"/>
      <c r="C772" s="19"/>
      <c r="D772" s="19"/>
      <c r="E772" s="19"/>
      <c r="F772" s="19"/>
      <c r="G772" s="19"/>
      <c r="P772" s="29"/>
      <c r="Q772" s="29"/>
      <c r="Y772" s="29"/>
      <c r="Z772" s="29"/>
      <c r="AA772" s="29"/>
      <c r="AB772" s="29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  <c r="BA772" s="17"/>
      <c r="BB772" s="17"/>
      <c r="BC772" s="17"/>
      <c r="BD772" s="17"/>
      <c r="BE772" s="17"/>
      <c r="BF772" s="17"/>
      <c r="BG772" s="17"/>
      <c r="BH772" s="17"/>
      <c r="BI772" s="17"/>
      <c r="BJ772" s="17"/>
    </row>
    <row r="773" spans="1:62" s="20" customFormat="1" x14ac:dyDescent="0.7">
      <c r="A773" s="17"/>
      <c r="B773" s="19"/>
      <c r="C773" s="19"/>
      <c r="D773" s="19"/>
      <c r="E773" s="19"/>
      <c r="F773" s="19"/>
      <c r="G773" s="19"/>
      <c r="P773" s="29"/>
      <c r="Q773" s="29"/>
      <c r="Y773" s="29"/>
      <c r="Z773" s="29"/>
      <c r="AA773" s="29"/>
      <c r="AB773" s="29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  <c r="BA773" s="17"/>
      <c r="BB773" s="17"/>
      <c r="BC773" s="17"/>
      <c r="BD773" s="17"/>
      <c r="BE773" s="17"/>
      <c r="BF773" s="17"/>
      <c r="BG773" s="17"/>
      <c r="BH773" s="17"/>
      <c r="BI773" s="17"/>
      <c r="BJ773" s="17"/>
    </row>
    <row r="774" spans="1:62" s="20" customFormat="1" x14ac:dyDescent="0.7">
      <c r="A774" s="17"/>
      <c r="B774" s="19"/>
      <c r="C774" s="19"/>
      <c r="D774" s="19"/>
      <c r="E774" s="19"/>
      <c r="F774" s="19"/>
      <c r="G774" s="19"/>
      <c r="P774" s="29"/>
      <c r="Q774" s="29"/>
      <c r="Y774" s="29"/>
      <c r="Z774" s="29"/>
      <c r="AA774" s="29"/>
      <c r="AB774" s="29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</row>
    <row r="775" spans="1:62" s="20" customFormat="1" x14ac:dyDescent="0.7">
      <c r="A775" s="17"/>
      <c r="B775" s="19"/>
      <c r="C775" s="19"/>
      <c r="D775" s="19"/>
      <c r="E775" s="19"/>
      <c r="F775" s="19"/>
      <c r="G775" s="19"/>
      <c r="P775" s="29"/>
      <c r="Q775" s="29"/>
      <c r="Y775" s="29"/>
      <c r="Z775" s="29"/>
      <c r="AA775" s="29"/>
      <c r="AB775" s="29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  <c r="BA775" s="17"/>
      <c r="BB775" s="17"/>
      <c r="BC775" s="17"/>
      <c r="BD775" s="17"/>
      <c r="BE775" s="17"/>
      <c r="BF775" s="17"/>
      <c r="BG775" s="17"/>
      <c r="BH775" s="17"/>
      <c r="BI775" s="17"/>
      <c r="BJ775" s="17"/>
    </row>
    <row r="776" spans="1:62" s="20" customFormat="1" x14ac:dyDescent="0.7">
      <c r="A776" s="17"/>
      <c r="B776" s="19"/>
      <c r="C776" s="19"/>
      <c r="D776" s="19"/>
      <c r="E776" s="19"/>
      <c r="F776" s="19"/>
      <c r="G776" s="19"/>
      <c r="P776" s="29"/>
      <c r="Q776" s="29"/>
      <c r="Y776" s="29"/>
      <c r="Z776" s="29"/>
      <c r="AA776" s="29"/>
      <c r="AB776" s="29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</row>
    <row r="777" spans="1:62" s="20" customFormat="1" x14ac:dyDescent="0.7">
      <c r="A777" s="17"/>
      <c r="B777" s="19"/>
      <c r="C777" s="19"/>
      <c r="D777" s="19"/>
      <c r="E777" s="19"/>
      <c r="F777" s="19"/>
      <c r="G777" s="19"/>
      <c r="P777" s="29"/>
      <c r="Q777" s="29"/>
      <c r="Y777" s="29"/>
      <c r="Z777" s="29"/>
      <c r="AA777" s="29"/>
      <c r="AB777" s="29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  <c r="BA777" s="17"/>
      <c r="BB777" s="17"/>
      <c r="BC777" s="17"/>
      <c r="BD777" s="17"/>
      <c r="BE777" s="17"/>
      <c r="BF777" s="17"/>
      <c r="BG777" s="17"/>
      <c r="BH777" s="17"/>
      <c r="BI777" s="17"/>
      <c r="BJ777" s="17"/>
    </row>
    <row r="778" spans="1:62" s="20" customFormat="1" x14ac:dyDescent="0.7">
      <c r="A778" s="17"/>
      <c r="B778" s="19"/>
      <c r="C778" s="19"/>
      <c r="D778" s="19"/>
      <c r="E778" s="19"/>
      <c r="F778" s="19"/>
      <c r="G778" s="19"/>
      <c r="P778" s="29"/>
      <c r="Q778" s="29"/>
      <c r="Y778" s="29"/>
      <c r="Z778" s="29"/>
      <c r="AA778" s="29"/>
      <c r="AB778" s="29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</row>
    <row r="779" spans="1:62" s="20" customFormat="1" x14ac:dyDescent="0.7">
      <c r="A779" s="17"/>
      <c r="B779" s="19"/>
      <c r="C779" s="19"/>
      <c r="D779" s="19"/>
      <c r="E779" s="19"/>
      <c r="F779" s="19"/>
      <c r="G779" s="19"/>
      <c r="P779" s="29"/>
      <c r="Q779" s="29"/>
      <c r="Y779" s="29"/>
      <c r="Z779" s="29"/>
      <c r="AA779" s="29"/>
      <c r="AB779" s="29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  <c r="BA779" s="17"/>
      <c r="BB779" s="17"/>
      <c r="BC779" s="17"/>
      <c r="BD779" s="17"/>
      <c r="BE779" s="17"/>
      <c r="BF779" s="17"/>
      <c r="BG779" s="17"/>
      <c r="BH779" s="17"/>
      <c r="BI779" s="17"/>
      <c r="BJ779" s="17"/>
    </row>
    <row r="780" spans="1:62" s="20" customFormat="1" x14ac:dyDescent="0.7">
      <c r="A780" s="17"/>
      <c r="B780" s="19"/>
      <c r="C780" s="19"/>
      <c r="D780" s="19"/>
      <c r="E780" s="19"/>
      <c r="F780" s="19"/>
      <c r="G780" s="19"/>
      <c r="P780" s="29"/>
      <c r="Q780" s="29"/>
      <c r="Y780" s="29"/>
      <c r="Z780" s="29"/>
      <c r="AA780" s="29"/>
      <c r="AB780" s="29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17"/>
      <c r="BH780" s="17"/>
      <c r="BI780" s="17"/>
      <c r="BJ780" s="17"/>
    </row>
    <row r="781" spans="1:62" s="20" customFormat="1" x14ac:dyDescent="0.7">
      <c r="A781" s="17"/>
      <c r="B781" s="19"/>
      <c r="C781" s="19"/>
      <c r="D781" s="19"/>
      <c r="E781" s="19"/>
      <c r="F781" s="19"/>
      <c r="G781" s="19"/>
      <c r="P781" s="29"/>
      <c r="Q781" s="29"/>
      <c r="Y781" s="29"/>
      <c r="Z781" s="29"/>
      <c r="AA781" s="29"/>
      <c r="AB781" s="29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17"/>
      <c r="BH781" s="17"/>
      <c r="BI781" s="17"/>
      <c r="BJ781" s="17"/>
    </row>
    <row r="782" spans="1:62" s="20" customFormat="1" x14ac:dyDescent="0.7">
      <c r="A782" s="17"/>
      <c r="B782" s="19"/>
      <c r="C782" s="19"/>
      <c r="D782" s="19"/>
      <c r="E782" s="19"/>
      <c r="F782" s="19"/>
      <c r="G782" s="19"/>
      <c r="P782" s="29"/>
      <c r="Q782" s="29"/>
      <c r="Y782" s="29"/>
      <c r="Z782" s="29"/>
      <c r="AA782" s="29"/>
      <c r="AB782" s="29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  <c r="BA782" s="17"/>
      <c r="BB782" s="17"/>
      <c r="BC782" s="17"/>
      <c r="BD782" s="17"/>
      <c r="BE782" s="17"/>
      <c r="BF782" s="17"/>
      <c r="BG782" s="17"/>
      <c r="BH782" s="17"/>
      <c r="BI782" s="17"/>
      <c r="BJ782" s="17"/>
    </row>
    <row r="783" spans="1:62" s="20" customFormat="1" x14ac:dyDescent="0.7">
      <c r="A783" s="17"/>
      <c r="B783" s="19"/>
      <c r="C783" s="19"/>
      <c r="D783" s="19"/>
      <c r="E783" s="19"/>
      <c r="F783" s="19"/>
      <c r="G783" s="19"/>
      <c r="P783" s="29"/>
      <c r="Q783" s="29"/>
      <c r="Y783" s="29"/>
      <c r="Z783" s="29"/>
      <c r="AA783" s="29"/>
      <c r="AB783" s="29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  <c r="BA783" s="17"/>
      <c r="BB783" s="17"/>
      <c r="BC783" s="17"/>
      <c r="BD783" s="17"/>
      <c r="BE783" s="17"/>
      <c r="BF783" s="17"/>
      <c r="BG783" s="17"/>
      <c r="BH783" s="17"/>
      <c r="BI783" s="17"/>
      <c r="BJ783" s="17"/>
    </row>
    <row r="784" spans="1:62" s="20" customFormat="1" x14ac:dyDescent="0.7">
      <c r="A784" s="17"/>
      <c r="B784" s="19"/>
      <c r="C784" s="19"/>
      <c r="D784" s="19"/>
      <c r="E784" s="19"/>
      <c r="F784" s="19"/>
      <c r="G784" s="19"/>
      <c r="P784" s="29"/>
      <c r="Q784" s="29"/>
      <c r="Y784" s="29"/>
      <c r="Z784" s="29"/>
      <c r="AA784" s="29"/>
      <c r="AB784" s="29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</row>
    <row r="785" spans="1:62" s="20" customFormat="1" x14ac:dyDescent="0.7">
      <c r="A785" s="17"/>
      <c r="B785" s="19"/>
      <c r="C785" s="19"/>
      <c r="D785" s="19"/>
      <c r="E785" s="19"/>
      <c r="F785" s="19"/>
      <c r="G785" s="19"/>
      <c r="P785" s="29"/>
      <c r="Q785" s="29"/>
      <c r="Y785" s="29"/>
      <c r="Z785" s="29"/>
      <c r="AA785" s="29"/>
      <c r="AB785" s="29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17"/>
      <c r="BH785" s="17"/>
      <c r="BI785" s="17"/>
      <c r="BJ785" s="17"/>
    </row>
    <row r="786" spans="1:62" s="20" customFormat="1" x14ac:dyDescent="0.7">
      <c r="A786" s="17"/>
      <c r="B786" s="19"/>
      <c r="C786" s="19"/>
      <c r="D786" s="19"/>
      <c r="E786" s="19"/>
      <c r="F786" s="19"/>
      <c r="G786" s="19"/>
      <c r="P786" s="29"/>
      <c r="Q786" s="29"/>
      <c r="Y786" s="29"/>
      <c r="Z786" s="29"/>
      <c r="AA786" s="29"/>
      <c r="AB786" s="29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</row>
    <row r="787" spans="1:62" s="20" customFormat="1" x14ac:dyDescent="0.7">
      <c r="A787" s="17"/>
      <c r="B787" s="19"/>
      <c r="C787" s="19"/>
      <c r="D787" s="19"/>
      <c r="E787" s="19"/>
      <c r="F787" s="19"/>
      <c r="G787" s="19"/>
      <c r="P787" s="29"/>
      <c r="Q787" s="29"/>
      <c r="Y787" s="29"/>
      <c r="Z787" s="29"/>
      <c r="AA787" s="29"/>
      <c r="AB787" s="29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</row>
    <row r="788" spans="1:62" s="20" customFormat="1" x14ac:dyDescent="0.7">
      <c r="A788" s="17"/>
      <c r="B788" s="19"/>
      <c r="C788" s="19"/>
      <c r="D788" s="19"/>
      <c r="E788" s="19"/>
      <c r="F788" s="19"/>
      <c r="G788" s="19"/>
      <c r="P788" s="29"/>
      <c r="Q788" s="29"/>
      <c r="Y788" s="29"/>
      <c r="Z788" s="29"/>
      <c r="AA788" s="29"/>
      <c r="AB788" s="29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/>
      <c r="BC788" s="17"/>
      <c r="BD788" s="17"/>
      <c r="BE788" s="17"/>
      <c r="BF788" s="17"/>
      <c r="BG788" s="17"/>
      <c r="BH788" s="17"/>
      <c r="BI788" s="17"/>
      <c r="BJ788" s="17"/>
    </row>
    <row r="789" spans="1:62" s="20" customFormat="1" x14ac:dyDescent="0.7">
      <c r="A789" s="17"/>
      <c r="B789" s="19"/>
      <c r="C789" s="19"/>
      <c r="D789" s="19"/>
      <c r="E789" s="19"/>
      <c r="F789" s="19"/>
      <c r="G789" s="19"/>
      <c r="P789" s="29"/>
      <c r="Q789" s="29"/>
      <c r="Y789" s="29"/>
      <c r="Z789" s="29"/>
      <c r="AA789" s="29"/>
      <c r="AB789" s="29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</row>
    <row r="790" spans="1:62" s="20" customFormat="1" x14ac:dyDescent="0.7">
      <c r="A790" s="17"/>
      <c r="B790" s="19"/>
      <c r="C790" s="19"/>
      <c r="D790" s="19"/>
      <c r="E790" s="19"/>
      <c r="F790" s="19"/>
      <c r="G790" s="19"/>
      <c r="P790" s="29"/>
      <c r="Q790" s="29"/>
      <c r="Y790" s="29"/>
      <c r="Z790" s="29"/>
      <c r="AA790" s="29"/>
      <c r="AB790" s="29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  <c r="BA790" s="17"/>
      <c r="BB790" s="17"/>
      <c r="BC790" s="17"/>
      <c r="BD790" s="17"/>
      <c r="BE790" s="17"/>
      <c r="BF790" s="17"/>
      <c r="BG790" s="17"/>
      <c r="BH790" s="17"/>
      <c r="BI790" s="17"/>
      <c r="BJ790" s="17"/>
    </row>
    <row r="791" spans="1:62" s="20" customFormat="1" x14ac:dyDescent="0.7">
      <c r="A791" s="17"/>
      <c r="B791" s="19"/>
      <c r="C791" s="19"/>
      <c r="D791" s="19"/>
      <c r="E791" s="19"/>
      <c r="F791" s="19"/>
      <c r="G791" s="19"/>
      <c r="P791" s="29"/>
      <c r="Q791" s="29"/>
      <c r="Y791" s="29"/>
      <c r="Z791" s="29"/>
      <c r="AA791" s="29"/>
      <c r="AB791" s="29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  <c r="BA791" s="17"/>
      <c r="BB791" s="17"/>
      <c r="BC791" s="17"/>
      <c r="BD791" s="17"/>
      <c r="BE791" s="17"/>
      <c r="BF791" s="17"/>
      <c r="BG791" s="17"/>
      <c r="BH791" s="17"/>
      <c r="BI791" s="17"/>
      <c r="BJ791" s="17"/>
    </row>
    <row r="792" spans="1:62" s="20" customFormat="1" x14ac:dyDescent="0.7">
      <c r="A792" s="17"/>
      <c r="B792" s="19"/>
      <c r="C792" s="19"/>
      <c r="D792" s="19"/>
      <c r="E792" s="19"/>
      <c r="F792" s="19"/>
      <c r="G792" s="19"/>
      <c r="P792" s="29"/>
      <c r="Q792" s="29"/>
      <c r="Y792" s="29"/>
      <c r="Z792" s="29"/>
      <c r="AA792" s="29"/>
      <c r="AB792" s="29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</row>
    <row r="793" spans="1:62" s="20" customFormat="1" x14ac:dyDescent="0.7">
      <c r="A793" s="17"/>
      <c r="B793" s="19"/>
      <c r="C793" s="19"/>
      <c r="D793" s="19"/>
      <c r="E793" s="19"/>
      <c r="F793" s="19"/>
      <c r="G793" s="19"/>
      <c r="P793" s="29"/>
      <c r="Q793" s="29"/>
      <c r="Y793" s="29"/>
      <c r="Z793" s="29"/>
      <c r="AA793" s="29"/>
      <c r="AB793" s="29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</row>
    <row r="794" spans="1:62" s="20" customFormat="1" x14ac:dyDescent="0.7">
      <c r="A794" s="17"/>
      <c r="B794" s="19"/>
      <c r="C794" s="19"/>
      <c r="D794" s="19"/>
      <c r="E794" s="19"/>
      <c r="F794" s="19"/>
      <c r="G794" s="19"/>
      <c r="P794" s="29"/>
      <c r="Q794" s="29"/>
      <c r="Y794" s="29"/>
      <c r="Z794" s="29"/>
      <c r="AA794" s="29"/>
      <c r="AB794" s="29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</row>
    <row r="795" spans="1:62" s="20" customFormat="1" x14ac:dyDescent="0.7">
      <c r="A795" s="17"/>
      <c r="B795" s="19"/>
      <c r="C795" s="19"/>
      <c r="D795" s="19"/>
      <c r="E795" s="19"/>
      <c r="F795" s="19"/>
      <c r="G795" s="19"/>
      <c r="P795" s="29"/>
      <c r="Q795" s="29"/>
      <c r="Y795" s="29"/>
      <c r="Z795" s="29"/>
      <c r="AA795" s="29"/>
      <c r="AB795" s="29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</row>
    <row r="796" spans="1:62" s="20" customFormat="1" x14ac:dyDescent="0.7">
      <c r="A796" s="17"/>
      <c r="B796" s="19"/>
      <c r="C796" s="19"/>
      <c r="D796" s="19"/>
      <c r="E796" s="19"/>
      <c r="F796" s="19"/>
      <c r="G796" s="19"/>
      <c r="P796" s="29"/>
      <c r="Q796" s="29"/>
      <c r="Y796" s="29"/>
      <c r="Z796" s="29"/>
      <c r="AA796" s="29"/>
      <c r="AB796" s="29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  <c r="BA796" s="17"/>
      <c r="BB796" s="17"/>
      <c r="BC796" s="17"/>
      <c r="BD796" s="17"/>
      <c r="BE796" s="17"/>
      <c r="BF796" s="17"/>
      <c r="BG796" s="17"/>
      <c r="BH796" s="17"/>
      <c r="BI796" s="17"/>
      <c r="BJ796" s="17"/>
    </row>
    <row r="797" spans="1:62" s="20" customFormat="1" x14ac:dyDescent="0.7">
      <c r="A797" s="17"/>
      <c r="B797" s="19"/>
      <c r="C797" s="19"/>
      <c r="D797" s="19"/>
      <c r="E797" s="19"/>
      <c r="F797" s="19"/>
      <c r="G797" s="19"/>
      <c r="P797" s="29"/>
      <c r="Q797" s="29"/>
      <c r="Y797" s="29"/>
      <c r="Z797" s="29"/>
      <c r="AA797" s="29"/>
      <c r="AB797" s="29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  <c r="BA797" s="17"/>
      <c r="BB797" s="17"/>
      <c r="BC797" s="17"/>
      <c r="BD797" s="17"/>
      <c r="BE797" s="17"/>
      <c r="BF797" s="17"/>
      <c r="BG797" s="17"/>
      <c r="BH797" s="17"/>
      <c r="BI797" s="17"/>
      <c r="BJ797" s="17"/>
    </row>
    <row r="798" spans="1:62" s="20" customFormat="1" x14ac:dyDescent="0.7">
      <c r="A798" s="17"/>
      <c r="B798" s="19"/>
      <c r="C798" s="19"/>
      <c r="D798" s="19"/>
      <c r="E798" s="19"/>
      <c r="F798" s="19"/>
      <c r="G798" s="19"/>
      <c r="P798" s="29"/>
      <c r="Q798" s="29"/>
      <c r="Y798" s="29"/>
      <c r="Z798" s="29"/>
      <c r="AA798" s="29"/>
      <c r="AB798" s="29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</row>
    <row r="799" spans="1:62" s="20" customFormat="1" x14ac:dyDescent="0.7">
      <c r="A799" s="17"/>
      <c r="B799" s="19"/>
      <c r="C799" s="19"/>
      <c r="D799" s="19"/>
      <c r="E799" s="19"/>
      <c r="F799" s="19"/>
      <c r="G799" s="19"/>
      <c r="P799" s="29"/>
      <c r="Q799" s="29"/>
      <c r="Y799" s="29"/>
      <c r="Z799" s="29"/>
      <c r="AA799" s="29"/>
      <c r="AB799" s="29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</row>
    <row r="800" spans="1:62" s="20" customFormat="1" x14ac:dyDescent="0.7">
      <c r="A800" s="17"/>
      <c r="B800" s="19"/>
      <c r="C800" s="19"/>
      <c r="D800" s="19"/>
      <c r="E800" s="19"/>
      <c r="F800" s="19"/>
      <c r="G800" s="19"/>
      <c r="P800" s="29"/>
      <c r="Q800" s="29"/>
      <c r="Y800" s="29"/>
      <c r="Z800" s="29"/>
      <c r="AA800" s="29"/>
      <c r="AB800" s="29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</row>
    <row r="801" spans="1:62" s="20" customFormat="1" x14ac:dyDescent="0.7">
      <c r="A801" s="17"/>
      <c r="B801" s="19"/>
      <c r="C801" s="19"/>
      <c r="D801" s="19"/>
      <c r="E801" s="19"/>
      <c r="F801" s="19"/>
      <c r="G801" s="19"/>
      <c r="P801" s="29"/>
      <c r="Q801" s="29"/>
      <c r="Y801" s="29"/>
      <c r="Z801" s="29"/>
      <c r="AA801" s="29"/>
      <c r="AB801" s="29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</row>
    <row r="802" spans="1:62" s="20" customFormat="1" x14ac:dyDescent="0.7">
      <c r="A802" s="17"/>
      <c r="B802" s="19"/>
      <c r="C802" s="19"/>
      <c r="D802" s="19"/>
      <c r="E802" s="19"/>
      <c r="F802" s="19"/>
      <c r="G802" s="19"/>
      <c r="P802" s="29"/>
      <c r="Q802" s="29"/>
      <c r="Y802" s="29"/>
      <c r="Z802" s="29"/>
      <c r="AA802" s="29"/>
      <c r="AB802" s="29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  <c r="BA802" s="17"/>
      <c r="BB802" s="17"/>
      <c r="BC802" s="17"/>
      <c r="BD802" s="17"/>
      <c r="BE802" s="17"/>
      <c r="BF802" s="17"/>
      <c r="BG802" s="17"/>
      <c r="BH802" s="17"/>
      <c r="BI802" s="17"/>
      <c r="BJ802" s="17"/>
    </row>
    <row r="803" spans="1:62" s="20" customFormat="1" x14ac:dyDescent="0.7">
      <c r="A803" s="17"/>
      <c r="B803" s="19"/>
      <c r="C803" s="19"/>
      <c r="D803" s="19"/>
      <c r="E803" s="19"/>
      <c r="F803" s="19"/>
      <c r="G803" s="19"/>
      <c r="P803" s="29"/>
      <c r="Q803" s="29"/>
      <c r="Y803" s="29"/>
      <c r="Z803" s="29"/>
      <c r="AA803" s="29"/>
      <c r="AB803" s="29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</row>
    <row r="804" spans="1:62" s="20" customFormat="1" x14ac:dyDescent="0.7">
      <c r="A804" s="17"/>
      <c r="B804" s="19"/>
      <c r="C804" s="19"/>
      <c r="D804" s="19"/>
      <c r="E804" s="19"/>
      <c r="F804" s="19"/>
      <c r="G804" s="19"/>
      <c r="P804" s="29"/>
      <c r="Q804" s="29"/>
      <c r="Y804" s="29"/>
      <c r="Z804" s="29"/>
      <c r="AA804" s="29"/>
      <c r="AB804" s="29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</row>
    <row r="805" spans="1:62" s="20" customFormat="1" x14ac:dyDescent="0.7">
      <c r="A805" s="17"/>
      <c r="B805" s="19"/>
      <c r="C805" s="19"/>
      <c r="D805" s="19"/>
      <c r="E805" s="19"/>
      <c r="F805" s="19"/>
      <c r="G805" s="19"/>
      <c r="P805" s="29"/>
      <c r="Q805" s="29"/>
      <c r="Y805" s="29"/>
      <c r="Z805" s="29"/>
      <c r="AA805" s="29"/>
      <c r="AB805" s="29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</row>
    <row r="806" spans="1:62" s="20" customFormat="1" x14ac:dyDescent="0.7">
      <c r="A806" s="17"/>
      <c r="B806" s="19"/>
      <c r="C806" s="19"/>
      <c r="D806" s="19"/>
      <c r="E806" s="19"/>
      <c r="F806" s="19"/>
      <c r="G806" s="19"/>
      <c r="P806" s="29"/>
      <c r="Q806" s="29"/>
      <c r="Y806" s="29"/>
      <c r="Z806" s="29"/>
      <c r="AA806" s="29"/>
      <c r="AB806" s="29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</row>
    <row r="807" spans="1:62" s="20" customFormat="1" x14ac:dyDescent="0.7">
      <c r="A807" s="17"/>
      <c r="B807" s="19"/>
      <c r="C807" s="19"/>
      <c r="D807" s="19"/>
      <c r="E807" s="19"/>
      <c r="F807" s="19"/>
      <c r="G807" s="19"/>
      <c r="P807" s="29"/>
      <c r="Q807" s="29"/>
      <c r="Y807" s="29"/>
      <c r="Z807" s="29"/>
      <c r="AA807" s="29"/>
      <c r="AB807" s="29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</row>
    <row r="808" spans="1:62" s="20" customFormat="1" x14ac:dyDescent="0.7">
      <c r="A808" s="17"/>
      <c r="B808" s="19"/>
      <c r="C808" s="19"/>
      <c r="D808" s="19"/>
      <c r="E808" s="19"/>
      <c r="F808" s="19"/>
      <c r="G808" s="19"/>
      <c r="P808" s="29"/>
      <c r="Q808" s="29"/>
      <c r="Y808" s="29"/>
      <c r="Z808" s="29"/>
      <c r="AA808" s="29"/>
      <c r="AB808" s="29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</row>
    <row r="809" spans="1:62" s="20" customFormat="1" x14ac:dyDescent="0.7">
      <c r="A809" s="17"/>
      <c r="B809" s="19"/>
      <c r="C809" s="19"/>
      <c r="D809" s="19"/>
      <c r="E809" s="19"/>
      <c r="F809" s="19"/>
      <c r="G809" s="19"/>
      <c r="P809" s="29"/>
      <c r="Q809" s="29"/>
      <c r="Y809" s="29"/>
      <c r="Z809" s="29"/>
      <c r="AA809" s="29"/>
      <c r="AB809" s="29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  <c r="BA809" s="17"/>
      <c r="BB809" s="17"/>
      <c r="BC809" s="17"/>
      <c r="BD809" s="17"/>
      <c r="BE809" s="17"/>
      <c r="BF809" s="17"/>
      <c r="BG809" s="17"/>
      <c r="BH809" s="17"/>
      <c r="BI809" s="17"/>
      <c r="BJ809" s="17"/>
    </row>
    <row r="810" spans="1:62" s="20" customFormat="1" x14ac:dyDescent="0.7">
      <c r="A810" s="17"/>
      <c r="B810" s="19"/>
      <c r="C810" s="19"/>
      <c r="D810" s="19"/>
      <c r="E810" s="19"/>
      <c r="F810" s="19"/>
      <c r="G810" s="19"/>
      <c r="P810" s="29"/>
      <c r="Q810" s="29"/>
      <c r="Y810" s="29"/>
      <c r="Z810" s="29"/>
      <c r="AA810" s="29"/>
      <c r="AB810" s="29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17"/>
      <c r="BH810" s="17"/>
      <c r="BI810" s="17"/>
      <c r="BJ810" s="17"/>
    </row>
    <row r="811" spans="1:62" s="20" customFormat="1" x14ac:dyDescent="0.7">
      <c r="A811" s="17"/>
      <c r="B811" s="19"/>
      <c r="C811" s="19"/>
      <c r="D811" s="19"/>
      <c r="E811" s="19"/>
      <c r="F811" s="19"/>
      <c r="G811" s="19"/>
      <c r="P811" s="29"/>
      <c r="Q811" s="29"/>
      <c r="Y811" s="29"/>
      <c r="Z811" s="29"/>
      <c r="AA811" s="29"/>
      <c r="AB811" s="29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  <c r="BA811" s="17"/>
      <c r="BB811" s="17"/>
      <c r="BC811" s="17"/>
      <c r="BD811" s="17"/>
      <c r="BE811" s="17"/>
      <c r="BF811" s="17"/>
      <c r="BG811" s="17"/>
      <c r="BH811" s="17"/>
      <c r="BI811" s="17"/>
      <c r="BJ811" s="17"/>
    </row>
    <row r="812" spans="1:62" s="20" customFormat="1" x14ac:dyDescent="0.7">
      <c r="A812" s="17"/>
      <c r="B812" s="19"/>
      <c r="C812" s="19"/>
      <c r="D812" s="19"/>
      <c r="E812" s="19"/>
      <c r="F812" s="19"/>
      <c r="G812" s="19"/>
      <c r="P812" s="29"/>
      <c r="Q812" s="29"/>
      <c r="Y812" s="29"/>
      <c r="Z812" s="29"/>
      <c r="AA812" s="29"/>
      <c r="AB812" s="29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</row>
    <row r="813" spans="1:62" s="20" customFormat="1" x14ac:dyDescent="0.7">
      <c r="A813" s="17"/>
      <c r="B813" s="19"/>
      <c r="C813" s="19"/>
      <c r="D813" s="19"/>
      <c r="E813" s="19"/>
      <c r="F813" s="19"/>
      <c r="G813" s="19"/>
      <c r="P813" s="29"/>
      <c r="Q813" s="29"/>
      <c r="Y813" s="29"/>
      <c r="Z813" s="29"/>
      <c r="AA813" s="29"/>
      <c r="AB813" s="29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</row>
    <row r="814" spans="1:62" s="20" customFormat="1" x14ac:dyDescent="0.7">
      <c r="A814" s="17"/>
      <c r="B814" s="19"/>
      <c r="C814" s="19"/>
      <c r="D814" s="19"/>
      <c r="E814" s="19"/>
      <c r="F814" s="19"/>
      <c r="G814" s="19"/>
      <c r="P814" s="29"/>
      <c r="Q814" s="29"/>
      <c r="Y814" s="29"/>
      <c r="Z814" s="29"/>
      <c r="AA814" s="29"/>
      <c r="AB814" s="29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  <c r="BA814" s="17"/>
      <c r="BB814" s="17"/>
      <c r="BC814" s="17"/>
      <c r="BD814" s="17"/>
      <c r="BE814" s="17"/>
      <c r="BF814" s="17"/>
      <c r="BG814" s="17"/>
      <c r="BH814" s="17"/>
      <c r="BI814" s="17"/>
      <c r="BJ814" s="17"/>
    </row>
    <row r="815" spans="1:62" s="20" customFormat="1" x14ac:dyDescent="0.7">
      <c r="A815" s="17"/>
      <c r="B815" s="19"/>
      <c r="C815" s="19"/>
      <c r="D815" s="19"/>
      <c r="E815" s="19"/>
      <c r="F815" s="19"/>
      <c r="G815" s="19"/>
      <c r="P815" s="29"/>
      <c r="Q815" s="29"/>
      <c r="Y815" s="29"/>
      <c r="Z815" s="29"/>
      <c r="AA815" s="29"/>
      <c r="AB815" s="29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</row>
    <row r="816" spans="1:62" s="20" customFormat="1" x14ac:dyDescent="0.7">
      <c r="A816" s="17"/>
      <c r="B816" s="19"/>
      <c r="C816" s="19"/>
      <c r="D816" s="19"/>
      <c r="E816" s="19"/>
      <c r="F816" s="19"/>
      <c r="G816" s="19"/>
      <c r="P816" s="29"/>
      <c r="Q816" s="29"/>
      <c r="Y816" s="29"/>
      <c r="Z816" s="29"/>
      <c r="AA816" s="29"/>
      <c r="AB816" s="29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</row>
    <row r="817" spans="1:62" s="20" customFormat="1" x14ac:dyDescent="0.7">
      <c r="A817" s="17"/>
      <c r="B817" s="19"/>
      <c r="C817" s="19"/>
      <c r="D817" s="19"/>
      <c r="E817" s="19"/>
      <c r="F817" s="19"/>
      <c r="G817" s="19"/>
      <c r="P817" s="29"/>
      <c r="Q817" s="29"/>
      <c r="Y817" s="29"/>
      <c r="Z817" s="29"/>
      <c r="AA817" s="29"/>
      <c r="AB817" s="29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  <c r="BA817" s="17"/>
      <c r="BB817" s="17"/>
      <c r="BC817" s="17"/>
      <c r="BD817" s="17"/>
      <c r="BE817" s="17"/>
      <c r="BF817" s="17"/>
      <c r="BG817" s="17"/>
      <c r="BH817" s="17"/>
      <c r="BI817" s="17"/>
      <c r="BJ817" s="17"/>
    </row>
    <row r="818" spans="1:62" s="20" customFormat="1" x14ac:dyDescent="0.7">
      <c r="A818" s="17"/>
      <c r="B818" s="19"/>
      <c r="C818" s="19"/>
      <c r="D818" s="19"/>
      <c r="E818" s="19"/>
      <c r="F818" s="19"/>
      <c r="G818" s="19"/>
      <c r="P818" s="29"/>
      <c r="Q818" s="29"/>
      <c r="Y818" s="29"/>
      <c r="Z818" s="29"/>
      <c r="AA818" s="29"/>
      <c r="AB818" s="29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  <c r="BA818" s="17"/>
      <c r="BB818" s="17"/>
      <c r="BC818" s="17"/>
      <c r="BD818" s="17"/>
      <c r="BE818" s="17"/>
      <c r="BF818" s="17"/>
      <c r="BG818" s="17"/>
      <c r="BH818" s="17"/>
      <c r="BI818" s="17"/>
      <c r="BJ818" s="17"/>
    </row>
    <row r="819" spans="1:62" s="20" customFormat="1" x14ac:dyDescent="0.7">
      <c r="A819" s="17"/>
      <c r="B819" s="19"/>
      <c r="C819" s="19"/>
      <c r="D819" s="19"/>
      <c r="E819" s="19"/>
      <c r="F819" s="19"/>
      <c r="G819" s="19"/>
      <c r="P819" s="29"/>
      <c r="Q819" s="29"/>
      <c r="Y819" s="29"/>
      <c r="Z819" s="29"/>
      <c r="AA819" s="29"/>
      <c r="AB819" s="29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  <c r="BA819" s="17"/>
      <c r="BB819" s="17"/>
      <c r="BC819" s="17"/>
      <c r="BD819" s="17"/>
      <c r="BE819" s="17"/>
      <c r="BF819" s="17"/>
      <c r="BG819" s="17"/>
      <c r="BH819" s="17"/>
      <c r="BI819" s="17"/>
      <c r="BJ819" s="17"/>
    </row>
    <row r="820" spans="1:62" s="20" customFormat="1" x14ac:dyDescent="0.7">
      <c r="A820" s="17"/>
      <c r="B820" s="19"/>
      <c r="C820" s="19"/>
      <c r="D820" s="19"/>
      <c r="E820" s="19"/>
      <c r="F820" s="19"/>
      <c r="G820" s="19"/>
      <c r="P820" s="29"/>
      <c r="Q820" s="29"/>
      <c r="Y820" s="29"/>
      <c r="Z820" s="29"/>
      <c r="AA820" s="29"/>
      <c r="AB820" s="29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  <c r="BA820" s="17"/>
      <c r="BB820" s="17"/>
      <c r="BC820" s="17"/>
      <c r="BD820" s="17"/>
      <c r="BE820" s="17"/>
      <c r="BF820" s="17"/>
      <c r="BG820" s="17"/>
      <c r="BH820" s="17"/>
      <c r="BI820" s="17"/>
      <c r="BJ820" s="17"/>
    </row>
    <row r="821" spans="1:62" s="20" customFormat="1" x14ac:dyDescent="0.7">
      <c r="A821" s="17"/>
      <c r="B821" s="19"/>
      <c r="C821" s="19"/>
      <c r="D821" s="19"/>
      <c r="E821" s="19"/>
      <c r="F821" s="19"/>
      <c r="G821" s="19"/>
      <c r="P821" s="29"/>
      <c r="Q821" s="29"/>
      <c r="Y821" s="29"/>
      <c r="Z821" s="29"/>
      <c r="AA821" s="29"/>
      <c r="AB821" s="29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  <c r="BA821" s="17"/>
      <c r="BB821" s="17"/>
      <c r="BC821" s="17"/>
      <c r="BD821" s="17"/>
      <c r="BE821" s="17"/>
      <c r="BF821" s="17"/>
      <c r="BG821" s="17"/>
      <c r="BH821" s="17"/>
      <c r="BI821" s="17"/>
      <c r="BJ821" s="17"/>
    </row>
    <row r="822" spans="1:62" s="20" customFormat="1" x14ac:dyDescent="0.7">
      <c r="A822" s="17"/>
      <c r="B822" s="19"/>
      <c r="C822" s="19"/>
      <c r="D822" s="19"/>
      <c r="E822" s="19"/>
      <c r="F822" s="19"/>
      <c r="G822" s="19"/>
      <c r="P822" s="29"/>
      <c r="Q822" s="29"/>
      <c r="Y822" s="29"/>
      <c r="Z822" s="29"/>
      <c r="AA822" s="29"/>
      <c r="AB822" s="29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/>
      <c r="BG822" s="17"/>
      <c r="BH822" s="17"/>
      <c r="BI822" s="17"/>
      <c r="BJ822" s="17"/>
    </row>
    <row r="823" spans="1:62" s="20" customFormat="1" x14ac:dyDescent="0.7">
      <c r="A823" s="17"/>
      <c r="B823" s="19"/>
      <c r="C823" s="19"/>
      <c r="D823" s="19"/>
      <c r="E823" s="19"/>
      <c r="F823" s="19"/>
      <c r="G823" s="19"/>
      <c r="P823" s="29"/>
      <c r="Q823" s="29"/>
      <c r="Y823" s="29"/>
      <c r="Z823" s="29"/>
      <c r="AA823" s="29"/>
      <c r="AB823" s="29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</row>
    <row r="824" spans="1:62" s="20" customFormat="1" x14ac:dyDescent="0.7">
      <c r="A824" s="17"/>
      <c r="B824" s="19"/>
      <c r="C824" s="19"/>
      <c r="D824" s="19"/>
      <c r="E824" s="19"/>
      <c r="F824" s="19"/>
      <c r="G824" s="19"/>
      <c r="P824" s="29"/>
      <c r="Q824" s="29"/>
      <c r="Y824" s="29"/>
      <c r="Z824" s="29"/>
      <c r="AA824" s="29"/>
      <c r="AB824" s="29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  <c r="BA824" s="17"/>
      <c r="BB824" s="17"/>
      <c r="BC824" s="17"/>
      <c r="BD824" s="17"/>
      <c r="BE824" s="17"/>
      <c r="BF824" s="17"/>
      <c r="BG824" s="17"/>
      <c r="BH824" s="17"/>
      <c r="BI824" s="17"/>
      <c r="BJ824" s="17"/>
    </row>
    <row r="825" spans="1:62" s="20" customFormat="1" x14ac:dyDescent="0.7">
      <c r="A825" s="17"/>
      <c r="B825" s="19"/>
      <c r="C825" s="19"/>
      <c r="D825" s="19"/>
      <c r="E825" s="19"/>
      <c r="F825" s="19"/>
      <c r="G825" s="19"/>
      <c r="P825" s="29"/>
      <c r="Q825" s="29"/>
      <c r="Y825" s="29"/>
      <c r="Z825" s="29"/>
      <c r="AA825" s="29"/>
      <c r="AB825" s="29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17"/>
      <c r="BH825" s="17"/>
      <c r="BI825" s="17"/>
      <c r="BJ825" s="17"/>
    </row>
    <row r="826" spans="1:62" s="20" customFormat="1" x14ac:dyDescent="0.7">
      <c r="A826" s="17"/>
      <c r="B826" s="19"/>
      <c r="C826" s="19"/>
      <c r="D826" s="19"/>
      <c r="E826" s="19"/>
      <c r="F826" s="19"/>
      <c r="G826" s="19"/>
      <c r="P826" s="29"/>
      <c r="Q826" s="29"/>
      <c r="Y826" s="29"/>
      <c r="Z826" s="29"/>
      <c r="AA826" s="29"/>
      <c r="AB826" s="29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17"/>
      <c r="BH826" s="17"/>
      <c r="BI826" s="17"/>
      <c r="BJ826" s="17"/>
    </row>
    <row r="827" spans="1:62" s="20" customFormat="1" x14ac:dyDescent="0.7">
      <c r="A827" s="17"/>
      <c r="B827" s="19"/>
      <c r="C827" s="19"/>
      <c r="D827" s="19"/>
      <c r="E827" s="19"/>
      <c r="F827" s="19"/>
      <c r="G827" s="19"/>
      <c r="P827" s="29"/>
      <c r="Q827" s="29"/>
      <c r="Y827" s="29"/>
      <c r="Z827" s="29"/>
      <c r="AA827" s="29"/>
      <c r="AB827" s="29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</row>
    <row r="828" spans="1:62" s="20" customFormat="1" x14ac:dyDescent="0.7">
      <c r="A828" s="17"/>
      <c r="B828" s="19"/>
      <c r="C828" s="19"/>
      <c r="D828" s="19"/>
      <c r="E828" s="19"/>
      <c r="F828" s="19"/>
      <c r="G828" s="19"/>
      <c r="P828" s="29"/>
      <c r="Q828" s="29"/>
      <c r="Y828" s="29"/>
      <c r="Z828" s="29"/>
      <c r="AA828" s="29"/>
      <c r="AB828" s="29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</row>
    <row r="829" spans="1:62" s="20" customFormat="1" x14ac:dyDescent="0.7">
      <c r="A829" s="17"/>
      <c r="B829" s="19"/>
      <c r="C829" s="19"/>
      <c r="D829" s="19"/>
      <c r="E829" s="19"/>
      <c r="F829" s="19"/>
      <c r="G829" s="19"/>
      <c r="P829" s="29"/>
      <c r="Q829" s="29"/>
      <c r="Y829" s="29"/>
      <c r="Z829" s="29"/>
      <c r="AA829" s="29"/>
      <c r="AB829" s="29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  <c r="BA829" s="17"/>
      <c r="BB829" s="17"/>
      <c r="BC829" s="17"/>
      <c r="BD829" s="17"/>
      <c r="BE829" s="17"/>
      <c r="BF829" s="17"/>
      <c r="BG829" s="17"/>
      <c r="BH829" s="17"/>
      <c r="BI829" s="17"/>
      <c r="BJ829" s="17"/>
    </row>
    <row r="830" spans="1:62" s="20" customFormat="1" x14ac:dyDescent="0.7">
      <c r="A830" s="17"/>
      <c r="B830" s="19"/>
      <c r="C830" s="19"/>
      <c r="D830" s="19"/>
      <c r="E830" s="19"/>
      <c r="F830" s="19"/>
      <c r="G830" s="19"/>
      <c r="P830" s="29"/>
      <c r="Q830" s="29"/>
      <c r="Y830" s="29"/>
      <c r="Z830" s="29"/>
      <c r="AA830" s="29"/>
      <c r="AB830" s="29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/>
      <c r="BE830" s="17"/>
      <c r="BF830" s="17"/>
      <c r="BG830" s="17"/>
      <c r="BH830" s="17"/>
      <c r="BI830" s="17"/>
      <c r="BJ830" s="17"/>
    </row>
    <row r="831" spans="1:62" s="20" customFormat="1" x14ac:dyDescent="0.7">
      <c r="A831" s="17"/>
      <c r="B831" s="19"/>
      <c r="C831" s="19"/>
      <c r="D831" s="19"/>
      <c r="E831" s="19"/>
      <c r="F831" s="19"/>
      <c r="G831" s="19"/>
      <c r="P831" s="29"/>
      <c r="Q831" s="29"/>
      <c r="Y831" s="29"/>
      <c r="Z831" s="29"/>
      <c r="AA831" s="29"/>
      <c r="AB831" s="29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</row>
    <row r="832" spans="1:62" s="20" customFormat="1" x14ac:dyDescent="0.7">
      <c r="A832" s="17"/>
      <c r="B832" s="19"/>
      <c r="C832" s="19"/>
      <c r="D832" s="19"/>
      <c r="E832" s="19"/>
      <c r="F832" s="19"/>
      <c r="G832" s="19"/>
      <c r="P832" s="29"/>
      <c r="Q832" s="29"/>
      <c r="Y832" s="29"/>
      <c r="Z832" s="29"/>
      <c r="AA832" s="29"/>
      <c r="AB832" s="29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</row>
    <row r="833" spans="1:62" s="20" customFormat="1" x14ac:dyDescent="0.7">
      <c r="A833" s="17"/>
      <c r="B833" s="19"/>
      <c r="C833" s="19"/>
      <c r="D833" s="19"/>
      <c r="E833" s="19"/>
      <c r="F833" s="19"/>
      <c r="G833" s="19"/>
      <c r="P833" s="29"/>
      <c r="Q833" s="29"/>
      <c r="Y833" s="29"/>
      <c r="Z833" s="29"/>
      <c r="AA833" s="29"/>
      <c r="AB833" s="29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</row>
    <row r="834" spans="1:62" s="20" customFormat="1" x14ac:dyDescent="0.7">
      <c r="A834" s="17"/>
      <c r="B834" s="19"/>
      <c r="C834" s="19"/>
      <c r="D834" s="19"/>
      <c r="E834" s="19"/>
      <c r="F834" s="19"/>
      <c r="G834" s="19"/>
      <c r="P834" s="29"/>
      <c r="Q834" s="29"/>
      <c r="Y834" s="29"/>
      <c r="Z834" s="29"/>
      <c r="AA834" s="29"/>
      <c r="AB834" s="29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</row>
    <row r="835" spans="1:62" s="20" customFormat="1" x14ac:dyDescent="0.7">
      <c r="A835" s="17"/>
      <c r="B835" s="19"/>
      <c r="C835" s="19"/>
      <c r="D835" s="19"/>
      <c r="E835" s="19"/>
      <c r="F835" s="19"/>
      <c r="G835" s="19"/>
      <c r="P835" s="29"/>
      <c r="Q835" s="29"/>
      <c r="Y835" s="29"/>
      <c r="Z835" s="29"/>
      <c r="AA835" s="29"/>
      <c r="AB835" s="29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</row>
    <row r="836" spans="1:62" s="20" customFormat="1" x14ac:dyDescent="0.7">
      <c r="A836" s="17"/>
      <c r="B836" s="19"/>
      <c r="C836" s="19"/>
      <c r="D836" s="19"/>
      <c r="E836" s="19"/>
      <c r="F836" s="19"/>
      <c r="G836" s="19"/>
      <c r="P836" s="29"/>
      <c r="Q836" s="29"/>
      <c r="Y836" s="29"/>
      <c r="Z836" s="29"/>
      <c r="AA836" s="29"/>
      <c r="AB836" s="29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</row>
    <row r="837" spans="1:62" s="20" customFormat="1" x14ac:dyDescent="0.7">
      <c r="A837" s="17"/>
      <c r="B837" s="19"/>
      <c r="C837" s="19"/>
      <c r="D837" s="19"/>
      <c r="E837" s="19"/>
      <c r="F837" s="19"/>
      <c r="G837" s="19"/>
      <c r="P837" s="29"/>
      <c r="Q837" s="29"/>
      <c r="Y837" s="29"/>
      <c r="Z837" s="29"/>
      <c r="AA837" s="29"/>
      <c r="AB837" s="29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</row>
    <row r="838" spans="1:62" s="20" customFormat="1" x14ac:dyDescent="0.7">
      <c r="A838" s="17"/>
      <c r="B838" s="19"/>
      <c r="C838" s="19"/>
      <c r="D838" s="19"/>
      <c r="E838" s="19"/>
      <c r="F838" s="19"/>
      <c r="G838" s="19"/>
      <c r="P838" s="29"/>
      <c r="Q838" s="29"/>
      <c r="Y838" s="29"/>
      <c r="Z838" s="29"/>
      <c r="AA838" s="29"/>
      <c r="AB838" s="29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/>
      <c r="BC838" s="17"/>
      <c r="BD838" s="17"/>
      <c r="BE838" s="17"/>
      <c r="BF838" s="17"/>
      <c r="BG838" s="17"/>
      <c r="BH838" s="17"/>
      <c r="BI838" s="17"/>
      <c r="BJ838" s="17"/>
    </row>
    <row r="839" spans="1:62" s="20" customFormat="1" x14ac:dyDescent="0.7">
      <c r="A839" s="17"/>
      <c r="B839" s="19"/>
      <c r="C839" s="19"/>
      <c r="D839" s="19"/>
      <c r="E839" s="19"/>
      <c r="F839" s="19"/>
      <c r="G839" s="19"/>
      <c r="P839" s="29"/>
      <c r="Q839" s="29"/>
      <c r="Y839" s="29"/>
      <c r="Z839" s="29"/>
      <c r="AA839" s="29"/>
      <c r="AB839" s="29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</row>
    <row r="840" spans="1:62" s="20" customFormat="1" x14ac:dyDescent="0.7">
      <c r="A840" s="17"/>
      <c r="B840" s="19"/>
      <c r="C840" s="19"/>
      <c r="D840" s="19"/>
      <c r="E840" s="19"/>
      <c r="F840" s="19"/>
      <c r="G840" s="19"/>
      <c r="P840" s="29"/>
      <c r="Q840" s="29"/>
      <c r="Y840" s="29"/>
      <c r="Z840" s="29"/>
      <c r="AA840" s="29"/>
      <c r="AB840" s="29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  <c r="BA840" s="17"/>
      <c r="BB840" s="17"/>
      <c r="BC840" s="17"/>
      <c r="BD840" s="17"/>
      <c r="BE840" s="17"/>
      <c r="BF840" s="17"/>
      <c r="BG840" s="17"/>
      <c r="BH840" s="17"/>
      <c r="BI840" s="17"/>
      <c r="BJ840" s="17"/>
    </row>
    <row r="841" spans="1:62" s="20" customFormat="1" x14ac:dyDescent="0.7">
      <c r="A841" s="17"/>
      <c r="B841" s="19"/>
      <c r="C841" s="19"/>
      <c r="D841" s="19"/>
      <c r="E841" s="19"/>
      <c r="F841" s="19"/>
      <c r="G841" s="19"/>
      <c r="P841" s="29"/>
      <c r="Q841" s="29"/>
      <c r="Y841" s="29"/>
      <c r="Z841" s="29"/>
      <c r="AA841" s="29"/>
      <c r="AB841" s="29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</row>
    <row r="842" spans="1:62" s="20" customFormat="1" x14ac:dyDescent="0.7">
      <c r="A842" s="17"/>
      <c r="B842" s="19"/>
      <c r="C842" s="19"/>
      <c r="D842" s="19"/>
      <c r="E842" s="19"/>
      <c r="F842" s="19"/>
      <c r="G842" s="19"/>
      <c r="P842" s="29"/>
      <c r="Q842" s="29"/>
      <c r="Y842" s="29"/>
      <c r="Z842" s="29"/>
      <c r="AA842" s="29"/>
      <c r="AB842" s="29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</row>
    <row r="843" spans="1:62" s="20" customFormat="1" x14ac:dyDescent="0.7">
      <c r="A843" s="17"/>
      <c r="B843" s="19"/>
      <c r="C843" s="19"/>
      <c r="D843" s="19"/>
      <c r="E843" s="19"/>
      <c r="F843" s="19"/>
      <c r="G843" s="19"/>
      <c r="P843" s="29"/>
      <c r="Q843" s="29"/>
      <c r="Y843" s="29"/>
      <c r="Z843" s="29"/>
      <c r="AA843" s="29"/>
      <c r="AB843" s="29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</row>
    <row r="844" spans="1:62" s="20" customFormat="1" x14ac:dyDescent="0.7">
      <c r="A844" s="17"/>
      <c r="B844" s="19"/>
      <c r="C844" s="19"/>
      <c r="D844" s="19"/>
      <c r="E844" s="19"/>
      <c r="F844" s="19"/>
      <c r="G844" s="19"/>
      <c r="P844" s="29"/>
      <c r="Q844" s="29"/>
      <c r="Y844" s="29"/>
      <c r="Z844" s="29"/>
      <c r="AA844" s="29"/>
      <c r="AB844" s="29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17"/>
      <c r="BH844" s="17"/>
      <c r="BI844" s="17"/>
      <c r="BJ844" s="17"/>
    </row>
    <row r="845" spans="1:62" s="20" customFormat="1" x14ac:dyDescent="0.7">
      <c r="A845" s="17"/>
      <c r="B845" s="19"/>
      <c r="C845" s="19"/>
      <c r="D845" s="19"/>
      <c r="E845" s="19"/>
      <c r="F845" s="19"/>
      <c r="G845" s="19"/>
      <c r="P845" s="29"/>
      <c r="Q845" s="29"/>
      <c r="Y845" s="29"/>
      <c r="Z845" s="29"/>
      <c r="AA845" s="29"/>
      <c r="AB845" s="29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</row>
    <row r="846" spans="1:62" s="20" customFormat="1" x14ac:dyDescent="0.7">
      <c r="A846" s="17"/>
      <c r="B846" s="19"/>
      <c r="C846" s="19"/>
      <c r="D846" s="19"/>
      <c r="E846" s="19"/>
      <c r="F846" s="19"/>
      <c r="G846" s="19"/>
      <c r="P846" s="29"/>
      <c r="Q846" s="29"/>
      <c r="Y846" s="29"/>
      <c r="Z846" s="29"/>
      <c r="AA846" s="29"/>
      <c r="AB846" s="29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/>
      <c r="BG846" s="17"/>
      <c r="BH846" s="17"/>
      <c r="BI846" s="17"/>
      <c r="BJ846" s="17"/>
    </row>
    <row r="847" spans="1:62" s="20" customFormat="1" x14ac:dyDescent="0.7">
      <c r="A847" s="17"/>
      <c r="B847" s="19"/>
      <c r="C847" s="19"/>
      <c r="D847" s="19"/>
      <c r="E847" s="19"/>
      <c r="F847" s="19"/>
      <c r="G847" s="19"/>
      <c r="P847" s="29"/>
      <c r="Q847" s="29"/>
      <c r="Y847" s="29"/>
      <c r="Z847" s="29"/>
      <c r="AA847" s="29"/>
      <c r="AB847" s="29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  <c r="BA847" s="17"/>
      <c r="BB847" s="17"/>
      <c r="BC847" s="17"/>
      <c r="BD847" s="17"/>
      <c r="BE847" s="17"/>
      <c r="BF847" s="17"/>
      <c r="BG847" s="17"/>
      <c r="BH847" s="17"/>
      <c r="BI847" s="17"/>
      <c r="BJ847" s="17"/>
    </row>
    <row r="848" spans="1:62" s="20" customFormat="1" x14ac:dyDescent="0.7">
      <c r="A848" s="17"/>
      <c r="B848" s="19"/>
      <c r="C848" s="19"/>
      <c r="D848" s="19"/>
      <c r="E848" s="19"/>
      <c r="F848" s="19"/>
      <c r="G848" s="19"/>
      <c r="P848" s="29"/>
      <c r="Q848" s="29"/>
      <c r="Y848" s="29"/>
      <c r="Z848" s="29"/>
      <c r="AA848" s="29"/>
      <c r="AB848" s="29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  <c r="BA848" s="17"/>
      <c r="BB848" s="17"/>
      <c r="BC848" s="17"/>
      <c r="BD848" s="17"/>
      <c r="BE848" s="17"/>
      <c r="BF848" s="17"/>
      <c r="BG848" s="17"/>
      <c r="BH848" s="17"/>
      <c r="BI848" s="17"/>
      <c r="BJ848" s="17"/>
    </row>
    <row r="849" spans="1:62" s="20" customFormat="1" x14ac:dyDescent="0.7">
      <c r="A849" s="17"/>
      <c r="B849" s="19"/>
      <c r="C849" s="19"/>
      <c r="D849" s="19"/>
      <c r="E849" s="19"/>
      <c r="F849" s="19"/>
      <c r="G849" s="19"/>
      <c r="P849" s="29"/>
      <c r="Q849" s="29"/>
      <c r="Y849" s="29"/>
      <c r="Z849" s="29"/>
      <c r="AA849" s="29"/>
      <c r="AB849" s="29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  <c r="BA849" s="17"/>
      <c r="BB849" s="17"/>
      <c r="BC849" s="17"/>
      <c r="BD849" s="17"/>
      <c r="BE849" s="17"/>
      <c r="BF849" s="17"/>
      <c r="BG849" s="17"/>
      <c r="BH849" s="17"/>
      <c r="BI849" s="17"/>
      <c r="BJ849" s="17"/>
    </row>
    <row r="850" spans="1:62" s="20" customFormat="1" x14ac:dyDescent="0.7">
      <c r="A850" s="17"/>
      <c r="B850" s="19"/>
      <c r="C850" s="19"/>
      <c r="D850" s="19"/>
      <c r="E850" s="19"/>
      <c r="F850" s="19"/>
      <c r="G850" s="19"/>
      <c r="P850" s="29"/>
      <c r="Q850" s="29"/>
      <c r="Y850" s="29"/>
      <c r="Z850" s="29"/>
      <c r="AA850" s="29"/>
      <c r="AB850" s="29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  <c r="BA850" s="17"/>
      <c r="BB850" s="17"/>
      <c r="BC850" s="17"/>
      <c r="BD850" s="17"/>
      <c r="BE850" s="17"/>
      <c r="BF850" s="17"/>
      <c r="BG850" s="17"/>
      <c r="BH850" s="17"/>
      <c r="BI850" s="17"/>
      <c r="BJ850" s="17"/>
    </row>
    <row r="851" spans="1:62" s="20" customFormat="1" x14ac:dyDescent="0.7">
      <c r="A851" s="17"/>
      <c r="B851" s="19"/>
      <c r="C851" s="19"/>
      <c r="D851" s="19"/>
      <c r="E851" s="19"/>
      <c r="F851" s="19"/>
      <c r="G851" s="19"/>
      <c r="P851" s="29"/>
      <c r="Q851" s="29"/>
      <c r="Y851" s="29"/>
      <c r="Z851" s="29"/>
      <c r="AA851" s="29"/>
      <c r="AB851" s="29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  <c r="BA851" s="17"/>
      <c r="BB851" s="17"/>
      <c r="BC851" s="17"/>
      <c r="BD851" s="17"/>
      <c r="BE851" s="17"/>
      <c r="BF851" s="17"/>
      <c r="BG851" s="17"/>
      <c r="BH851" s="17"/>
      <c r="BI851" s="17"/>
      <c r="BJ851" s="17"/>
    </row>
    <row r="852" spans="1:62" s="20" customFormat="1" x14ac:dyDescent="0.7">
      <c r="A852" s="17"/>
      <c r="B852" s="19"/>
      <c r="C852" s="19"/>
      <c r="D852" s="19"/>
      <c r="E852" s="19"/>
      <c r="F852" s="19"/>
      <c r="G852" s="19"/>
      <c r="P852" s="29"/>
      <c r="Q852" s="29"/>
      <c r="Y852" s="29"/>
      <c r="Z852" s="29"/>
      <c r="AA852" s="29"/>
      <c r="AB852" s="29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  <c r="BA852" s="17"/>
      <c r="BB852" s="17"/>
      <c r="BC852" s="17"/>
      <c r="BD852" s="17"/>
      <c r="BE852" s="17"/>
      <c r="BF852" s="17"/>
      <c r="BG852" s="17"/>
      <c r="BH852" s="17"/>
      <c r="BI852" s="17"/>
      <c r="BJ852" s="17"/>
    </row>
    <row r="853" spans="1:62" s="20" customFormat="1" x14ac:dyDescent="0.7">
      <c r="A853" s="17"/>
      <c r="B853" s="19"/>
      <c r="C853" s="19"/>
      <c r="D853" s="19"/>
      <c r="E853" s="19"/>
      <c r="F853" s="19"/>
      <c r="G853" s="19"/>
      <c r="P853" s="29"/>
      <c r="Q853" s="29"/>
      <c r="Y853" s="29"/>
      <c r="Z853" s="29"/>
      <c r="AA853" s="29"/>
      <c r="AB853" s="29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  <c r="BA853" s="17"/>
      <c r="BB853" s="17"/>
      <c r="BC853" s="17"/>
      <c r="BD853" s="17"/>
      <c r="BE853" s="17"/>
      <c r="BF853" s="17"/>
      <c r="BG853" s="17"/>
      <c r="BH853" s="17"/>
      <c r="BI853" s="17"/>
      <c r="BJ853" s="17"/>
    </row>
    <row r="854" spans="1:62" s="20" customFormat="1" x14ac:dyDescent="0.7">
      <c r="A854" s="17"/>
      <c r="B854" s="19"/>
      <c r="C854" s="19"/>
      <c r="D854" s="19"/>
      <c r="E854" s="19"/>
      <c r="F854" s="19"/>
      <c r="G854" s="19"/>
      <c r="P854" s="29"/>
      <c r="Q854" s="29"/>
      <c r="Y854" s="29"/>
      <c r="Z854" s="29"/>
      <c r="AA854" s="29"/>
      <c r="AB854" s="29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  <c r="BA854" s="17"/>
      <c r="BB854" s="17"/>
      <c r="BC854" s="17"/>
      <c r="BD854" s="17"/>
      <c r="BE854" s="17"/>
      <c r="BF854" s="17"/>
      <c r="BG854" s="17"/>
      <c r="BH854" s="17"/>
      <c r="BI854" s="17"/>
      <c r="BJ854" s="17"/>
    </row>
    <row r="855" spans="1:62" s="20" customFormat="1" x14ac:dyDescent="0.7">
      <c r="A855" s="17"/>
      <c r="B855" s="19"/>
      <c r="C855" s="19"/>
      <c r="D855" s="19"/>
      <c r="E855" s="19"/>
      <c r="F855" s="19"/>
      <c r="G855" s="19"/>
      <c r="P855" s="29"/>
      <c r="Q855" s="29"/>
      <c r="Y855" s="29"/>
      <c r="Z855" s="29"/>
      <c r="AA855" s="29"/>
      <c r="AB855" s="29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  <c r="BA855" s="17"/>
      <c r="BB855" s="17"/>
      <c r="BC855" s="17"/>
      <c r="BD855" s="17"/>
      <c r="BE855" s="17"/>
      <c r="BF855" s="17"/>
      <c r="BG855" s="17"/>
      <c r="BH855" s="17"/>
      <c r="BI855" s="17"/>
      <c r="BJ855" s="17"/>
    </row>
    <row r="856" spans="1:62" s="20" customFormat="1" x14ac:dyDescent="0.7">
      <c r="A856" s="17"/>
      <c r="B856" s="19"/>
      <c r="C856" s="19"/>
      <c r="D856" s="19"/>
      <c r="E856" s="19"/>
      <c r="F856" s="19"/>
      <c r="G856" s="19"/>
      <c r="P856" s="29"/>
      <c r="Q856" s="29"/>
      <c r="Y856" s="29"/>
      <c r="Z856" s="29"/>
      <c r="AA856" s="29"/>
      <c r="AB856" s="29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  <c r="BA856" s="17"/>
      <c r="BB856" s="17"/>
      <c r="BC856" s="17"/>
      <c r="BD856" s="17"/>
      <c r="BE856" s="17"/>
      <c r="BF856" s="17"/>
      <c r="BG856" s="17"/>
      <c r="BH856" s="17"/>
      <c r="BI856" s="17"/>
      <c r="BJ856" s="17"/>
    </row>
    <row r="857" spans="1:62" s="20" customFormat="1" x14ac:dyDescent="0.7">
      <c r="A857" s="17"/>
      <c r="B857" s="19"/>
      <c r="C857" s="19"/>
      <c r="D857" s="19"/>
      <c r="E857" s="19"/>
      <c r="F857" s="19"/>
      <c r="G857" s="19"/>
      <c r="P857" s="29"/>
      <c r="Q857" s="29"/>
      <c r="Y857" s="29"/>
      <c r="Z857" s="29"/>
      <c r="AA857" s="29"/>
      <c r="AB857" s="29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  <c r="BA857" s="17"/>
      <c r="BB857" s="17"/>
      <c r="BC857" s="17"/>
      <c r="BD857" s="17"/>
      <c r="BE857" s="17"/>
      <c r="BF857" s="17"/>
      <c r="BG857" s="17"/>
      <c r="BH857" s="17"/>
      <c r="BI857" s="17"/>
      <c r="BJ857" s="17"/>
    </row>
    <row r="858" spans="1:62" s="20" customFormat="1" x14ac:dyDescent="0.7">
      <c r="A858" s="17"/>
      <c r="B858" s="19"/>
      <c r="C858" s="19"/>
      <c r="D858" s="19"/>
      <c r="E858" s="19"/>
      <c r="F858" s="19"/>
      <c r="G858" s="19"/>
      <c r="P858" s="29"/>
      <c r="Q858" s="29"/>
      <c r="Y858" s="29"/>
      <c r="Z858" s="29"/>
      <c r="AA858" s="29"/>
      <c r="AB858" s="29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  <c r="BA858" s="17"/>
      <c r="BB858" s="17"/>
      <c r="BC858" s="17"/>
      <c r="BD858" s="17"/>
      <c r="BE858" s="17"/>
      <c r="BF858" s="17"/>
      <c r="BG858" s="17"/>
      <c r="BH858" s="17"/>
      <c r="BI858" s="17"/>
      <c r="BJ858" s="17"/>
    </row>
    <row r="859" spans="1:62" s="20" customFormat="1" x14ac:dyDescent="0.7">
      <c r="A859" s="17"/>
      <c r="B859" s="19"/>
      <c r="C859" s="19"/>
      <c r="D859" s="19"/>
      <c r="E859" s="19"/>
      <c r="F859" s="19"/>
      <c r="G859" s="19"/>
      <c r="P859" s="29"/>
      <c r="Q859" s="29"/>
      <c r="Y859" s="29"/>
      <c r="Z859" s="29"/>
      <c r="AA859" s="29"/>
      <c r="AB859" s="29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</row>
    <row r="860" spans="1:62" s="20" customFormat="1" x14ac:dyDescent="0.7">
      <c r="A860" s="17"/>
      <c r="B860" s="19"/>
      <c r="C860" s="19"/>
      <c r="D860" s="19"/>
      <c r="E860" s="19"/>
      <c r="F860" s="19"/>
      <c r="G860" s="19"/>
      <c r="P860" s="29"/>
      <c r="Q860" s="29"/>
      <c r="Y860" s="29"/>
      <c r="Z860" s="29"/>
      <c r="AA860" s="29"/>
      <c r="AB860" s="29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  <c r="BA860" s="17"/>
      <c r="BB860" s="17"/>
      <c r="BC860" s="17"/>
      <c r="BD860" s="17"/>
      <c r="BE860" s="17"/>
      <c r="BF860" s="17"/>
      <c r="BG860" s="17"/>
      <c r="BH860" s="17"/>
      <c r="BI860" s="17"/>
      <c r="BJ860" s="17"/>
    </row>
    <row r="861" spans="1:62" s="20" customFormat="1" x14ac:dyDescent="0.7">
      <c r="A861" s="17"/>
      <c r="B861" s="19"/>
      <c r="C861" s="19"/>
      <c r="D861" s="19"/>
      <c r="E861" s="19"/>
      <c r="F861" s="19"/>
      <c r="G861" s="19"/>
      <c r="P861" s="29"/>
      <c r="Q861" s="29"/>
      <c r="Y861" s="29"/>
      <c r="Z861" s="29"/>
      <c r="AA861" s="29"/>
      <c r="AB861" s="29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/>
      <c r="BB861" s="17"/>
      <c r="BC861" s="17"/>
      <c r="BD861" s="17"/>
      <c r="BE861" s="17"/>
      <c r="BF861" s="17"/>
      <c r="BG861" s="17"/>
      <c r="BH861" s="17"/>
      <c r="BI861" s="17"/>
      <c r="BJ861" s="17"/>
    </row>
    <row r="862" spans="1:62" s="20" customFormat="1" x14ac:dyDescent="0.7">
      <c r="A862" s="17"/>
      <c r="B862" s="19"/>
      <c r="C862" s="19"/>
      <c r="D862" s="19"/>
      <c r="E862" s="19"/>
      <c r="F862" s="19"/>
      <c r="G862" s="19"/>
      <c r="P862" s="29"/>
      <c r="Q862" s="29"/>
      <c r="Y862" s="29"/>
      <c r="Z862" s="29"/>
      <c r="AA862" s="29"/>
      <c r="AB862" s="29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  <c r="BA862" s="17"/>
      <c r="BB862" s="17"/>
      <c r="BC862" s="17"/>
      <c r="BD862" s="17"/>
      <c r="BE862" s="17"/>
      <c r="BF862" s="17"/>
      <c r="BG862" s="17"/>
      <c r="BH862" s="17"/>
      <c r="BI862" s="17"/>
      <c r="BJ862" s="17"/>
    </row>
    <row r="863" spans="1:62" s="20" customFormat="1" x14ac:dyDescent="0.7">
      <c r="A863" s="17"/>
      <c r="B863" s="19"/>
      <c r="C863" s="19"/>
      <c r="D863" s="19"/>
      <c r="E863" s="19"/>
      <c r="F863" s="19"/>
      <c r="G863" s="19"/>
      <c r="P863" s="29"/>
      <c r="Q863" s="29"/>
      <c r="Y863" s="29"/>
      <c r="Z863" s="29"/>
      <c r="AA863" s="29"/>
      <c r="AB863" s="29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</row>
    <row r="864" spans="1:62" s="20" customFormat="1" x14ac:dyDescent="0.7">
      <c r="A864" s="17"/>
      <c r="B864" s="19"/>
      <c r="C864" s="19"/>
      <c r="D864" s="19"/>
      <c r="E864" s="19"/>
      <c r="F864" s="19"/>
      <c r="G864" s="19"/>
      <c r="P864" s="29"/>
      <c r="Q864" s="29"/>
      <c r="Y864" s="29"/>
      <c r="Z864" s="29"/>
      <c r="AA864" s="29"/>
      <c r="AB864" s="29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17"/>
      <c r="BH864" s="17"/>
      <c r="BI864" s="17"/>
      <c r="BJ864" s="17"/>
    </row>
    <row r="865" spans="1:62" s="20" customFormat="1" x14ac:dyDescent="0.7">
      <c r="A865" s="17"/>
      <c r="B865" s="19"/>
      <c r="C865" s="19"/>
      <c r="D865" s="19"/>
      <c r="E865" s="19"/>
      <c r="F865" s="19"/>
      <c r="G865" s="19"/>
      <c r="P865" s="29"/>
      <c r="Q865" s="29"/>
      <c r="Y865" s="29"/>
      <c r="Z865" s="29"/>
      <c r="AA865" s="29"/>
      <c r="AB865" s="29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  <c r="BA865" s="17"/>
      <c r="BB865" s="17"/>
      <c r="BC865" s="17"/>
      <c r="BD865" s="17"/>
      <c r="BE865" s="17"/>
      <c r="BF865" s="17"/>
      <c r="BG865" s="17"/>
      <c r="BH865" s="17"/>
      <c r="BI865" s="17"/>
      <c r="BJ865" s="17"/>
    </row>
    <row r="866" spans="1:62" s="20" customFormat="1" x14ac:dyDescent="0.7">
      <c r="A866" s="17"/>
      <c r="B866" s="19"/>
      <c r="C866" s="19"/>
      <c r="D866" s="19"/>
      <c r="E866" s="19"/>
      <c r="F866" s="19"/>
      <c r="G866" s="19"/>
      <c r="P866" s="29"/>
      <c r="Q866" s="29"/>
      <c r="Y866" s="29"/>
      <c r="Z866" s="29"/>
      <c r="AA866" s="29"/>
      <c r="AB866" s="29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  <c r="BA866" s="17"/>
      <c r="BB866" s="17"/>
      <c r="BC866" s="17"/>
      <c r="BD866" s="17"/>
      <c r="BE866" s="17"/>
      <c r="BF866" s="17"/>
      <c r="BG866" s="17"/>
      <c r="BH866" s="17"/>
      <c r="BI866" s="17"/>
      <c r="BJ866" s="17"/>
    </row>
    <row r="867" spans="1:62" s="20" customFormat="1" x14ac:dyDescent="0.7">
      <c r="A867" s="17"/>
      <c r="B867" s="19"/>
      <c r="C867" s="19"/>
      <c r="D867" s="19"/>
      <c r="E867" s="19"/>
      <c r="F867" s="19"/>
      <c r="G867" s="19"/>
      <c r="P867" s="29"/>
      <c r="Q867" s="29"/>
      <c r="Y867" s="29"/>
      <c r="Z867" s="29"/>
      <c r="AA867" s="29"/>
      <c r="AB867" s="29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</row>
    <row r="868" spans="1:62" s="20" customFormat="1" x14ac:dyDescent="0.7">
      <c r="A868" s="17"/>
      <c r="B868" s="19"/>
      <c r="C868" s="19"/>
      <c r="D868" s="19"/>
      <c r="E868" s="19"/>
      <c r="F868" s="19"/>
      <c r="G868" s="19"/>
      <c r="P868" s="29"/>
      <c r="Q868" s="29"/>
      <c r="Y868" s="29"/>
      <c r="Z868" s="29"/>
      <c r="AA868" s="29"/>
      <c r="AB868" s="29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17"/>
      <c r="BH868" s="17"/>
      <c r="BI868" s="17"/>
      <c r="BJ868" s="17"/>
    </row>
    <row r="869" spans="1:62" s="20" customFormat="1" x14ac:dyDescent="0.7">
      <c r="A869" s="17"/>
      <c r="B869" s="19"/>
      <c r="C869" s="19"/>
      <c r="D869" s="19"/>
      <c r="E869" s="19"/>
      <c r="F869" s="19"/>
      <c r="G869" s="19"/>
      <c r="P869" s="29"/>
      <c r="Q869" s="29"/>
      <c r="Y869" s="29"/>
      <c r="Z869" s="29"/>
      <c r="AA869" s="29"/>
      <c r="AB869" s="29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17"/>
      <c r="BH869" s="17"/>
      <c r="BI869" s="17"/>
      <c r="BJ869" s="17"/>
    </row>
    <row r="870" spans="1:62" s="20" customFormat="1" x14ac:dyDescent="0.7">
      <c r="A870" s="17"/>
      <c r="B870" s="19"/>
      <c r="C870" s="19"/>
      <c r="D870" s="19"/>
      <c r="E870" s="19"/>
      <c r="F870" s="19"/>
      <c r="G870" s="19"/>
      <c r="P870" s="29"/>
      <c r="Q870" s="29"/>
      <c r="Y870" s="29"/>
      <c r="Z870" s="29"/>
      <c r="AA870" s="29"/>
      <c r="AB870" s="29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</row>
    <row r="871" spans="1:62" s="20" customFormat="1" x14ac:dyDescent="0.7">
      <c r="A871" s="17"/>
      <c r="B871" s="19"/>
      <c r="C871" s="19"/>
      <c r="D871" s="19"/>
      <c r="E871" s="19"/>
      <c r="F871" s="19"/>
      <c r="G871" s="19"/>
      <c r="P871" s="29"/>
      <c r="Q871" s="29"/>
      <c r="Y871" s="29"/>
      <c r="Z871" s="29"/>
      <c r="AA871" s="29"/>
      <c r="AB871" s="29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</row>
    <row r="872" spans="1:62" s="20" customFormat="1" x14ac:dyDescent="0.7">
      <c r="A872" s="17"/>
      <c r="B872" s="19"/>
      <c r="C872" s="19"/>
      <c r="D872" s="19"/>
      <c r="E872" s="19"/>
      <c r="F872" s="19"/>
      <c r="G872" s="19"/>
      <c r="P872" s="29"/>
      <c r="Q872" s="29"/>
      <c r="Y872" s="29"/>
      <c r="Z872" s="29"/>
      <c r="AA872" s="29"/>
      <c r="AB872" s="29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</row>
    <row r="873" spans="1:62" s="20" customFormat="1" x14ac:dyDescent="0.7">
      <c r="A873" s="17"/>
      <c r="B873" s="19"/>
      <c r="C873" s="19"/>
      <c r="D873" s="19"/>
      <c r="E873" s="19"/>
      <c r="F873" s="19"/>
      <c r="G873" s="19"/>
      <c r="P873" s="29"/>
      <c r="Q873" s="29"/>
      <c r="Y873" s="29"/>
      <c r="Z873" s="29"/>
      <c r="AA873" s="29"/>
      <c r="AB873" s="29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  <c r="BA873" s="17"/>
      <c r="BB873" s="17"/>
      <c r="BC873" s="17"/>
      <c r="BD873" s="17"/>
      <c r="BE873" s="17"/>
      <c r="BF873" s="17"/>
      <c r="BG873" s="17"/>
      <c r="BH873" s="17"/>
      <c r="BI873" s="17"/>
      <c r="BJ873" s="17"/>
    </row>
    <row r="874" spans="1:62" s="20" customFormat="1" x14ac:dyDescent="0.7">
      <c r="A874" s="17"/>
      <c r="B874" s="19"/>
      <c r="C874" s="19"/>
      <c r="D874" s="19"/>
      <c r="E874" s="19"/>
      <c r="F874" s="19"/>
      <c r="G874" s="19"/>
      <c r="P874" s="29"/>
      <c r="Q874" s="29"/>
      <c r="Y874" s="29"/>
      <c r="Z874" s="29"/>
      <c r="AA874" s="29"/>
      <c r="AB874" s="29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  <c r="BA874" s="17"/>
      <c r="BB874" s="17"/>
      <c r="BC874" s="17"/>
      <c r="BD874" s="17"/>
      <c r="BE874" s="17"/>
      <c r="BF874" s="17"/>
      <c r="BG874" s="17"/>
      <c r="BH874" s="17"/>
      <c r="BI874" s="17"/>
      <c r="BJ874" s="17"/>
    </row>
    <row r="875" spans="1:62" s="20" customFormat="1" x14ac:dyDescent="0.7">
      <c r="A875" s="17"/>
      <c r="B875" s="19"/>
      <c r="C875" s="19"/>
      <c r="D875" s="19"/>
      <c r="E875" s="19"/>
      <c r="F875" s="19"/>
      <c r="G875" s="19"/>
      <c r="P875" s="29"/>
      <c r="Q875" s="29"/>
      <c r="Y875" s="29"/>
      <c r="Z875" s="29"/>
      <c r="AA875" s="29"/>
      <c r="AB875" s="29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</row>
    <row r="876" spans="1:62" s="20" customFormat="1" x14ac:dyDescent="0.7">
      <c r="A876" s="17"/>
      <c r="B876" s="19"/>
      <c r="C876" s="19"/>
      <c r="D876" s="19"/>
      <c r="E876" s="19"/>
      <c r="F876" s="19"/>
      <c r="G876" s="19"/>
      <c r="P876" s="29"/>
      <c r="Q876" s="29"/>
      <c r="Y876" s="29"/>
      <c r="Z876" s="29"/>
      <c r="AA876" s="29"/>
      <c r="AB876" s="29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  <c r="BA876" s="17"/>
      <c r="BB876" s="17"/>
      <c r="BC876" s="17"/>
      <c r="BD876" s="17"/>
      <c r="BE876" s="17"/>
      <c r="BF876" s="17"/>
      <c r="BG876" s="17"/>
      <c r="BH876" s="17"/>
      <c r="BI876" s="17"/>
      <c r="BJ876" s="17"/>
    </row>
    <row r="877" spans="1:62" s="20" customFormat="1" x14ac:dyDescent="0.7">
      <c r="A877" s="17"/>
      <c r="B877" s="19"/>
      <c r="C877" s="19"/>
      <c r="D877" s="19"/>
      <c r="E877" s="19"/>
      <c r="F877" s="19"/>
      <c r="G877" s="19"/>
      <c r="P877" s="29"/>
      <c r="Q877" s="29"/>
      <c r="Y877" s="29"/>
      <c r="Z877" s="29"/>
      <c r="AA877" s="29"/>
      <c r="AB877" s="29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</row>
    <row r="878" spans="1:62" s="20" customFormat="1" x14ac:dyDescent="0.7">
      <c r="A878" s="17"/>
      <c r="B878" s="19"/>
      <c r="C878" s="19"/>
      <c r="D878" s="19"/>
      <c r="E878" s="19"/>
      <c r="F878" s="19"/>
      <c r="G878" s="19"/>
      <c r="P878" s="29"/>
      <c r="Q878" s="29"/>
      <c r="Y878" s="29"/>
      <c r="Z878" s="29"/>
      <c r="AA878" s="29"/>
      <c r="AB878" s="29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</row>
    <row r="879" spans="1:62" s="20" customFormat="1" x14ac:dyDescent="0.7">
      <c r="A879" s="17"/>
      <c r="B879" s="19"/>
      <c r="C879" s="19"/>
      <c r="D879" s="19"/>
      <c r="E879" s="19"/>
      <c r="F879" s="19"/>
      <c r="G879" s="19"/>
      <c r="P879" s="29"/>
      <c r="Q879" s="29"/>
      <c r="Y879" s="29"/>
      <c r="Z879" s="29"/>
      <c r="AA879" s="29"/>
      <c r="AB879" s="29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  <c r="BA879" s="17"/>
      <c r="BB879" s="17"/>
      <c r="BC879" s="17"/>
      <c r="BD879" s="17"/>
      <c r="BE879" s="17"/>
      <c r="BF879" s="17"/>
      <c r="BG879" s="17"/>
      <c r="BH879" s="17"/>
      <c r="BI879" s="17"/>
      <c r="BJ879" s="17"/>
    </row>
    <row r="880" spans="1:62" s="20" customFormat="1" x14ac:dyDescent="0.7">
      <c r="A880" s="17"/>
      <c r="B880" s="19"/>
      <c r="C880" s="19"/>
      <c r="D880" s="19"/>
      <c r="E880" s="19"/>
      <c r="F880" s="19"/>
      <c r="G880" s="19"/>
      <c r="P880" s="29"/>
      <c r="Q880" s="29"/>
      <c r="Y880" s="29"/>
      <c r="Z880" s="29"/>
      <c r="AA880" s="29"/>
      <c r="AB880" s="29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  <c r="BA880" s="17"/>
      <c r="BB880" s="17"/>
      <c r="BC880" s="17"/>
      <c r="BD880" s="17"/>
      <c r="BE880" s="17"/>
      <c r="BF880" s="17"/>
      <c r="BG880" s="17"/>
      <c r="BH880" s="17"/>
      <c r="BI880" s="17"/>
      <c r="BJ880" s="17"/>
    </row>
    <row r="881" spans="1:62" s="20" customFormat="1" x14ac:dyDescent="0.7">
      <c r="A881" s="17"/>
      <c r="B881" s="19"/>
      <c r="C881" s="19"/>
      <c r="D881" s="19"/>
      <c r="E881" s="19"/>
      <c r="F881" s="19"/>
      <c r="G881" s="19"/>
      <c r="P881" s="29"/>
      <c r="Q881" s="29"/>
      <c r="Y881" s="29"/>
      <c r="Z881" s="29"/>
      <c r="AA881" s="29"/>
      <c r="AB881" s="29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  <c r="BA881" s="17"/>
      <c r="BB881" s="17"/>
      <c r="BC881" s="17"/>
      <c r="BD881" s="17"/>
      <c r="BE881" s="17"/>
      <c r="BF881" s="17"/>
      <c r="BG881" s="17"/>
      <c r="BH881" s="17"/>
      <c r="BI881" s="17"/>
      <c r="BJ881" s="17"/>
    </row>
    <row r="882" spans="1:62" s="20" customFormat="1" x14ac:dyDescent="0.7">
      <c r="A882" s="17"/>
      <c r="B882" s="19"/>
      <c r="C882" s="19"/>
      <c r="D882" s="19"/>
      <c r="E882" s="19"/>
      <c r="F882" s="19"/>
      <c r="G882" s="19"/>
      <c r="P882" s="29"/>
      <c r="Q882" s="29"/>
      <c r="Y882" s="29"/>
      <c r="Z882" s="29"/>
      <c r="AA882" s="29"/>
      <c r="AB882" s="29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</row>
    <row r="883" spans="1:62" s="20" customFormat="1" x14ac:dyDescent="0.7">
      <c r="A883" s="17"/>
      <c r="B883" s="19"/>
      <c r="C883" s="19"/>
      <c r="D883" s="19"/>
      <c r="E883" s="19"/>
      <c r="F883" s="19"/>
      <c r="G883" s="19"/>
      <c r="P883" s="29"/>
      <c r="Q883" s="29"/>
      <c r="Y883" s="29"/>
      <c r="Z883" s="29"/>
      <c r="AA883" s="29"/>
      <c r="AB883" s="29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  <c r="BA883" s="17"/>
      <c r="BB883" s="17"/>
      <c r="BC883" s="17"/>
      <c r="BD883" s="17"/>
      <c r="BE883" s="17"/>
      <c r="BF883" s="17"/>
      <c r="BG883" s="17"/>
      <c r="BH883" s="17"/>
      <c r="BI883" s="17"/>
      <c r="BJ883" s="17"/>
    </row>
    <row r="884" spans="1:62" s="20" customFormat="1" x14ac:dyDescent="0.7">
      <c r="A884" s="17"/>
      <c r="B884" s="19"/>
      <c r="C884" s="19"/>
      <c r="D884" s="19"/>
      <c r="E884" s="19"/>
      <c r="F884" s="19"/>
      <c r="G884" s="19"/>
      <c r="P884" s="29"/>
      <c r="Q884" s="29"/>
      <c r="Y884" s="29"/>
      <c r="Z884" s="29"/>
      <c r="AA884" s="29"/>
      <c r="AB884" s="29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  <c r="BA884" s="17"/>
      <c r="BB884" s="17"/>
      <c r="BC884" s="17"/>
      <c r="BD884" s="17"/>
      <c r="BE884" s="17"/>
      <c r="BF884" s="17"/>
      <c r="BG884" s="17"/>
      <c r="BH884" s="17"/>
      <c r="BI884" s="17"/>
      <c r="BJ884" s="17"/>
    </row>
    <row r="885" spans="1:62" s="20" customFormat="1" x14ac:dyDescent="0.7">
      <c r="A885" s="17"/>
      <c r="B885" s="19"/>
      <c r="C885" s="19"/>
      <c r="D885" s="19"/>
      <c r="E885" s="19"/>
      <c r="F885" s="19"/>
      <c r="G885" s="19"/>
      <c r="P885" s="29"/>
      <c r="Q885" s="29"/>
      <c r="Y885" s="29"/>
      <c r="Z885" s="29"/>
      <c r="AA885" s="29"/>
      <c r="AB885" s="29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  <c r="BA885" s="17"/>
      <c r="BB885" s="17"/>
      <c r="BC885" s="17"/>
      <c r="BD885" s="17"/>
      <c r="BE885" s="17"/>
      <c r="BF885" s="17"/>
      <c r="BG885" s="17"/>
      <c r="BH885" s="17"/>
      <c r="BI885" s="17"/>
      <c r="BJ885" s="17"/>
    </row>
    <row r="886" spans="1:62" s="20" customFormat="1" x14ac:dyDescent="0.7">
      <c r="A886" s="17"/>
      <c r="B886" s="19"/>
      <c r="C886" s="19"/>
      <c r="D886" s="19"/>
      <c r="E886" s="19"/>
      <c r="F886" s="19"/>
      <c r="G886" s="19"/>
      <c r="P886" s="29"/>
      <c r="Q886" s="29"/>
      <c r="Y886" s="29"/>
      <c r="Z886" s="29"/>
      <c r="AA886" s="29"/>
      <c r="AB886" s="29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</row>
    <row r="887" spans="1:62" s="20" customFormat="1" x14ac:dyDescent="0.7">
      <c r="A887" s="17"/>
      <c r="B887" s="19"/>
      <c r="C887" s="19"/>
      <c r="D887" s="19"/>
      <c r="E887" s="19"/>
      <c r="F887" s="19"/>
      <c r="G887" s="19"/>
      <c r="P887" s="29"/>
      <c r="Q887" s="29"/>
      <c r="Y887" s="29"/>
      <c r="Z887" s="29"/>
      <c r="AA887" s="29"/>
      <c r="AB887" s="29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17"/>
      <c r="BH887" s="17"/>
      <c r="BI887" s="17"/>
      <c r="BJ887" s="17"/>
    </row>
    <row r="888" spans="1:62" s="20" customFormat="1" x14ac:dyDescent="0.7">
      <c r="A888" s="17"/>
      <c r="B888" s="19"/>
      <c r="C888" s="19"/>
      <c r="D888" s="19"/>
      <c r="E888" s="19"/>
      <c r="F888" s="19"/>
      <c r="G888" s="19"/>
      <c r="P888" s="29"/>
      <c r="Q888" s="29"/>
      <c r="Y888" s="29"/>
      <c r="Z888" s="29"/>
      <c r="AA888" s="29"/>
      <c r="AB888" s="29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  <c r="BA888" s="17"/>
      <c r="BB888" s="17"/>
      <c r="BC888" s="17"/>
      <c r="BD888" s="17"/>
      <c r="BE888" s="17"/>
      <c r="BF888" s="17"/>
      <c r="BG888" s="17"/>
      <c r="BH888" s="17"/>
      <c r="BI888" s="17"/>
      <c r="BJ888" s="17"/>
    </row>
    <row r="889" spans="1:62" s="20" customFormat="1" x14ac:dyDescent="0.7">
      <c r="A889" s="17"/>
      <c r="B889" s="19"/>
      <c r="C889" s="19"/>
      <c r="D889" s="19"/>
      <c r="E889" s="19"/>
      <c r="F889" s="19"/>
      <c r="G889" s="19"/>
      <c r="P889" s="29"/>
      <c r="Q889" s="29"/>
      <c r="Y889" s="29"/>
      <c r="Z889" s="29"/>
      <c r="AA889" s="29"/>
      <c r="AB889" s="29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</row>
    <row r="890" spans="1:62" s="20" customFormat="1" x14ac:dyDescent="0.7">
      <c r="A890" s="17"/>
      <c r="B890" s="19"/>
      <c r="C890" s="19"/>
      <c r="D890" s="19"/>
      <c r="E890" s="19"/>
      <c r="F890" s="19"/>
      <c r="G890" s="19"/>
      <c r="P890" s="29"/>
      <c r="Q890" s="29"/>
      <c r="Y890" s="29"/>
      <c r="Z890" s="29"/>
      <c r="AA890" s="29"/>
      <c r="AB890" s="29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</row>
    <row r="891" spans="1:62" s="20" customFormat="1" x14ac:dyDescent="0.7">
      <c r="A891" s="17"/>
      <c r="B891" s="19"/>
      <c r="C891" s="19"/>
      <c r="D891" s="19"/>
      <c r="E891" s="19"/>
      <c r="F891" s="19"/>
      <c r="G891" s="19"/>
      <c r="P891" s="29"/>
      <c r="Q891" s="29"/>
      <c r="Y891" s="29"/>
      <c r="Z891" s="29"/>
      <c r="AA891" s="29"/>
      <c r="AB891" s="29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</row>
    <row r="892" spans="1:62" s="20" customFormat="1" x14ac:dyDescent="0.7">
      <c r="A892" s="17"/>
      <c r="B892" s="19"/>
      <c r="C892" s="19"/>
      <c r="D892" s="19"/>
      <c r="E892" s="19"/>
      <c r="F892" s="19"/>
      <c r="G892" s="19"/>
      <c r="P892" s="29"/>
      <c r="Q892" s="29"/>
      <c r="Y892" s="29"/>
      <c r="Z892" s="29"/>
      <c r="AA892" s="29"/>
      <c r="AB892" s="29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</row>
    <row r="893" spans="1:62" s="20" customFormat="1" x14ac:dyDescent="0.7">
      <c r="A893" s="17"/>
      <c r="B893" s="19"/>
      <c r="C893" s="19"/>
      <c r="D893" s="19"/>
      <c r="E893" s="19"/>
      <c r="F893" s="19"/>
      <c r="G893" s="19"/>
      <c r="P893" s="29"/>
      <c r="Q893" s="29"/>
      <c r="Y893" s="29"/>
      <c r="Z893" s="29"/>
      <c r="AA893" s="29"/>
      <c r="AB893" s="29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  <c r="BA893" s="17"/>
      <c r="BB893" s="17"/>
      <c r="BC893" s="17"/>
      <c r="BD893" s="17"/>
      <c r="BE893" s="17"/>
      <c r="BF893" s="17"/>
      <c r="BG893" s="17"/>
      <c r="BH893" s="17"/>
      <c r="BI893" s="17"/>
      <c r="BJ893" s="17"/>
    </row>
    <row r="894" spans="1:62" s="20" customFormat="1" x14ac:dyDescent="0.7">
      <c r="A894" s="17"/>
      <c r="B894" s="19"/>
      <c r="C894" s="19"/>
      <c r="D894" s="19"/>
      <c r="E894" s="19"/>
      <c r="F894" s="19"/>
      <c r="G894" s="19"/>
      <c r="P894" s="29"/>
      <c r="Q894" s="29"/>
      <c r="Y894" s="29"/>
      <c r="Z894" s="29"/>
      <c r="AA894" s="29"/>
      <c r="AB894" s="29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</row>
    <row r="895" spans="1:62" s="20" customFormat="1" x14ac:dyDescent="0.7">
      <c r="A895" s="17"/>
      <c r="B895" s="19"/>
      <c r="C895" s="19"/>
      <c r="D895" s="19"/>
      <c r="E895" s="19"/>
      <c r="F895" s="19"/>
      <c r="G895" s="19"/>
      <c r="P895" s="29"/>
      <c r="Q895" s="29"/>
      <c r="Y895" s="29"/>
      <c r="Z895" s="29"/>
      <c r="AA895" s="29"/>
      <c r="AB895" s="29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</row>
    <row r="896" spans="1:62" s="20" customFormat="1" x14ac:dyDescent="0.7">
      <c r="A896" s="17"/>
      <c r="B896" s="19"/>
      <c r="C896" s="19"/>
      <c r="D896" s="19"/>
      <c r="E896" s="19"/>
      <c r="F896" s="19"/>
      <c r="G896" s="19"/>
      <c r="P896" s="29"/>
      <c r="Q896" s="29"/>
      <c r="Y896" s="29"/>
      <c r="Z896" s="29"/>
      <c r="AA896" s="29"/>
      <c r="AB896" s="29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</row>
    <row r="897" spans="1:62" s="20" customFormat="1" x14ac:dyDescent="0.7">
      <c r="A897" s="17"/>
      <c r="B897" s="19"/>
      <c r="C897" s="19"/>
      <c r="D897" s="19"/>
      <c r="E897" s="19"/>
      <c r="F897" s="19"/>
      <c r="G897" s="19"/>
      <c r="P897" s="29"/>
      <c r="Q897" s="29"/>
      <c r="Y897" s="29"/>
      <c r="Z897" s="29"/>
      <c r="AA897" s="29"/>
      <c r="AB897" s="29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  <c r="BA897" s="17"/>
      <c r="BB897" s="17"/>
      <c r="BC897" s="17"/>
      <c r="BD897" s="17"/>
      <c r="BE897" s="17"/>
      <c r="BF897" s="17"/>
      <c r="BG897" s="17"/>
      <c r="BH897" s="17"/>
      <c r="BI897" s="17"/>
      <c r="BJ897" s="17"/>
    </row>
    <row r="898" spans="1:62" s="20" customFormat="1" x14ac:dyDescent="0.7">
      <c r="A898" s="17"/>
      <c r="B898" s="19"/>
      <c r="C898" s="19"/>
      <c r="D898" s="19"/>
      <c r="E898" s="19"/>
      <c r="F898" s="19"/>
      <c r="G898" s="19"/>
      <c r="P898" s="29"/>
      <c r="Q898" s="29"/>
      <c r="Y898" s="29"/>
      <c r="Z898" s="29"/>
      <c r="AA898" s="29"/>
      <c r="AB898" s="29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</row>
    <row r="899" spans="1:62" s="20" customFormat="1" x14ac:dyDescent="0.7">
      <c r="A899" s="17"/>
      <c r="B899" s="19"/>
      <c r="C899" s="19"/>
      <c r="D899" s="19"/>
      <c r="E899" s="19"/>
      <c r="F899" s="19"/>
      <c r="G899" s="19"/>
      <c r="P899" s="29"/>
      <c r="Q899" s="29"/>
      <c r="Y899" s="29"/>
      <c r="Z899" s="29"/>
      <c r="AA899" s="29"/>
      <c r="AB899" s="29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  <c r="BA899" s="17"/>
      <c r="BB899" s="17"/>
      <c r="BC899" s="17"/>
      <c r="BD899" s="17"/>
      <c r="BE899" s="17"/>
      <c r="BF899" s="17"/>
      <c r="BG899" s="17"/>
      <c r="BH899" s="17"/>
      <c r="BI899" s="17"/>
      <c r="BJ899" s="17"/>
    </row>
    <row r="900" spans="1:62" s="20" customFormat="1" x14ac:dyDescent="0.7">
      <c r="A900" s="17"/>
      <c r="B900" s="19"/>
      <c r="C900" s="19"/>
      <c r="D900" s="19"/>
      <c r="E900" s="19"/>
      <c r="F900" s="19"/>
      <c r="G900" s="19"/>
      <c r="P900" s="29"/>
      <c r="Q900" s="29"/>
      <c r="Y900" s="29"/>
      <c r="Z900" s="29"/>
      <c r="AA900" s="29"/>
      <c r="AB900" s="29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</row>
    <row r="901" spans="1:62" s="20" customFormat="1" x14ac:dyDescent="0.7">
      <c r="A901" s="17"/>
      <c r="B901" s="19"/>
      <c r="C901" s="19"/>
      <c r="D901" s="19"/>
      <c r="E901" s="19"/>
      <c r="F901" s="19"/>
      <c r="G901" s="19"/>
      <c r="P901" s="29"/>
      <c r="Q901" s="29"/>
      <c r="Y901" s="29"/>
      <c r="Z901" s="29"/>
      <c r="AA901" s="29"/>
      <c r="AB901" s="29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  <c r="BA901" s="17"/>
      <c r="BB901" s="17"/>
      <c r="BC901" s="17"/>
      <c r="BD901" s="17"/>
      <c r="BE901" s="17"/>
      <c r="BF901" s="17"/>
      <c r="BG901" s="17"/>
      <c r="BH901" s="17"/>
      <c r="BI901" s="17"/>
      <c r="BJ901" s="17"/>
    </row>
    <row r="902" spans="1:62" s="20" customFormat="1" x14ac:dyDescent="0.7">
      <c r="A902" s="17"/>
      <c r="B902" s="19"/>
      <c r="C902" s="19"/>
      <c r="D902" s="19"/>
      <c r="E902" s="19"/>
      <c r="F902" s="19"/>
      <c r="G902" s="19"/>
      <c r="P902" s="29"/>
      <c r="Q902" s="29"/>
      <c r="Y902" s="29"/>
      <c r="Z902" s="29"/>
      <c r="AA902" s="29"/>
      <c r="AB902" s="29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</row>
    <row r="903" spans="1:62" s="20" customFormat="1" x14ac:dyDescent="0.7">
      <c r="A903" s="17"/>
      <c r="B903" s="19"/>
      <c r="C903" s="19"/>
      <c r="D903" s="19"/>
      <c r="E903" s="19"/>
      <c r="F903" s="19"/>
      <c r="G903" s="19"/>
      <c r="P903" s="29"/>
      <c r="Q903" s="29"/>
      <c r="Y903" s="29"/>
      <c r="Z903" s="29"/>
      <c r="AA903" s="29"/>
      <c r="AB903" s="29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</row>
    <row r="904" spans="1:62" s="20" customFormat="1" x14ac:dyDescent="0.7">
      <c r="A904" s="17"/>
      <c r="B904" s="19"/>
      <c r="C904" s="19"/>
      <c r="D904" s="19"/>
      <c r="E904" s="19"/>
      <c r="F904" s="19"/>
      <c r="G904" s="19"/>
      <c r="P904" s="29"/>
      <c r="Q904" s="29"/>
      <c r="Y904" s="29"/>
      <c r="Z904" s="29"/>
      <c r="AA904" s="29"/>
      <c r="AB904" s="29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</row>
    <row r="905" spans="1:62" s="20" customFormat="1" x14ac:dyDescent="0.7">
      <c r="A905" s="17"/>
      <c r="B905" s="19"/>
      <c r="C905" s="19"/>
      <c r="D905" s="19"/>
      <c r="E905" s="19"/>
      <c r="F905" s="19"/>
      <c r="G905" s="19"/>
      <c r="P905" s="29"/>
      <c r="Q905" s="29"/>
      <c r="Y905" s="29"/>
      <c r="Z905" s="29"/>
      <c r="AA905" s="29"/>
      <c r="AB905" s="29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</row>
    <row r="906" spans="1:62" s="20" customFormat="1" x14ac:dyDescent="0.7">
      <c r="A906" s="17"/>
      <c r="B906" s="19"/>
      <c r="C906" s="19"/>
      <c r="D906" s="19"/>
      <c r="E906" s="19"/>
      <c r="F906" s="19"/>
      <c r="G906" s="19"/>
      <c r="P906" s="29"/>
      <c r="Q906" s="29"/>
      <c r="Y906" s="29"/>
      <c r="Z906" s="29"/>
      <c r="AA906" s="29"/>
      <c r="AB906" s="29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</row>
    <row r="907" spans="1:62" s="20" customFormat="1" x14ac:dyDescent="0.7">
      <c r="A907" s="17"/>
      <c r="B907" s="19"/>
      <c r="C907" s="19"/>
      <c r="D907" s="19"/>
      <c r="E907" s="19"/>
      <c r="F907" s="19"/>
      <c r="G907" s="19"/>
      <c r="P907" s="29"/>
      <c r="Q907" s="29"/>
      <c r="Y907" s="29"/>
      <c r="Z907" s="29"/>
      <c r="AA907" s="29"/>
      <c r="AB907" s="29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</row>
    <row r="908" spans="1:62" s="20" customFormat="1" x14ac:dyDescent="0.7">
      <c r="A908" s="17"/>
      <c r="B908" s="19"/>
      <c r="C908" s="19"/>
      <c r="D908" s="19"/>
      <c r="E908" s="19"/>
      <c r="F908" s="19"/>
      <c r="G908" s="19"/>
      <c r="P908" s="29"/>
      <c r="Q908" s="29"/>
      <c r="Y908" s="29"/>
      <c r="Z908" s="29"/>
      <c r="AA908" s="29"/>
      <c r="AB908" s="29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</row>
    <row r="909" spans="1:62" s="20" customFormat="1" x14ac:dyDescent="0.7">
      <c r="A909" s="17"/>
      <c r="B909" s="19"/>
      <c r="C909" s="19"/>
      <c r="D909" s="19"/>
      <c r="E909" s="19"/>
      <c r="F909" s="19"/>
      <c r="G909" s="19"/>
      <c r="P909" s="29"/>
      <c r="Q909" s="29"/>
      <c r="Y909" s="29"/>
      <c r="Z909" s="29"/>
      <c r="AA909" s="29"/>
      <c r="AB909" s="29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  <c r="BA909" s="17"/>
      <c r="BB909" s="17"/>
      <c r="BC909" s="17"/>
      <c r="BD909" s="17"/>
      <c r="BE909" s="17"/>
      <c r="BF909" s="17"/>
      <c r="BG909" s="17"/>
      <c r="BH909" s="17"/>
      <c r="BI909" s="17"/>
      <c r="BJ909" s="17"/>
    </row>
    <row r="910" spans="1:62" s="20" customFormat="1" x14ac:dyDescent="0.7">
      <c r="A910" s="17"/>
      <c r="B910" s="19"/>
      <c r="C910" s="19"/>
      <c r="D910" s="19"/>
      <c r="E910" s="19"/>
      <c r="F910" s="19"/>
      <c r="G910" s="19"/>
      <c r="P910" s="29"/>
      <c r="Q910" s="29"/>
      <c r="Y910" s="29"/>
      <c r="Z910" s="29"/>
      <c r="AA910" s="29"/>
      <c r="AB910" s="29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  <c r="BA910" s="17"/>
      <c r="BB910" s="17"/>
      <c r="BC910" s="17"/>
      <c r="BD910" s="17"/>
      <c r="BE910" s="17"/>
      <c r="BF910" s="17"/>
      <c r="BG910" s="17"/>
      <c r="BH910" s="17"/>
      <c r="BI910" s="17"/>
      <c r="BJ910" s="17"/>
    </row>
    <row r="911" spans="1:62" s="20" customFormat="1" x14ac:dyDescent="0.7">
      <c r="A911" s="17"/>
      <c r="B911" s="19"/>
      <c r="C911" s="19"/>
      <c r="D911" s="19"/>
      <c r="E911" s="19"/>
      <c r="F911" s="19"/>
      <c r="G911" s="19"/>
      <c r="P911" s="29"/>
      <c r="Q911" s="29"/>
      <c r="Y911" s="29"/>
      <c r="Z911" s="29"/>
      <c r="AA911" s="29"/>
      <c r="AB911" s="29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  <c r="BA911" s="17"/>
      <c r="BB911" s="17"/>
      <c r="BC911" s="17"/>
      <c r="BD911" s="17"/>
      <c r="BE911" s="17"/>
      <c r="BF911" s="17"/>
      <c r="BG911" s="17"/>
      <c r="BH911" s="17"/>
      <c r="BI911" s="17"/>
      <c r="BJ911" s="17"/>
    </row>
    <row r="912" spans="1:62" s="20" customFormat="1" x14ac:dyDescent="0.7">
      <c r="A912" s="17"/>
      <c r="B912" s="19"/>
      <c r="C912" s="19"/>
      <c r="D912" s="19"/>
      <c r="E912" s="19"/>
      <c r="F912" s="19"/>
      <c r="G912" s="19"/>
      <c r="P912" s="29"/>
      <c r="Q912" s="29"/>
      <c r="Y912" s="29"/>
      <c r="Z912" s="29"/>
      <c r="AA912" s="29"/>
      <c r="AB912" s="29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  <c r="BA912" s="17"/>
      <c r="BB912" s="17"/>
      <c r="BC912" s="17"/>
      <c r="BD912" s="17"/>
      <c r="BE912" s="17"/>
      <c r="BF912" s="17"/>
      <c r="BG912" s="17"/>
      <c r="BH912" s="17"/>
      <c r="BI912" s="17"/>
      <c r="BJ912" s="17"/>
    </row>
    <row r="913" spans="1:62" s="20" customFormat="1" x14ac:dyDescent="0.7">
      <c r="A913" s="17"/>
      <c r="B913" s="19"/>
      <c r="C913" s="19"/>
      <c r="D913" s="19"/>
      <c r="E913" s="19"/>
      <c r="F913" s="19"/>
      <c r="G913" s="19"/>
      <c r="P913" s="29"/>
      <c r="Q913" s="29"/>
      <c r="Y913" s="29"/>
      <c r="Z913" s="29"/>
      <c r="AA913" s="29"/>
      <c r="AB913" s="29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</row>
    <row r="914" spans="1:62" s="20" customFormat="1" x14ac:dyDescent="0.7">
      <c r="A914" s="17"/>
      <c r="B914" s="19"/>
      <c r="C914" s="19"/>
      <c r="D914" s="19"/>
      <c r="E914" s="19"/>
      <c r="F914" s="19"/>
      <c r="G914" s="19"/>
      <c r="P914" s="29"/>
      <c r="Q914" s="29"/>
      <c r="Y914" s="29"/>
      <c r="Z914" s="29"/>
      <c r="AA914" s="29"/>
      <c r="AB914" s="29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</row>
    <row r="915" spans="1:62" s="20" customFormat="1" x14ac:dyDescent="0.7">
      <c r="A915" s="17"/>
      <c r="B915" s="19"/>
      <c r="C915" s="19"/>
      <c r="D915" s="19"/>
      <c r="E915" s="19"/>
      <c r="F915" s="19"/>
      <c r="G915" s="19"/>
      <c r="P915" s="29"/>
      <c r="Q915" s="29"/>
      <c r="Y915" s="29"/>
      <c r="Z915" s="29"/>
      <c r="AA915" s="29"/>
      <c r="AB915" s="29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  <c r="BA915" s="17"/>
      <c r="BB915" s="17"/>
      <c r="BC915" s="17"/>
      <c r="BD915" s="17"/>
      <c r="BE915" s="17"/>
      <c r="BF915" s="17"/>
      <c r="BG915" s="17"/>
      <c r="BH915" s="17"/>
      <c r="BI915" s="17"/>
      <c r="BJ915" s="17"/>
    </row>
    <row r="916" spans="1:62" s="20" customFormat="1" x14ac:dyDescent="0.7">
      <c r="A916" s="17"/>
      <c r="B916" s="19"/>
      <c r="C916" s="19"/>
      <c r="D916" s="19"/>
      <c r="E916" s="19"/>
      <c r="F916" s="19"/>
      <c r="G916" s="19"/>
      <c r="P916" s="29"/>
      <c r="Q916" s="29"/>
      <c r="Y916" s="29"/>
      <c r="Z916" s="29"/>
      <c r="AA916" s="29"/>
      <c r="AB916" s="29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  <c r="BA916" s="17"/>
      <c r="BB916" s="17"/>
      <c r="BC916" s="17"/>
      <c r="BD916" s="17"/>
      <c r="BE916" s="17"/>
      <c r="BF916" s="17"/>
      <c r="BG916" s="17"/>
      <c r="BH916" s="17"/>
      <c r="BI916" s="17"/>
      <c r="BJ916" s="17"/>
    </row>
    <row r="917" spans="1:62" s="20" customFormat="1" x14ac:dyDescent="0.7">
      <c r="A917" s="17"/>
      <c r="B917" s="19"/>
      <c r="C917" s="19"/>
      <c r="D917" s="19"/>
      <c r="E917" s="19"/>
      <c r="F917" s="19"/>
      <c r="G917" s="19"/>
      <c r="P917" s="29"/>
      <c r="Q917" s="29"/>
      <c r="Y917" s="29"/>
      <c r="Z917" s="29"/>
      <c r="AA917" s="29"/>
      <c r="AB917" s="29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17"/>
      <c r="BH917" s="17"/>
      <c r="BI917" s="17"/>
      <c r="BJ917" s="17"/>
    </row>
    <row r="918" spans="1:62" s="20" customFormat="1" x14ac:dyDescent="0.7">
      <c r="A918" s="17"/>
      <c r="B918" s="19"/>
      <c r="C918" s="19"/>
      <c r="D918" s="19"/>
      <c r="E918" s="19"/>
      <c r="F918" s="19"/>
      <c r="G918" s="19"/>
      <c r="P918" s="29"/>
      <c r="Q918" s="29"/>
      <c r="Y918" s="29"/>
      <c r="Z918" s="29"/>
      <c r="AA918" s="29"/>
      <c r="AB918" s="29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17"/>
      <c r="BH918" s="17"/>
      <c r="BI918" s="17"/>
      <c r="BJ918" s="17"/>
    </row>
    <row r="919" spans="1:62" s="20" customFormat="1" x14ac:dyDescent="0.7">
      <c r="A919" s="17"/>
      <c r="B919" s="19"/>
      <c r="C919" s="19"/>
      <c r="D919" s="19"/>
      <c r="E919" s="19"/>
      <c r="F919" s="19"/>
      <c r="G919" s="19"/>
      <c r="P919" s="29"/>
      <c r="Q919" s="29"/>
      <c r="Y919" s="29"/>
      <c r="Z919" s="29"/>
      <c r="AA919" s="29"/>
      <c r="AB919" s="29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17"/>
      <c r="BH919" s="17"/>
      <c r="BI919" s="17"/>
      <c r="BJ919" s="17"/>
    </row>
    <row r="920" spans="1:62" s="20" customFormat="1" x14ac:dyDescent="0.7">
      <c r="A920" s="17"/>
      <c r="B920" s="19"/>
      <c r="C920" s="19"/>
      <c r="D920" s="19"/>
      <c r="E920" s="19"/>
      <c r="F920" s="19"/>
      <c r="G920" s="19"/>
      <c r="P920" s="29"/>
      <c r="Q920" s="29"/>
      <c r="Y920" s="29"/>
      <c r="Z920" s="29"/>
      <c r="AA920" s="29"/>
      <c r="AB920" s="29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</row>
    <row r="921" spans="1:62" s="20" customFormat="1" x14ac:dyDescent="0.7">
      <c r="A921" s="17"/>
      <c r="B921" s="19"/>
      <c r="C921" s="19"/>
      <c r="D921" s="19"/>
      <c r="E921" s="19"/>
      <c r="F921" s="19"/>
      <c r="G921" s="19"/>
      <c r="P921" s="29"/>
      <c r="Q921" s="29"/>
      <c r="Y921" s="29"/>
      <c r="Z921" s="29"/>
      <c r="AA921" s="29"/>
      <c r="AB921" s="29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</row>
    <row r="922" spans="1:62" s="20" customFormat="1" x14ac:dyDescent="0.7">
      <c r="A922" s="17"/>
      <c r="B922" s="19"/>
      <c r="C922" s="19"/>
      <c r="D922" s="19"/>
      <c r="E922" s="19"/>
      <c r="F922" s="19"/>
      <c r="G922" s="19"/>
      <c r="P922" s="29"/>
      <c r="Q922" s="29"/>
      <c r="Y922" s="29"/>
      <c r="Z922" s="29"/>
      <c r="AA922" s="29"/>
      <c r="AB922" s="29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</row>
    <row r="923" spans="1:62" s="20" customFormat="1" x14ac:dyDescent="0.7">
      <c r="A923" s="17"/>
      <c r="B923" s="19"/>
      <c r="C923" s="19"/>
      <c r="D923" s="19"/>
      <c r="E923" s="19"/>
      <c r="F923" s="19"/>
      <c r="G923" s="19"/>
      <c r="P923" s="29"/>
      <c r="Q923" s="29"/>
      <c r="Y923" s="29"/>
      <c r="Z923" s="29"/>
      <c r="AA923" s="29"/>
      <c r="AB923" s="29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</row>
    <row r="924" spans="1:62" s="20" customFormat="1" x14ac:dyDescent="0.7">
      <c r="A924" s="17"/>
      <c r="B924" s="19"/>
      <c r="C924" s="19"/>
      <c r="D924" s="19"/>
      <c r="E924" s="19"/>
      <c r="F924" s="19"/>
      <c r="G924" s="19"/>
      <c r="P924" s="29"/>
      <c r="Q924" s="29"/>
      <c r="Y924" s="29"/>
      <c r="Z924" s="29"/>
      <c r="AA924" s="29"/>
      <c r="AB924" s="29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17"/>
      <c r="BH924" s="17"/>
      <c r="BI924" s="17"/>
      <c r="BJ924" s="17"/>
    </row>
    <row r="925" spans="1:62" s="20" customFormat="1" x14ac:dyDescent="0.7">
      <c r="A925" s="17"/>
      <c r="B925" s="19"/>
      <c r="C925" s="19"/>
      <c r="D925" s="19"/>
      <c r="E925" s="19"/>
      <c r="F925" s="19"/>
      <c r="G925" s="19"/>
      <c r="P925" s="29"/>
      <c r="Q925" s="29"/>
      <c r="Y925" s="29"/>
      <c r="Z925" s="29"/>
      <c r="AA925" s="29"/>
      <c r="AB925" s="29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17"/>
      <c r="BH925" s="17"/>
      <c r="BI925" s="17"/>
      <c r="BJ925" s="17"/>
    </row>
    <row r="926" spans="1:62" s="20" customFormat="1" x14ac:dyDescent="0.7">
      <c r="A926" s="17"/>
      <c r="B926" s="19"/>
      <c r="C926" s="19"/>
      <c r="D926" s="19"/>
      <c r="E926" s="19"/>
      <c r="F926" s="19"/>
      <c r="G926" s="19"/>
      <c r="P926" s="29"/>
      <c r="Q926" s="29"/>
      <c r="Y926" s="29"/>
      <c r="Z926" s="29"/>
      <c r="AA926" s="29"/>
      <c r="AB926" s="29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17"/>
      <c r="BH926" s="17"/>
      <c r="BI926" s="17"/>
      <c r="BJ926" s="17"/>
    </row>
    <row r="927" spans="1:62" s="20" customFormat="1" x14ac:dyDescent="0.7">
      <c r="A927" s="17"/>
      <c r="B927" s="19"/>
      <c r="C927" s="19"/>
      <c r="D927" s="19"/>
      <c r="E927" s="19"/>
      <c r="F927" s="19"/>
      <c r="G927" s="19"/>
      <c r="P927" s="29"/>
      <c r="Q927" s="29"/>
      <c r="Y927" s="29"/>
      <c r="Z927" s="29"/>
      <c r="AA927" s="29"/>
      <c r="AB927" s="29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</row>
    <row r="928" spans="1:62" s="20" customFormat="1" x14ac:dyDescent="0.7">
      <c r="A928" s="17"/>
      <c r="B928" s="19"/>
      <c r="C928" s="19"/>
      <c r="D928" s="19"/>
      <c r="E928" s="19"/>
      <c r="F928" s="19"/>
      <c r="G928" s="19"/>
      <c r="P928" s="29"/>
      <c r="Q928" s="29"/>
      <c r="Y928" s="29"/>
      <c r="Z928" s="29"/>
      <c r="AA928" s="29"/>
      <c r="AB928" s="29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17"/>
      <c r="BH928" s="17"/>
      <c r="BI928" s="17"/>
      <c r="BJ928" s="17"/>
    </row>
    <row r="929" spans="1:62" s="20" customFormat="1" x14ac:dyDescent="0.7">
      <c r="A929" s="17"/>
      <c r="B929" s="19"/>
      <c r="C929" s="19"/>
      <c r="D929" s="19"/>
      <c r="E929" s="19"/>
      <c r="F929" s="19"/>
      <c r="G929" s="19"/>
      <c r="P929" s="29"/>
      <c r="Q929" s="29"/>
      <c r="Y929" s="29"/>
      <c r="Z929" s="29"/>
      <c r="AA929" s="29"/>
      <c r="AB929" s="29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17"/>
      <c r="BH929" s="17"/>
      <c r="BI929" s="17"/>
      <c r="BJ929" s="17"/>
    </row>
    <row r="930" spans="1:62" s="20" customFormat="1" x14ac:dyDescent="0.7">
      <c r="A930" s="17"/>
      <c r="B930" s="19"/>
      <c r="C930" s="19"/>
      <c r="D930" s="19"/>
      <c r="E930" s="19"/>
      <c r="F930" s="19"/>
      <c r="G930" s="19"/>
      <c r="P930" s="29"/>
      <c r="Q930" s="29"/>
      <c r="Y930" s="29"/>
      <c r="Z930" s="29"/>
      <c r="AA930" s="29"/>
      <c r="AB930" s="29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17"/>
      <c r="BH930" s="17"/>
      <c r="BI930" s="17"/>
      <c r="BJ930" s="17"/>
    </row>
    <row r="931" spans="1:62" s="20" customFormat="1" x14ac:dyDescent="0.7">
      <c r="A931" s="17"/>
      <c r="B931" s="19"/>
      <c r="C931" s="19"/>
      <c r="D931" s="19"/>
      <c r="E931" s="19"/>
      <c r="F931" s="19"/>
      <c r="G931" s="19"/>
      <c r="P931" s="29"/>
      <c r="Q931" s="29"/>
      <c r="Y931" s="29"/>
      <c r="Z931" s="29"/>
      <c r="AA931" s="29"/>
      <c r="AB931" s="29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</row>
    <row r="932" spans="1:62" s="20" customFormat="1" x14ac:dyDescent="0.7">
      <c r="A932" s="17"/>
      <c r="B932" s="19"/>
      <c r="C932" s="19"/>
      <c r="D932" s="19"/>
      <c r="E932" s="19"/>
      <c r="F932" s="19"/>
      <c r="G932" s="19"/>
      <c r="P932" s="29"/>
      <c r="Q932" s="29"/>
      <c r="Y932" s="29"/>
      <c r="Z932" s="29"/>
      <c r="AA932" s="29"/>
      <c r="AB932" s="29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  <c r="BA932" s="17"/>
      <c r="BB932" s="17"/>
      <c r="BC932" s="17"/>
      <c r="BD932" s="17"/>
      <c r="BE932" s="17"/>
      <c r="BF932" s="17"/>
      <c r="BG932" s="17"/>
      <c r="BH932" s="17"/>
      <c r="BI932" s="17"/>
      <c r="BJ932" s="17"/>
    </row>
    <row r="933" spans="1:62" s="20" customFormat="1" x14ac:dyDescent="0.7">
      <c r="A933" s="17"/>
      <c r="B933" s="19"/>
      <c r="C933" s="19"/>
      <c r="D933" s="19"/>
      <c r="E933" s="19"/>
      <c r="F933" s="19"/>
      <c r="G933" s="19"/>
      <c r="P933" s="29"/>
      <c r="Q933" s="29"/>
      <c r="Y933" s="29"/>
      <c r="Z933" s="29"/>
      <c r="AA933" s="29"/>
      <c r="AB933" s="29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  <c r="BA933" s="17"/>
      <c r="BB933" s="17"/>
      <c r="BC933" s="17"/>
      <c r="BD933" s="17"/>
      <c r="BE933" s="17"/>
      <c r="BF933" s="17"/>
      <c r="BG933" s="17"/>
      <c r="BH933" s="17"/>
      <c r="BI933" s="17"/>
      <c r="BJ933" s="17"/>
    </row>
    <row r="934" spans="1:62" s="20" customFormat="1" x14ac:dyDescent="0.7">
      <c r="A934" s="17"/>
      <c r="B934" s="19"/>
      <c r="C934" s="19"/>
      <c r="D934" s="19"/>
      <c r="E934" s="19"/>
      <c r="F934" s="19"/>
      <c r="G934" s="19"/>
      <c r="P934" s="29"/>
      <c r="Q934" s="29"/>
      <c r="Y934" s="29"/>
      <c r="Z934" s="29"/>
      <c r="AA934" s="29"/>
      <c r="AB934" s="29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</row>
    <row r="935" spans="1:62" s="20" customFormat="1" x14ac:dyDescent="0.7">
      <c r="A935" s="17"/>
      <c r="B935" s="19"/>
      <c r="C935" s="19"/>
      <c r="D935" s="19"/>
      <c r="E935" s="19"/>
      <c r="F935" s="19"/>
      <c r="G935" s="19"/>
      <c r="P935" s="29"/>
      <c r="Q935" s="29"/>
      <c r="Y935" s="29"/>
      <c r="Z935" s="29"/>
      <c r="AA935" s="29"/>
      <c r="AB935" s="29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</row>
    <row r="936" spans="1:62" s="20" customFormat="1" x14ac:dyDescent="0.7">
      <c r="A936" s="17"/>
      <c r="B936" s="19"/>
      <c r="C936" s="19"/>
      <c r="D936" s="19"/>
      <c r="E936" s="19"/>
      <c r="F936" s="19"/>
      <c r="G936" s="19"/>
      <c r="P936" s="29"/>
      <c r="Q936" s="29"/>
      <c r="Y936" s="29"/>
      <c r="Z936" s="29"/>
      <c r="AA936" s="29"/>
      <c r="AB936" s="29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</row>
    <row r="937" spans="1:62" s="20" customFormat="1" x14ac:dyDescent="0.7">
      <c r="A937" s="17"/>
      <c r="B937" s="19"/>
      <c r="C937" s="19"/>
      <c r="D937" s="19"/>
      <c r="E937" s="19"/>
      <c r="F937" s="19"/>
      <c r="G937" s="19"/>
      <c r="P937" s="29"/>
      <c r="Q937" s="29"/>
      <c r="Y937" s="29"/>
      <c r="Z937" s="29"/>
      <c r="AA937" s="29"/>
      <c r="AB937" s="29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  <c r="BA937" s="17"/>
      <c r="BB937" s="17"/>
      <c r="BC937" s="17"/>
      <c r="BD937" s="17"/>
      <c r="BE937" s="17"/>
      <c r="BF937" s="17"/>
      <c r="BG937" s="17"/>
      <c r="BH937" s="17"/>
      <c r="BI937" s="17"/>
      <c r="BJ937" s="17"/>
    </row>
    <row r="938" spans="1:62" s="20" customFormat="1" x14ac:dyDescent="0.7">
      <c r="A938" s="17"/>
      <c r="B938" s="19"/>
      <c r="C938" s="19"/>
      <c r="D938" s="19"/>
      <c r="E938" s="19"/>
      <c r="F938" s="19"/>
      <c r="G938" s="19"/>
      <c r="P938" s="29"/>
      <c r="Q938" s="29"/>
      <c r="Y938" s="29"/>
      <c r="Z938" s="29"/>
      <c r="AA938" s="29"/>
      <c r="AB938" s="29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  <c r="BA938" s="17"/>
      <c r="BB938" s="17"/>
      <c r="BC938" s="17"/>
      <c r="BD938" s="17"/>
      <c r="BE938" s="17"/>
      <c r="BF938" s="17"/>
      <c r="BG938" s="17"/>
      <c r="BH938" s="17"/>
      <c r="BI938" s="17"/>
      <c r="BJ938" s="17"/>
    </row>
    <row r="939" spans="1:62" s="20" customFormat="1" x14ac:dyDescent="0.7">
      <c r="A939" s="17"/>
      <c r="B939" s="19"/>
      <c r="C939" s="19"/>
      <c r="D939" s="19"/>
      <c r="E939" s="19"/>
      <c r="F939" s="19"/>
      <c r="G939" s="19"/>
      <c r="P939" s="29"/>
      <c r="Q939" s="29"/>
      <c r="Y939" s="29"/>
      <c r="Z939" s="29"/>
      <c r="AA939" s="29"/>
      <c r="AB939" s="29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</row>
    <row r="940" spans="1:62" s="20" customFormat="1" x14ac:dyDescent="0.7">
      <c r="A940" s="17"/>
      <c r="B940" s="19"/>
      <c r="C940" s="19"/>
      <c r="D940" s="19"/>
      <c r="E940" s="19"/>
      <c r="F940" s="19"/>
      <c r="G940" s="19"/>
      <c r="P940" s="29"/>
      <c r="Q940" s="29"/>
      <c r="Y940" s="29"/>
      <c r="Z940" s="29"/>
      <c r="AA940" s="29"/>
      <c r="AB940" s="29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</row>
    <row r="941" spans="1:62" s="20" customFormat="1" x14ac:dyDescent="0.7">
      <c r="A941" s="17"/>
      <c r="B941" s="19"/>
      <c r="C941" s="19"/>
      <c r="D941" s="19"/>
      <c r="E941" s="19"/>
      <c r="F941" s="19"/>
      <c r="G941" s="19"/>
      <c r="P941" s="29"/>
      <c r="Q941" s="29"/>
      <c r="Y941" s="29"/>
      <c r="Z941" s="29"/>
      <c r="AA941" s="29"/>
      <c r="AB941" s="29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</row>
    <row r="942" spans="1:62" s="20" customFormat="1" x14ac:dyDescent="0.7">
      <c r="A942" s="17"/>
      <c r="B942" s="19"/>
      <c r="C942" s="19"/>
      <c r="D942" s="19"/>
      <c r="E942" s="19"/>
      <c r="F942" s="19"/>
      <c r="G942" s="19"/>
      <c r="P942" s="29"/>
      <c r="Q942" s="29"/>
      <c r="Y942" s="29"/>
      <c r="Z942" s="29"/>
      <c r="AA942" s="29"/>
      <c r="AB942" s="29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</row>
    <row r="943" spans="1:62" s="20" customFormat="1" x14ac:dyDescent="0.7">
      <c r="A943" s="17"/>
      <c r="B943" s="19"/>
      <c r="C943" s="19"/>
      <c r="D943" s="19"/>
      <c r="E943" s="19"/>
      <c r="F943" s="19"/>
      <c r="G943" s="19"/>
      <c r="P943" s="29"/>
      <c r="Q943" s="29"/>
      <c r="Y943" s="29"/>
      <c r="Z943" s="29"/>
      <c r="AA943" s="29"/>
      <c r="AB943" s="29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</row>
    <row r="944" spans="1:62" s="20" customFormat="1" x14ac:dyDescent="0.7">
      <c r="A944" s="17"/>
      <c r="B944" s="19"/>
      <c r="C944" s="19"/>
      <c r="D944" s="19"/>
      <c r="E944" s="19"/>
      <c r="F944" s="19"/>
      <c r="G944" s="19"/>
      <c r="P944" s="29"/>
      <c r="Q944" s="29"/>
      <c r="Y944" s="29"/>
      <c r="Z944" s="29"/>
      <c r="AA944" s="29"/>
      <c r="AB944" s="29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  <c r="BA944" s="17"/>
      <c r="BB944" s="17"/>
      <c r="BC944" s="17"/>
      <c r="BD944" s="17"/>
      <c r="BE944" s="17"/>
      <c r="BF944" s="17"/>
      <c r="BG944" s="17"/>
      <c r="BH944" s="17"/>
      <c r="BI944" s="17"/>
      <c r="BJ944" s="17"/>
    </row>
    <row r="945" spans="1:62" s="20" customFormat="1" x14ac:dyDescent="0.7">
      <c r="A945" s="17"/>
      <c r="B945" s="19"/>
      <c r="C945" s="19"/>
      <c r="D945" s="19"/>
      <c r="E945" s="19"/>
      <c r="F945" s="19"/>
      <c r="G945" s="19"/>
      <c r="P945" s="29"/>
      <c r="Q945" s="29"/>
      <c r="Y945" s="29"/>
      <c r="Z945" s="29"/>
      <c r="AA945" s="29"/>
      <c r="AB945" s="29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</row>
    <row r="946" spans="1:62" s="20" customFormat="1" x14ac:dyDescent="0.7">
      <c r="A946" s="17"/>
      <c r="B946" s="19"/>
      <c r="C946" s="19"/>
      <c r="D946" s="19"/>
      <c r="E946" s="19"/>
      <c r="F946" s="19"/>
      <c r="G946" s="19"/>
      <c r="P946" s="29"/>
      <c r="Q946" s="29"/>
      <c r="Y946" s="29"/>
      <c r="Z946" s="29"/>
      <c r="AA946" s="29"/>
      <c r="AB946" s="29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</row>
    <row r="947" spans="1:62" s="20" customFormat="1" x14ac:dyDescent="0.7">
      <c r="A947" s="17"/>
      <c r="B947" s="19"/>
      <c r="C947" s="19"/>
      <c r="D947" s="19"/>
      <c r="E947" s="19"/>
      <c r="F947" s="19"/>
      <c r="G947" s="19"/>
      <c r="P947" s="29"/>
      <c r="Q947" s="29"/>
      <c r="Y947" s="29"/>
      <c r="Z947" s="29"/>
      <c r="AA947" s="29"/>
      <c r="AB947" s="29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  <c r="BA947" s="17"/>
      <c r="BB947" s="17"/>
      <c r="BC947" s="17"/>
      <c r="BD947" s="17"/>
      <c r="BE947" s="17"/>
      <c r="BF947" s="17"/>
      <c r="BG947" s="17"/>
      <c r="BH947" s="17"/>
      <c r="BI947" s="17"/>
      <c r="BJ947" s="17"/>
    </row>
    <row r="948" spans="1:62" s="20" customFormat="1" x14ac:dyDescent="0.7">
      <c r="A948" s="17"/>
      <c r="B948" s="19"/>
      <c r="C948" s="19"/>
      <c r="D948" s="19"/>
      <c r="E948" s="19"/>
      <c r="F948" s="19"/>
      <c r="G948" s="19"/>
      <c r="P948" s="29"/>
      <c r="Q948" s="29"/>
      <c r="Y948" s="29"/>
      <c r="Z948" s="29"/>
      <c r="AA948" s="29"/>
      <c r="AB948" s="29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</row>
    <row r="949" spans="1:62" s="20" customFormat="1" x14ac:dyDescent="0.7">
      <c r="A949" s="17"/>
      <c r="B949" s="19"/>
      <c r="C949" s="19"/>
      <c r="D949" s="19"/>
      <c r="E949" s="19"/>
      <c r="F949" s="19"/>
      <c r="G949" s="19"/>
      <c r="P949" s="29"/>
      <c r="Q949" s="29"/>
      <c r="Y949" s="29"/>
      <c r="Z949" s="29"/>
      <c r="AA949" s="29"/>
      <c r="AB949" s="29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</row>
    <row r="950" spans="1:62" s="20" customFormat="1" x14ac:dyDescent="0.7">
      <c r="A950" s="17"/>
      <c r="B950" s="19"/>
      <c r="C950" s="19"/>
      <c r="D950" s="19"/>
      <c r="E950" s="19"/>
      <c r="F950" s="19"/>
      <c r="G950" s="19"/>
      <c r="P950" s="29"/>
      <c r="Q950" s="29"/>
      <c r="Y950" s="29"/>
      <c r="Z950" s="29"/>
      <c r="AA950" s="29"/>
      <c r="AB950" s="29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</row>
    <row r="951" spans="1:62" s="20" customFormat="1" x14ac:dyDescent="0.7">
      <c r="A951" s="17"/>
      <c r="B951" s="19"/>
      <c r="C951" s="19"/>
      <c r="D951" s="19"/>
      <c r="E951" s="19"/>
      <c r="F951" s="19"/>
      <c r="G951" s="19"/>
      <c r="P951" s="29"/>
      <c r="Q951" s="29"/>
      <c r="Y951" s="29"/>
      <c r="Z951" s="29"/>
      <c r="AA951" s="29"/>
      <c r="AB951" s="29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</row>
    <row r="952" spans="1:62" s="20" customFormat="1" x14ac:dyDescent="0.7">
      <c r="A952" s="17"/>
      <c r="B952" s="19"/>
      <c r="C952" s="19"/>
      <c r="D952" s="19"/>
      <c r="E952" s="19"/>
      <c r="F952" s="19"/>
      <c r="G952" s="19"/>
      <c r="P952" s="29"/>
      <c r="Q952" s="29"/>
      <c r="Y952" s="29"/>
      <c r="Z952" s="29"/>
      <c r="AA952" s="29"/>
      <c r="AB952" s="29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  <c r="BA952" s="17"/>
      <c r="BB952" s="17"/>
      <c r="BC952" s="17"/>
      <c r="BD952" s="17"/>
      <c r="BE952" s="17"/>
      <c r="BF952" s="17"/>
      <c r="BG952" s="17"/>
      <c r="BH952" s="17"/>
      <c r="BI952" s="17"/>
      <c r="BJ952" s="17"/>
    </row>
    <row r="953" spans="1:62" s="20" customFormat="1" x14ac:dyDescent="0.7">
      <c r="A953" s="17"/>
      <c r="B953" s="19"/>
      <c r="C953" s="19"/>
      <c r="D953" s="19"/>
      <c r="E953" s="19"/>
      <c r="F953" s="19"/>
      <c r="G953" s="19"/>
      <c r="P953" s="29"/>
      <c r="Q953" s="29"/>
      <c r="Y953" s="29"/>
      <c r="Z953" s="29"/>
      <c r="AA953" s="29"/>
      <c r="AB953" s="29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  <c r="BA953" s="17"/>
      <c r="BB953" s="17"/>
      <c r="BC953" s="17"/>
      <c r="BD953" s="17"/>
      <c r="BE953" s="17"/>
      <c r="BF953" s="17"/>
      <c r="BG953" s="17"/>
      <c r="BH953" s="17"/>
      <c r="BI953" s="17"/>
      <c r="BJ953" s="17"/>
    </row>
    <row r="954" spans="1:62" s="20" customFormat="1" x14ac:dyDescent="0.7">
      <c r="A954" s="17"/>
      <c r="B954" s="19"/>
      <c r="C954" s="19"/>
      <c r="D954" s="19"/>
      <c r="E954" s="19"/>
      <c r="F954" s="19"/>
      <c r="G954" s="19"/>
      <c r="P954" s="29"/>
      <c r="Q954" s="29"/>
      <c r="Y954" s="29"/>
      <c r="Z954" s="29"/>
      <c r="AA954" s="29"/>
      <c r="AB954" s="29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  <c r="BA954" s="17"/>
      <c r="BB954" s="17"/>
      <c r="BC954" s="17"/>
      <c r="BD954" s="17"/>
      <c r="BE954" s="17"/>
      <c r="BF954" s="17"/>
      <c r="BG954" s="17"/>
      <c r="BH954" s="17"/>
      <c r="BI954" s="17"/>
      <c r="BJ954" s="17"/>
    </row>
    <row r="955" spans="1:62" s="20" customFormat="1" x14ac:dyDescent="0.7">
      <c r="A955" s="17"/>
      <c r="B955" s="19"/>
      <c r="C955" s="19"/>
      <c r="D955" s="19"/>
      <c r="E955" s="19"/>
      <c r="F955" s="19"/>
      <c r="G955" s="19"/>
      <c r="P955" s="29"/>
      <c r="Q955" s="29"/>
      <c r="Y955" s="29"/>
      <c r="Z955" s="29"/>
      <c r="AA955" s="29"/>
      <c r="AB955" s="29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  <c r="BA955" s="17"/>
      <c r="BB955" s="17"/>
      <c r="BC955" s="17"/>
      <c r="BD955" s="17"/>
      <c r="BE955" s="17"/>
      <c r="BF955" s="17"/>
      <c r="BG955" s="17"/>
      <c r="BH955" s="17"/>
      <c r="BI955" s="17"/>
      <c r="BJ955" s="17"/>
    </row>
    <row r="956" spans="1:62" s="20" customFormat="1" x14ac:dyDescent="0.7">
      <c r="A956" s="17"/>
      <c r="B956" s="19"/>
      <c r="C956" s="19"/>
      <c r="D956" s="19"/>
      <c r="E956" s="19"/>
      <c r="F956" s="19"/>
      <c r="G956" s="19"/>
      <c r="P956" s="29"/>
      <c r="Q956" s="29"/>
      <c r="Y956" s="29"/>
      <c r="Z956" s="29"/>
      <c r="AA956" s="29"/>
      <c r="AB956" s="29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  <c r="BA956" s="17"/>
      <c r="BB956" s="17"/>
      <c r="BC956" s="17"/>
      <c r="BD956" s="17"/>
      <c r="BE956" s="17"/>
      <c r="BF956" s="17"/>
      <c r="BG956" s="17"/>
      <c r="BH956" s="17"/>
      <c r="BI956" s="17"/>
      <c r="BJ956" s="17"/>
    </row>
    <row r="957" spans="1:62" s="20" customFormat="1" x14ac:dyDescent="0.7">
      <c r="A957" s="17"/>
      <c r="B957" s="19"/>
      <c r="C957" s="19"/>
      <c r="D957" s="19"/>
      <c r="E957" s="19"/>
      <c r="F957" s="19"/>
      <c r="G957" s="19"/>
      <c r="P957" s="29"/>
      <c r="Q957" s="29"/>
      <c r="Y957" s="29"/>
      <c r="Z957" s="29"/>
      <c r="AA957" s="29"/>
      <c r="AB957" s="29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  <c r="BA957" s="17"/>
      <c r="BB957" s="17"/>
      <c r="BC957" s="17"/>
      <c r="BD957" s="17"/>
      <c r="BE957" s="17"/>
      <c r="BF957" s="17"/>
      <c r="BG957" s="17"/>
      <c r="BH957" s="17"/>
      <c r="BI957" s="17"/>
      <c r="BJ957" s="17"/>
    </row>
    <row r="958" spans="1:62" s="20" customFormat="1" x14ac:dyDescent="0.7">
      <c r="A958" s="17"/>
      <c r="B958" s="19"/>
      <c r="C958" s="19"/>
      <c r="D958" s="19"/>
      <c r="E958" s="19"/>
      <c r="F958" s="19"/>
      <c r="G958" s="19"/>
      <c r="P958" s="29"/>
      <c r="Q958" s="29"/>
      <c r="Y958" s="29"/>
      <c r="Z958" s="29"/>
      <c r="AA958" s="29"/>
      <c r="AB958" s="29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  <c r="BA958" s="17"/>
      <c r="BB958" s="17"/>
      <c r="BC958" s="17"/>
      <c r="BD958" s="17"/>
      <c r="BE958" s="17"/>
      <c r="BF958" s="17"/>
      <c r="BG958" s="17"/>
      <c r="BH958" s="17"/>
      <c r="BI958" s="17"/>
      <c r="BJ958" s="17"/>
    </row>
    <row r="959" spans="1:62" s="20" customFormat="1" x14ac:dyDescent="0.7">
      <c r="A959" s="17"/>
      <c r="B959" s="19"/>
      <c r="C959" s="19"/>
      <c r="D959" s="19"/>
      <c r="E959" s="19"/>
      <c r="F959" s="19"/>
      <c r="G959" s="19"/>
      <c r="P959" s="29"/>
      <c r="Q959" s="29"/>
      <c r="Y959" s="29"/>
      <c r="Z959" s="29"/>
      <c r="AA959" s="29"/>
      <c r="AB959" s="29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</row>
    <row r="960" spans="1:62" s="20" customFormat="1" x14ac:dyDescent="0.7">
      <c r="A960" s="17"/>
      <c r="B960" s="19"/>
      <c r="C960" s="19"/>
      <c r="D960" s="19"/>
      <c r="E960" s="19"/>
      <c r="F960" s="19"/>
      <c r="G960" s="19"/>
      <c r="P960" s="29"/>
      <c r="Q960" s="29"/>
      <c r="Y960" s="29"/>
      <c r="Z960" s="29"/>
      <c r="AA960" s="29"/>
      <c r="AB960" s="29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</row>
    <row r="961" spans="1:62" s="20" customFormat="1" x14ac:dyDescent="0.7">
      <c r="A961" s="17"/>
      <c r="B961" s="19"/>
      <c r="C961" s="19"/>
      <c r="D961" s="19"/>
      <c r="E961" s="19"/>
      <c r="F961" s="19"/>
      <c r="G961" s="19"/>
      <c r="P961" s="29"/>
      <c r="Q961" s="29"/>
      <c r="Y961" s="29"/>
      <c r="Z961" s="29"/>
      <c r="AA961" s="29"/>
      <c r="AB961" s="29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  <c r="BA961" s="17"/>
      <c r="BB961" s="17"/>
      <c r="BC961" s="17"/>
      <c r="BD961" s="17"/>
      <c r="BE961" s="17"/>
      <c r="BF961" s="17"/>
      <c r="BG961" s="17"/>
      <c r="BH961" s="17"/>
      <c r="BI961" s="17"/>
      <c r="BJ961" s="17"/>
    </row>
    <row r="962" spans="1:62" s="20" customFormat="1" x14ac:dyDescent="0.7">
      <c r="A962" s="17"/>
      <c r="B962" s="19"/>
      <c r="C962" s="19"/>
      <c r="D962" s="19"/>
      <c r="E962" s="19"/>
      <c r="F962" s="19"/>
      <c r="G962" s="19"/>
      <c r="P962" s="29"/>
      <c r="Q962" s="29"/>
      <c r="Y962" s="29"/>
      <c r="Z962" s="29"/>
      <c r="AA962" s="29"/>
      <c r="AB962" s="29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  <c r="BA962" s="17"/>
      <c r="BB962" s="17"/>
      <c r="BC962" s="17"/>
      <c r="BD962" s="17"/>
      <c r="BE962" s="17"/>
      <c r="BF962" s="17"/>
      <c r="BG962" s="17"/>
      <c r="BH962" s="17"/>
      <c r="BI962" s="17"/>
      <c r="BJ962" s="17"/>
    </row>
    <row r="963" spans="1:62" s="20" customFormat="1" x14ac:dyDescent="0.7">
      <c r="A963" s="17"/>
      <c r="B963" s="19"/>
      <c r="C963" s="19"/>
      <c r="D963" s="19"/>
      <c r="E963" s="19"/>
      <c r="F963" s="19"/>
      <c r="G963" s="19"/>
      <c r="P963" s="29"/>
      <c r="Q963" s="29"/>
      <c r="Y963" s="29"/>
      <c r="Z963" s="29"/>
      <c r="AA963" s="29"/>
      <c r="AB963" s="29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  <c r="BA963" s="17"/>
      <c r="BB963" s="17"/>
      <c r="BC963" s="17"/>
      <c r="BD963" s="17"/>
      <c r="BE963" s="17"/>
      <c r="BF963" s="17"/>
      <c r="BG963" s="17"/>
      <c r="BH963" s="17"/>
      <c r="BI963" s="17"/>
      <c r="BJ963" s="17"/>
    </row>
    <row r="964" spans="1:62" s="20" customFormat="1" x14ac:dyDescent="0.7">
      <c r="A964" s="17"/>
      <c r="B964" s="19"/>
      <c r="C964" s="19"/>
      <c r="D964" s="19"/>
      <c r="E964" s="19"/>
      <c r="F964" s="19"/>
      <c r="G964" s="19"/>
      <c r="P964" s="29"/>
      <c r="Q964" s="29"/>
      <c r="Y964" s="29"/>
      <c r="Z964" s="29"/>
      <c r="AA964" s="29"/>
      <c r="AB964" s="29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</row>
    <row r="965" spans="1:62" s="20" customFormat="1" x14ac:dyDescent="0.7">
      <c r="A965" s="17"/>
      <c r="B965" s="19"/>
      <c r="C965" s="19"/>
      <c r="D965" s="19"/>
      <c r="E965" s="19"/>
      <c r="F965" s="19"/>
      <c r="G965" s="19"/>
      <c r="P965" s="29"/>
      <c r="Q965" s="29"/>
      <c r="Y965" s="29"/>
      <c r="Z965" s="29"/>
      <c r="AA965" s="29"/>
      <c r="AB965" s="29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</row>
    <row r="966" spans="1:62" s="20" customFormat="1" x14ac:dyDescent="0.7">
      <c r="A966" s="17"/>
      <c r="B966" s="19"/>
      <c r="C966" s="19"/>
      <c r="D966" s="19"/>
      <c r="E966" s="19"/>
      <c r="F966" s="19"/>
      <c r="G966" s="19"/>
      <c r="P966" s="29"/>
      <c r="Q966" s="29"/>
      <c r="Y966" s="29"/>
      <c r="Z966" s="29"/>
      <c r="AA966" s="29"/>
      <c r="AB966" s="29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</row>
    <row r="967" spans="1:62" s="20" customFormat="1" x14ac:dyDescent="0.7">
      <c r="A967" s="17"/>
      <c r="B967" s="19"/>
      <c r="C967" s="19"/>
      <c r="D967" s="19"/>
      <c r="E967" s="19"/>
      <c r="F967" s="19"/>
      <c r="G967" s="19"/>
      <c r="P967" s="29"/>
      <c r="Q967" s="29"/>
      <c r="Y967" s="29"/>
      <c r="Z967" s="29"/>
      <c r="AA967" s="29"/>
      <c r="AB967" s="29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  <c r="BA967" s="17"/>
      <c r="BB967" s="17"/>
      <c r="BC967" s="17"/>
      <c r="BD967" s="17"/>
      <c r="BE967" s="17"/>
      <c r="BF967" s="17"/>
      <c r="BG967" s="17"/>
      <c r="BH967" s="17"/>
      <c r="BI967" s="17"/>
      <c r="BJ967" s="17"/>
    </row>
    <row r="968" spans="1:62" s="20" customFormat="1" x14ac:dyDescent="0.7">
      <c r="A968" s="17"/>
      <c r="B968" s="19"/>
      <c r="C968" s="19"/>
      <c r="D968" s="19"/>
      <c r="E968" s="19"/>
      <c r="F968" s="19"/>
      <c r="G968" s="19"/>
      <c r="P968" s="29"/>
      <c r="Q968" s="29"/>
      <c r="Y968" s="29"/>
      <c r="Z968" s="29"/>
      <c r="AA968" s="29"/>
      <c r="AB968" s="29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</row>
    <row r="969" spans="1:62" s="20" customFormat="1" x14ac:dyDescent="0.7">
      <c r="A969" s="17"/>
      <c r="B969" s="19"/>
      <c r="C969" s="19"/>
      <c r="D969" s="19"/>
      <c r="E969" s="19"/>
      <c r="F969" s="19"/>
      <c r="G969" s="19"/>
      <c r="P969" s="29"/>
      <c r="Q969" s="29"/>
      <c r="Y969" s="29"/>
      <c r="Z969" s="29"/>
      <c r="AA969" s="29"/>
      <c r="AB969" s="29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  <c r="BA969" s="17"/>
      <c r="BB969" s="17"/>
      <c r="BC969" s="17"/>
      <c r="BD969" s="17"/>
      <c r="BE969" s="17"/>
      <c r="BF969" s="17"/>
      <c r="BG969" s="17"/>
      <c r="BH969" s="17"/>
      <c r="BI969" s="17"/>
      <c r="BJ969" s="17"/>
    </row>
    <row r="970" spans="1:62" s="20" customFormat="1" x14ac:dyDescent="0.7">
      <c r="A970" s="17"/>
      <c r="B970" s="19"/>
      <c r="C970" s="19"/>
      <c r="D970" s="19"/>
      <c r="E970" s="19"/>
      <c r="F970" s="19"/>
      <c r="G970" s="19"/>
      <c r="P970" s="29"/>
      <c r="Q970" s="29"/>
      <c r="Y970" s="29"/>
      <c r="Z970" s="29"/>
      <c r="AA970" s="29"/>
      <c r="AB970" s="29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  <c r="BA970" s="17"/>
      <c r="BB970" s="17"/>
      <c r="BC970" s="17"/>
      <c r="BD970" s="17"/>
      <c r="BE970" s="17"/>
      <c r="BF970" s="17"/>
      <c r="BG970" s="17"/>
      <c r="BH970" s="17"/>
      <c r="BI970" s="17"/>
      <c r="BJ970" s="17"/>
    </row>
    <row r="971" spans="1:62" s="20" customFormat="1" x14ac:dyDescent="0.7">
      <c r="A971" s="17"/>
      <c r="B971" s="19"/>
      <c r="C971" s="19"/>
      <c r="D971" s="19"/>
      <c r="E971" s="19"/>
      <c r="F971" s="19"/>
      <c r="G971" s="19"/>
      <c r="P971" s="29"/>
      <c r="Q971" s="29"/>
      <c r="Y971" s="29"/>
      <c r="Z971" s="29"/>
      <c r="AA971" s="29"/>
      <c r="AB971" s="29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</row>
    <row r="972" spans="1:62" s="20" customFormat="1" x14ac:dyDescent="0.7">
      <c r="A972" s="17"/>
      <c r="B972" s="19"/>
      <c r="C972" s="19"/>
      <c r="D972" s="19"/>
      <c r="E972" s="19"/>
      <c r="F972" s="19"/>
      <c r="G972" s="19"/>
      <c r="P972" s="29"/>
      <c r="Q972" s="29"/>
      <c r="Y972" s="29"/>
      <c r="Z972" s="29"/>
      <c r="AA972" s="29"/>
      <c r="AB972" s="29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</row>
    <row r="973" spans="1:62" s="20" customFormat="1" x14ac:dyDescent="0.7">
      <c r="A973" s="17"/>
      <c r="B973" s="19"/>
      <c r="C973" s="19"/>
      <c r="D973" s="19"/>
      <c r="E973" s="19"/>
      <c r="F973" s="19"/>
      <c r="G973" s="19"/>
      <c r="P973" s="29"/>
      <c r="Q973" s="29"/>
      <c r="Y973" s="29"/>
      <c r="Z973" s="29"/>
      <c r="AA973" s="29"/>
      <c r="AB973" s="29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</row>
    <row r="974" spans="1:62" s="20" customFormat="1" x14ac:dyDescent="0.7">
      <c r="A974" s="17"/>
      <c r="B974" s="19"/>
      <c r="C974" s="19"/>
      <c r="D974" s="19"/>
      <c r="E974" s="19"/>
      <c r="F974" s="19"/>
      <c r="G974" s="19"/>
      <c r="P974" s="29"/>
      <c r="Q974" s="29"/>
      <c r="Y974" s="29"/>
      <c r="Z974" s="29"/>
      <c r="AA974" s="29"/>
      <c r="AB974" s="29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</row>
    <row r="975" spans="1:62" s="20" customFormat="1" x14ac:dyDescent="0.7">
      <c r="A975" s="17"/>
      <c r="B975" s="19"/>
      <c r="C975" s="19"/>
      <c r="D975" s="19"/>
      <c r="E975" s="19"/>
      <c r="F975" s="19"/>
      <c r="G975" s="19"/>
      <c r="P975" s="29"/>
      <c r="Q975" s="29"/>
      <c r="Y975" s="29"/>
      <c r="Z975" s="29"/>
      <c r="AA975" s="29"/>
      <c r="AB975" s="29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</row>
    <row r="976" spans="1:62" s="20" customFormat="1" x14ac:dyDescent="0.7">
      <c r="A976" s="17"/>
      <c r="B976" s="19"/>
      <c r="C976" s="19"/>
      <c r="D976" s="19"/>
      <c r="E976" s="19"/>
      <c r="F976" s="19"/>
      <c r="G976" s="19"/>
      <c r="P976" s="29"/>
      <c r="Q976" s="29"/>
      <c r="Y976" s="29"/>
      <c r="Z976" s="29"/>
      <c r="AA976" s="29"/>
      <c r="AB976" s="29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  <c r="BA976" s="17"/>
      <c r="BB976" s="17"/>
      <c r="BC976" s="17"/>
      <c r="BD976" s="17"/>
      <c r="BE976" s="17"/>
      <c r="BF976" s="17"/>
      <c r="BG976" s="17"/>
      <c r="BH976" s="17"/>
      <c r="BI976" s="17"/>
      <c r="BJ976" s="17"/>
    </row>
    <row r="977" spans="1:62" s="20" customFormat="1" x14ac:dyDescent="0.7">
      <c r="A977" s="17"/>
      <c r="B977" s="19"/>
      <c r="C977" s="19"/>
      <c r="D977" s="19"/>
      <c r="E977" s="19"/>
      <c r="F977" s="19"/>
      <c r="G977" s="19"/>
      <c r="P977" s="29"/>
      <c r="Q977" s="29"/>
      <c r="Y977" s="29"/>
      <c r="Z977" s="29"/>
      <c r="AA977" s="29"/>
      <c r="AB977" s="29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  <c r="BA977" s="17"/>
      <c r="BB977" s="17"/>
      <c r="BC977" s="17"/>
      <c r="BD977" s="17"/>
      <c r="BE977" s="17"/>
      <c r="BF977" s="17"/>
      <c r="BG977" s="17"/>
      <c r="BH977" s="17"/>
      <c r="BI977" s="17"/>
      <c r="BJ977" s="17"/>
    </row>
    <row r="978" spans="1:62" s="20" customFormat="1" x14ac:dyDescent="0.7">
      <c r="A978" s="17"/>
      <c r="B978" s="19"/>
      <c r="C978" s="19"/>
      <c r="D978" s="19"/>
      <c r="E978" s="19"/>
      <c r="F978" s="19"/>
      <c r="G978" s="19"/>
      <c r="P978" s="29"/>
      <c r="Q978" s="29"/>
      <c r="Y978" s="29"/>
      <c r="Z978" s="29"/>
      <c r="AA978" s="29"/>
      <c r="AB978" s="29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  <c r="BA978" s="17"/>
      <c r="BB978" s="17"/>
      <c r="BC978" s="17"/>
      <c r="BD978" s="17"/>
      <c r="BE978" s="17"/>
      <c r="BF978" s="17"/>
      <c r="BG978" s="17"/>
      <c r="BH978" s="17"/>
      <c r="BI978" s="17"/>
      <c r="BJ978" s="17"/>
    </row>
    <row r="979" spans="1:62" s="20" customFormat="1" x14ac:dyDescent="0.7">
      <c r="A979" s="17"/>
      <c r="B979" s="19"/>
      <c r="C979" s="19"/>
      <c r="D979" s="19"/>
      <c r="E979" s="19"/>
      <c r="F979" s="19"/>
      <c r="G979" s="19"/>
      <c r="P979" s="29"/>
      <c r="Q979" s="29"/>
      <c r="Y979" s="29"/>
      <c r="Z979" s="29"/>
      <c r="AA979" s="29"/>
      <c r="AB979" s="29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  <c r="BA979" s="17"/>
      <c r="BB979" s="17"/>
      <c r="BC979" s="17"/>
      <c r="BD979" s="17"/>
      <c r="BE979" s="17"/>
      <c r="BF979" s="17"/>
      <c r="BG979" s="17"/>
      <c r="BH979" s="17"/>
      <c r="BI979" s="17"/>
      <c r="BJ979" s="17"/>
    </row>
    <row r="980" spans="1:62" s="20" customFormat="1" x14ac:dyDescent="0.7">
      <c r="A980" s="17"/>
      <c r="B980" s="19"/>
      <c r="C980" s="19"/>
      <c r="D980" s="19"/>
      <c r="E980" s="19"/>
      <c r="F980" s="19"/>
      <c r="G980" s="19"/>
      <c r="P980" s="29"/>
      <c r="Q980" s="29"/>
      <c r="Y980" s="29"/>
      <c r="Z980" s="29"/>
      <c r="AA980" s="29"/>
      <c r="AB980" s="29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</row>
    <row r="981" spans="1:62" s="20" customFormat="1" x14ac:dyDescent="0.7">
      <c r="A981" s="17"/>
      <c r="B981" s="19"/>
      <c r="C981" s="19"/>
      <c r="D981" s="19"/>
      <c r="E981" s="19"/>
      <c r="F981" s="19"/>
      <c r="G981" s="19"/>
      <c r="P981" s="29"/>
      <c r="Q981" s="29"/>
      <c r="Y981" s="29"/>
      <c r="Z981" s="29"/>
      <c r="AA981" s="29"/>
      <c r="AB981" s="29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  <c r="BA981" s="17"/>
      <c r="BB981" s="17"/>
      <c r="BC981" s="17"/>
      <c r="BD981" s="17"/>
      <c r="BE981" s="17"/>
      <c r="BF981" s="17"/>
      <c r="BG981" s="17"/>
      <c r="BH981" s="17"/>
      <c r="BI981" s="17"/>
      <c r="BJ981" s="17"/>
    </row>
    <row r="982" spans="1:62" s="20" customFormat="1" x14ac:dyDescent="0.7">
      <c r="A982" s="17"/>
      <c r="B982" s="19"/>
      <c r="C982" s="19"/>
      <c r="D982" s="19"/>
      <c r="E982" s="19"/>
      <c r="F982" s="19"/>
      <c r="G982" s="19"/>
      <c r="P982" s="29"/>
      <c r="Q982" s="29"/>
      <c r="Y982" s="29"/>
      <c r="Z982" s="29"/>
      <c r="AA982" s="29"/>
      <c r="AB982" s="29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</row>
    <row r="983" spans="1:62" s="20" customFormat="1" x14ac:dyDescent="0.7">
      <c r="A983" s="17"/>
      <c r="B983" s="19"/>
      <c r="C983" s="19"/>
      <c r="D983" s="19"/>
      <c r="E983" s="19"/>
      <c r="F983" s="19"/>
      <c r="G983" s="19"/>
      <c r="P983" s="29"/>
      <c r="Q983" s="29"/>
      <c r="Y983" s="29"/>
      <c r="Z983" s="29"/>
      <c r="AA983" s="29"/>
      <c r="AB983" s="29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  <c r="BA983" s="17"/>
      <c r="BB983" s="17"/>
      <c r="BC983" s="17"/>
      <c r="BD983" s="17"/>
      <c r="BE983" s="17"/>
      <c r="BF983" s="17"/>
      <c r="BG983" s="17"/>
      <c r="BH983" s="17"/>
      <c r="BI983" s="17"/>
      <c r="BJ983" s="17"/>
    </row>
    <row r="984" spans="1:62" s="20" customFormat="1" x14ac:dyDescent="0.7">
      <c r="A984" s="17"/>
      <c r="B984" s="19"/>
      <c r="C984" s="19"/>
      <c r="D984" s="19"/>
      <c r="E984" s="19"/>
      <c r="F984" s="19"/>
      <c r="G984" s="19"/>
      <c r="P984" s="29"/>
      <c r="Q984" s="29"/>
      <c r="Y984" s="29"/>
      <c r="Z984" s="29"/>
      <c r="AA984" s="29"/>
      <c r="AB984" s="29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</row>
    <row r="985" spans="1:62" s="20" customFormat="1" x14ac:dyDescent="0.7">
      <c r="A985" s="17"/>
      <c r="B985" s="19"/>
      <c r="C985" s="19"/>
      <c r="D985" s="19"/>
      <c r="E985" s="19"/>
      <c r="F985" s="19"/>
      <c r="G985" s="19"/>
      <c r="P985" s="29"/>
      <c r="Q985" s="29"/>
      <c r="Y985" s="29"/>
      <c r="Z985" s="29"/>
      <c r="AA985" s="29"/>
      <c r="AB985" s="29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  <c r="BA985" s="17"/>
      <c r="BB985" s="17"/>
      <c r="BC985" s="17"/>
      <c r="BD985" s="17"/>
      <c r="BE985" s="17"/>
      <c r="BF985" s="17"/>
      <c r="BG985" s="17"/>
      <c r="BH985" s="17"/>
      <c r="BI985" s="17"/>
      <c r="BJ985" s="17"/>
    </row>
    <row r="986" spans="1:62" s="20" customFormat="1" x14ac:dyDescent="0.7">
      <c r="A986" s="17"/>
      <c r="B986" s="19"/>
      <c r="C986" s="19"/>
      <c r="D986" s="19"/>
      <c r="E986" s="19"/>
      <c r="F986" s="19"/>
      <c r="G986" s="19"/>
      <c r="P986" s="29"/>
      <c r="Q986" s="29"/>
      <c r="Y986" s="29"/>
      <c r="Z986" s="29"/>
      <c r="AA986" s="29"/>
      <c r="AB986" s="29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  <c r="BA986" s="17"/>
      <c r="BB986" s="17"/>
      <c r="BC986" s="17"/>
      <c r="BD986" s="17"/>
      <c r="BE986" s="17"/>
      <c r="BF986" s="17"/>
      <c r="BG986" s="17"/>
      <c r="BH986" s="17"/>
      <c r="BI986" s="17"/>
      <c r="BJ986" s="17"/>
    </row>
    <row r="987" spans="1:62" s="20" customFormat="1" x14ac:dyDescent="0.7">
      <c r="A987" s="17"/>
      <c r="B987" s="19"/>
      <c r="C987" s="19"/>
      <c r="D987" s="19"/>
      <c r="E987" s="19"/>
      <c r="F987" s="19"/>
      <c r="G987" s="19"/>
      <c r="P987" s="29"/>
      <c r="Q987" s="29"/>
      <c r="Y987" s="29"/>
      <c r="Z987" s="29"/>
      <c r="AA987" s="29"/>
      <c r="AB987" s="29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  <c r="BA987" s="17"/>
      <c r="BB987" s="17"/>
      <c r="BC987" s="17"/>
      <c r="BD987" s="17"/>
      <c r="BE987" s="17"/>
      <c r="BF987" s="17"/>
      <c r="BG987" s="17"/>
      <c r="BH987" s="17"/>
      <c r="BI987" s="17"/>
      <c r="BJ987" s="17"/>
    </row>
    <row r="988" spans="1:62" s="20" customFormat="1" x14ac:dyDescent="0.7">
      <c r="A988" s="17"/>
      <c r="B988" s="19"/>
      <c r="C988" s="19"/>
      <c r="D988" s="19"/>
      <c r="E988" s="19"/>
      <c r="F988" s="19"/>
      <c r="G988" s="19"/>
      <c r="P988" s="29"/>
      <c r="Q988" s="29"/>
      <c r="Y988" s="29"/>
      <c r="Z988" s="29"/>
      <c r="AA988" s="29"/>
      <c r="AB988" s="29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  <c r="BA988" s="17"/>
      <c r="BB988" s="17"/>
      <c r="BC988" s="17"/>
      <c r="BD988" s="17"/>
      <c r="BE988" s="17"/>
      <c r="BF988" s="17"/>
      <c r="BG988" s="17"/>
      <c r="BH988" s="17"/>
      <c r="BI988" s="17"/>
      <c r="BJ988" s="17"/>
    </row>
    <row r="989" spans="1:62" s="20" customFormat="1" x14ac:dyDescent="0.7">
      <c r="A989" s="17"/>
      <c r="B989" s="19"/>
      <c r="C989" s="19"/>
      <c r="D989" s="19"/>
      <c r="E989" s="19"/>
      <c r="F989" s="19"/>
      <c r="G989" s="19"/>
      <c r="P989" s="29"/>
      <c r="Q989" s="29"/>
      <c r="Y989" s="29"/>
      <c r="Z989" s="29"/>
      <c r="AA989" s="29"/>
      <c r="AB989" s="29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</row>
    <row r="990" spans="1:62" s="20" customFormat="1" x14ac:dyDescent="0.7">
      <c r="A990" s="17"/>
      <c r="B990" s="19"/>
      <c r="C990" s="19"/>
      <c r="D990" s="19"/>
      <c r="E990" s="19"/>
      <c r="F990" s="19"/>
      <c r="G990" s="19"/>
      <c r="P990" s="29"/>
      <c r="Q990" s="29"/>
      <c r="Y990" s="29"/>
      <c r="Z990" s="29"/>
      <c r="AA990" s="29"/>
      <c r="AB990" s="29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17"/>
      <c r="BH990" s="17"/>
      <c r="BI990" s="17"/>
      <c r="BJ990" s="17"/>
    </row>
    <row r="991" spans="1:62" s="20" customFormat="1" x14ac:dyDescent="0.7">
      <c r="A991" s="17"/>
      <c r="B991" s="19"/>
      <c r="C991" s="19"/>
      <c r="D991" s="19"/>
      <c r="E991" s="19"/>
      <c r="F991" s="19"/>
      <c r="G991" s="19"/>
      <c r="P991" s="29"/>
      <c r="Q991" s="29"/>
      <c r="Y991" s="29"/>
      <c r="Z991" s="29"/>
      <c r="AA991" s="29"/>
      <c r="AB991" s="29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  <c r="BA991" s="17"/>
      <c r="BB991" s="17"/>
      <c r="BC991" s="17"/>
      <c r="BD991" s="17"/>
      <c r="BE991" s="17"/>
      <c r="BF991" s="17"/>
      <c r="BG991" s="17"/>
      <c r="BH991" s="17"/>
      <c r="BI991" s="17"/>
      <c r="BJ991" s="17"/>
    </row>
    <row r="992" spans="1:62" s="20" customFormat="1" x14ac:dyDescent="0.7">
      <c r="A992" s="17"/>
      <c r="B992" s="19"/>
      <c r="C992" s="19"/>
      <c r="D992" s="19"/>
      <c r="E992" s="19"/>
      <c r="F992" s="19"/>
      <c r="G992" s="19"/>
      <c r="P992" s="29"/>
      <c r="Q992" s="29"/>
      <c r="Y992" s="29"/>
      <c r="Z992" s="29"/>
      <c r="AA992" s="29"/>
      <c r="AB992" s="29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  <c r="BA992" s="17"/>
      <c r="BB992" s="17"/>
      <c r="BC992" s="17"/>
      <c r="BD992" s="17"/>
      <c r="BE992" s="17"/>
      <c r="BF992" s="17"/>
      <c r="BG992" s="17"/>
      <c r="BH992" s="17"/>
      <c r="BI992" s="17"/>
      <c r="BJ992" s="17"/>
    </row>
    <row r="993" spans="1:62" s="20" customFormat="1" x14ac:dyDescent="0.7">
      <c r="A993" s="17"/>
      <c r="B993" s="19"/>
      <c r="C993" s="19"/>
      <c r="D993" s="19"/>
      <c r="E993" s="19"/>
      <c r="F993" s="19"/>
      <c r="G993" s="19"/>
      <c r="P993" s="29"/>
      <c r="Q993" s="29"/>
      <c r="Y993" s="29"/>
      <c r="Z993" s="29"/>
      <c r="AA993" s="29"/>
      <c r="AB993" s="29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</row>
    <row r="994" spans="1:62" s="20" customFormat="1" x14ac:dyDescent="0.7">
      <c r="A994" s="17"/>
      <c r="B994" s="19"/>
      <c r="C994" s="19"/>
      <c r="D994" s="19"/>
      <c r="E994" s="19"/>
      <c r="F994" s="19"/>
      <c r="G994" s="19"/>
      <c r="P994" s="29"/>
      <c r="Q994" s="29"/>
      <c r="Y994" s="29"/>
      <c r="Z994" s="29"/>
      <c r="AA994" s="29"/>
      <c r="AB994" s="29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</row>
    <row r="995" spans="1:62" s="20" customFormat="1" x14ac:dyDescent="0.7">
      <c r="A995" s="17"/>
      <c r="B995" s="19"/>
      <c r="C995" s="19"/>
      <c r="D995" s="19"/>
      <c r="E995" s="19"/>
      <c r="F995" s="19"/>
      <c r="G995" s="19"/>
      <c r="P995" s="29"/>
      <c r="Q995" s="29"/>
      <c r="Y995" s="29"/>
      <c r="Z995" s="29"/>
      <c r="AA995" s="29"/>
      <c r="AB995" s="29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  <c r="BA995" s="17"/>
      <c r="BB995" s="17"/>
      <c r="BC995" s="17"/>
      <c r="BD995" s="17"/>
      <c r="BE995" s="17"/>
      <c r="BF995" s="17"/>
      <c r="BG995" s="17"/>
      <c r="BH995" s="17"/>
      <c r="BI995" s="17"/>
      <c r="BJ995" s="17"/>
    </row>
    <row r="996" spans="1:62" s="20" customFormat="1" x14ac:dyDescent="0.7">
      <c r="A996" s="17"/>
      <c r="B996" s="19"/>
      <c r="C996" s="19"/>
      <c r="D996" s="19"/>
      <c r="E996" s="19"/>
      <c r="F996" s="19"/>
      <c r="G996" s="19"/>
      <c r="P996" s="29"/>
      <c r="Q996" s="29"/>
      <c r="Y996" s="29"/>
      <c r="Z996" s="29"/>
      <c r="AA996" s="29"/>
      <c r="AB996" s="29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</row>
    <row r="997" spans="1:62" s="20" customFormat="1" x14ac:dyDescent="0.7">
      <c r="A997" s="17"/>
      <c r="B997" s="19"/>
      <c r="C997" s="19"/>
      <c r="D997" s="19"/>
      <c r="E997" s="19"/>
      <c r="F997" s="19"/>
      <c r="G997" s="19"/>
      <c r="P997" s="29"/>
      <c r="Q997" s="29"/>
      <c r="Y997" s="29"/>
      <c r="Z997" s="29"/>
      <c r="AA997" s="29"/>
      <c r="AB997" s="29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</row>
    <row r="998" spans="1:62" s="20" customFormat="1" x14ac:dyDescent="0.7">
      <c r="A998" s="17"/>
      <c r="B998" s="19"/>
      <c r="C998" s="19"/>
      <c r="D998" s="19"/>
      <c r="E998" s="19"/>
      <c r="F998" s="19"/>
      <c r="G998" s="19"/>
      <c r="P998" s="29"/>
      <c r="Q998" s="29"/>
      <c r="Y998" s="29"/>
      <c r="Z998" s="29"/>
      <c r="AA998" s="29"/>
      <c r="AB998" s="29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  <c r="BA998" s="17"/>
      <c r="BB998" s="17"/>
      <c r="BC998" s="17"/>
      <c r="BD998" s="17"/>
      <c r="BE998" s="17"/>
      <c r="BF998" s="17"/>
      <c r="BG998" s="17"/>
      <c r="BH998" s="17"/>
      <c r="BI998" s="17"/>
      <c r="BJ998" s="17"/>
    </row>
    <row r="999" spans="1:62" s="20" customFormat="1" x14ac:dyDescent="0.7">
      <c r="A999" s="17"/>
      <c r="B999" s="19"/>
      <c r="C999" s="19"/>
      <c r="D999" s="19"/>
      <c r="E999" s="19"/>
      <c r="F999" s="19"/>
      <c r="G999" s="19"/>
      <c r="P999" s="29"/>
      <c r="Q999" s="29"/>
      <c r="Y999" s="29"/>
      <c r="Z999" s="29"/>
      <c r="AA999" s="29"/>
      <c r="AB999" s="29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</row>
    <row r="1000" spans="1:62" s="20" customFormat="1" x14ac:dyDescent="0.7">
      <c r="A1000" s="17"/>
      <c r="B1000" s="19"/>
      <c r="C1000" s="19"/>
      <c r="D1000" s="19"/>
      <c r="E1000" s="19"/>
      <c r="F1000" s="19"/>
      <c r="G1000" s="19"/>
      <c r="P1000" s="29"/>
      <c r="Q1000" s="29"/>
      <c r="Y1000" s="29"/>
      <c r="Z1000" s="29"/>
      <c r="AA1000" s="29"/>
      <c r="AB1000" s="29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</row>
    <row r="1001" spans="1:62" s="20" customFormat="1" x14ac:dyDescent="0.7">
      <c r="A1001" s="17"/>
      <c r="B1001" s="19"/>
      <c r="C1001" s="19"/>
      <c r="D1001" s="19"/>
      <c r="E1001" s="19"/>
      <c r="F1001" s="19"/>
      <c r="G1001" s="19"/>
      <c r="P1001" s="29"/>
      <c r="Q1001" s="29"/>
      <c r="Y1001" s="29"/>
      <c r="Z1001" s="29"/>
      <c r="AA1001" s="29"/>
      <c r="AB1001" s="29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</row>
    <row r="1002" spans="1:62" s="20" customFormat="1" x14ac:dyDescent="0.7">
      <c r="A1002" s="17"/>
      <c r="B1002" s="19"/>
      <c r="C1002" s="19"/>
      <c r="D1002" s="19"/>
      <c r="E1002" s="19"/>
      <c r="F1002" s="19"/>
      <c r="G1002" s="19"/>
      <c r="P1002" s="29"/>
      <c r="Q1002" s="29"/>
      <c r="Y1002" s="29"/>
      <c r="Z1002" s="29"/>
      <c r="AA1002" s="29"/>
      <c r="AB1002" s="29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</row>
    <row r="1003" spans="1:62" s="20" customFormat="1" x14ac:dyDescent="0.7">
      <c r="A1003" s="17"/>
      <c r="B1003" s="19"/>
      <c r="C1003" s="19"/>
      <c r="D1003" s="19"/>
      <c r="E1003" s="19"/>
      <c r="F1003" s="19"/>
      <c r="G1003" s="19"/>
      <c r="P1003" s="29"/>
      <c r="Q1003" s="29"/>
      <c r="Y1003" s="29"/>
      <c r="Z1003" s="29"/>
      <c r="AA1003" s="29"/>
      <c r="AB1003" s="29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</row>
    <row r="1004" spans="1:62" s="20" customFormat="1" x14ac:dyDescent="0.7">
      <c r="A1004" s="17"/>
      <c r="B1004" s="19"/>
      <c r="C1004" s="19"/>
      <c r="D1004" s="19"/>
      <c r="E1004" s="19"/>
      <c r="F1004" s="19"/>
      <c r="G1004" s="19"/>
      <c r="P1004" s="29"/>
      <c r="Q1004" s="29"/>
      <c r="Y1004" s="29"/>
      <c r="Z1004" s="29"/>
      <c r="AA1004" s="29"/>
      <c r="AB1004" s="29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</row>
    <row r="1005" spans="1:62" s="20" customFormat="1" x14ac:dyDescent="0.7">
      <c r="A1005" s="17"/>
      <c r="B1005" s="19"/>
      <c r="C1005" s="19"/>
      <c r="D1005" s="19"/>
      <c r="E1005" s="19"/>
      <c r="F1005" s="19"/>
      <c r="G1005" s="19"/>
      <c r="P1005" s="29"/>
      <c r="Q1005" s="29"/>
      <c r="Y1005" s="29"/>
      <c r="Z1005" s="29"/>
      <c r="AA1005" s="29"/>
      <c r="AB1005" s="29"/>
      <c r="AP1005" s="17"/>
      <c r="AQ1005" s="17"/>
      <c r="AR1005" s="17"/>
      <c r="AS1005" s="17"/>
      <c r="AT1005" s="17"/>
      <c r="AU1005" s="17"/>
      <c r="AV1005" s="17"/>
      <c r="AW1005" s="17"/>
      <c r="AX1005" s="17"/>
      <c r="AY1005" s="17"/>
      <c r="AZ1005" s="17"/>
      <c r="BA1005" s="17"/>
      <c r="BB1005" s="17"/>
      <c r="BC1005" s="17"/>
      <c r="BD1005" s="17"/>
      <c r="BE1005" s="17"/>
      <c r="BF1005" s="17"/>
      <c r="BG1005" s="17"/>
      <c r="BH1005" s="17"/>
      <c r="BI1005" s="17"/>
      <c r="BJ1005" s="17"/>
    </row>
    <row r="1006" spans="1:62" s="20" customFormat="1" x14ac:dyDescent="0.7">
      <c r="A1006" s="17"/>
      <c r="B1006" s="19"/>
      <c r="C1006" s="19"/>
      <c r="D1006" s="19"/>
      <c r="E1006" s="19"/>
      <c r="F1006" s="19"/>
      <c r="G1006" s="19"/>
      <c r="P1006" s="29"/>
      <c r="Q1006" s="29"/>
      <c r="Y1006" s="29"/>
      <c r="Z1006" s="29"/>
      <c r="AA1006" s="29"/>
      <c r="AB1006" s="29"/>
      <c r="AP1006" s="17"/>
      <c r="AQ1006" s="17"/>
      <c r="AR1006" s="17"/>
      <c r="AS1006" s="17"/>
      <c r="AT1006" s="17"/>
      <c r="AU1006" s="17"/>
      <c r="AV1006" s="17"/>
      <c r="AW1006" s="17"/>
      <c r="AX1006" s="17"/>
      <c r="AY1006" s="17"/>
      <c r="AZ1006" s="17"/>
      <c r="BA1006" s="17"/>
      <c r="BB1006" s="17"/>
      <c r="BC1006" s="17"/>
      <c r="BD1006" s="17"/>
      <c r="BE1006" s="17"/>
      <c r="BF1006" s="17"/>
      <c r="BG1006" s="17"/>
      <c r="BH1006" s="17"/>
      <c r="BI1006" s="17"/>
      <c r="BJ1006" s="17"/>
    </row>
    <row r="1007" spans="1:62" s="20" customFormat="1" x14ac:dyDescent="0.7">
      <c r="A1007" s="17"/>
      <c r="B1007" s="19"/>
      <c r="C1007" s="19"/>
      <c r="D1007" s="19"/>
      <c r="E1007" s="19"/>
      <c r="F1007" s="19"/>
      <c r="G1007" s="19"/>
      <c r="P1007" s="29"/>
      <c r="Q1007" s="29"/>
      <c r="Y1007" s="29"/>
      <c r="Z1007" s="29"/>
      <c r="AA1007" s="29"/>
      <c r="AB1007" s="29"/>
      <c r="AP1007" s="17"/>
      <c r="AQ1007" s="17"/>
      <c r="AR1007" s="17"/>
      <c r="AS1007" s="17"/>
      <c r="AT1007" s="17"/>
      <c r="AU1007" s="17"/>
      <c r="AV1007" s="17"/>
      <c r="AW1007" s="17"/>
      <c r="AX1007" s="17"/>
      <c r="AY1007" s="17"/>
      <c r="AZ1007" s="17"/>
      <c r="BA1007" s="17"/>
      <c r="BB1007" s="17"/>
      <c r="BC1007" s="17"/>
      <c r="BD1007" s="17"/>
      <c r="BE1007" s="17"/>
      <c r="BF1007" s="17"/>
      <c r="BG1007" s="17"/>
      <c r="BH1007" s="17"/>
      <c r="BI1007" s="17"/>
      <c r="BJ1007" s="17"/>
    </row>
    <row r="1008" spans="1:62" s="20" customFormat="1" x14ac:dyDescent="0.7">
      <c r="A1008" s="17"/>
      <c r="B1008" s="19"/>
      <c r="C1008" s="19"/>
      <c r="D1008" s="19"/>
      <c r="E1008" s="19"/>
      <c r="F1008" s="19"/>
      <c r="G1008" s="19"/>
      <c r="P1008" s="29"/>
      <c r="Q1008" s="29"/>
      <c r="Y1008" s="29"/>
      <c r="Z1008" s="29"/>
      <c r="AA1008" s="29"/>
      <c r="AB1008" s="29"/>
      <c r="AP1008" s="17"/>
      <c r="AQ1008" s="17"/>
      <c r="AR1008" s="17"/>
      <c r="AS1008" s="17"/>
      <c r="AT1008" s="17"/>
      <c r="AU1008" s="17"/>
      <c r="AV1008" s="17"/>
      <c r="AW1008" s="17"/>
      <c r="AX1008" s="17"/>
      <c r="AY1008" s="17"/>
      <c r="AZ1008" s="17"/>
      <c r="BA1008" s="17"/>
      <c r="BB1008" s="17"/>
      <c r="BC1008" s="17"/>
      <c r="BD1008" s="17"/>
      <c r="BE1008" s="17"/>
      <c r="BF1008" s="17"/>
      <c r="BG1008" s="17"/>
      <c r="BH1008" s="17"/>
      <c r="BI1008" s="17"/>
      <c r="BJ1008" s="17"/>
    </row>
    <row r="1009" spans="1:62" s="20" customFormat="1" x14ac:dyDescent="0.7">
      <c r="A1009" s="17"/>
      <c r="B1009" s="17"/>
      <c r="C1009" s="17"/>
      <c r="D1009" s="19"/>
      <c r="E1009" s="19"/>
      <c r="F1009" s="19"/>
      <c r="G1009" s="19"/>
      <c r="P1009" s="29"/>
      <c r="Q1009" s="29"/>
      <c r="Y1009" s="29"/>
      <c r="Z1009" s="29"/>
      <c r="AA1009" s="29"/>
      <c r="AB1009" s="29"/>
      <c r="AP1009" s="17"/>
      <c r="AQ1009" s="17"/>
      <c r="AR1009" s="17"/>
      <c r="AS1009" s="17"/>
      <c r="AT1009" s="17"/>
      <c r="AU1009" s="17"/>
      <c r="AV1009" s="17"/>
      <c r="AW1009" s="17"/>
      <c r="AX1009" s="17"/>
      <c r="AY1009" s="17"/>
      <c r="AZ1009" s="17"/>
      <c r="BA1009" s="17"/>
      <c r="BB1009" s="17"/>
      <c r="BC1009" s="17"/>
      <c r="BD1009" s="17"/>
      <c r="BE1009" s="17"/>
      <c r="BF1009" s="17"/>
      <c r="BG1009" s="17"/>
      <c r="BH1009" s="17"/>
      <c r="BI1009" s="17"/>
      <c r="BJ1009" s="17"/>
    </row>
  </sheetData>
  <autoFilter ref="C7:K188" xr:uid="{2D680F13-A006-4245-AE76-415DED59F84F}"/>
  <mergeCells count="22">
    <mergeCell ref="AE6:AH6"/>
    <mergeCell ref="AI6:AO6"/>
    <mergeCell ref="Y5:AH5"/>
    <mergeCell ref="L5:X5"/>
    <mergeCell ref="L6:O6"/>
    <mergeCell ref="P6:S6"/>
    <mergeCell ref="T6:W6"/>
    <mergeCell ref="Y6:AA6"/>
    <mergeCell ref="AB6:AD6"/>
    <mergeCell ref="A1:K1"/>
    <mergeCell ref="A2:K2"/>
    <mergeCell ref="F5:F6"/>
    <mergeCell ref="G5:G6"/>
    <mergeCell ref="H5:H6"/>
    <mergeCell ref="I5:I6"/>
    <mergeCell ref="J5:J6"/>
    <mergeCell ref="K5:K6"/>
    <mergeCell ref="A5:A6"/>
    <mergeCell ref="B5:B6"/>
    <mergeCell ref="C5:C6"/>
    <mergeCell ref="D5:D6"/>
    <mergeCell ref="E5:E6"/>
  </mergeCells>
  <printOptions horizontalCentered="1"/>
  <pageMargins left="0" right="0" top="0.59055118110236227" bottom="0" header="0.31496062992125984" footer="0.31496062992125984"/>
  <pageSetup paperSize="9" scale="44" fitToHeight="0" orientation="portrait" r:id="rId1"/>
  <rowBreaks count="1" manualBreakCount="1">
    <brk id="52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5</vt:i4>
      </vt:variant>
      <vt:variant>
        <vt:lpstr>ช่วงที่มีชื่อ</vt:lpstr>
      </vt:variant>
      <vt:variant>
        <vt:i4>8</vt:i4>
      </vt:variant>
    </vt:vector>
  </HeadingPairs>
  <TitlesOfParts>
    <vt:vector size="13" baseType="lpstr">
      <vt:lpstr>ภาพรวม</vt:lpstr>
      <vt:lpstr>เสา 60</vt:lpstr>
      <vt:lpstr>เสา 9,18,30</vt:lpstr>
      <vt:lpstr>รายชื่อเสา 60 ม</vt:lpstr>
      <vt:lpstr>รายชื่อเสา 9,18,30</vt:lpstr>
      <vt:lpstr>ภาพรวม!Print_Area</vt:lpstr>
      <vt:lpstr>'รายชื่อเสา 60 ม'!Print_Area</vt:lpstr>
      <vt:lpstr>'เสา 60'!Print_Area</vt:lpstr>
      <vt:lpstr>'เสา 9,18,30'!Print_Area</vt:lpstr>
      <vt:lpstr>'รายชื่อเสา 60 ม'!Print_Titles</vt:lpstr>
      <vt:lpstr>'รายชื่อเสา 9,18,30'!Print_Titles</vt:lpstr>
      <vt:lpstr>'เสา 60'!Print_Titles</vt:lpstr>
      <vt:lpstr>'เสา 9,18,30'!Print_Titles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nsddopa2</cp:lastModifiedBy>
  <cp:lastPrinted>2026-05-19T05:11:50Z</cp:lastPrinted>
  <dcterms:created xsi:type="dcterms:W3CDTF">2025-09-04T02:12:09Z</dcterms:created>
  <dcterms:modified xsi:type="dcterms:W3CDTF">2026-09-24T03:37:09Z</dcterms:modified>
</cp:coreProperties>
</file>